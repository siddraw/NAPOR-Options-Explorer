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Log'!$A$1:$T$271</definedName>
    <definedName function="false" hidden="true" localSheetId="7" name="_xlnm._FilterDatabase" vbProcedure="false">Reports!$A$1:$L$452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<sst xmlns="http://schemas.openxmlformats.org/spreadsheetml/2006/main" count="10788" uniqueCount="3535">
  <si>
    <t xml:space="preserve">NAPOR: Risk Assessment - Iran-US War</t>
  </si>
  <si>
    <t xml:space="preserve">NAPOR is the underlying engine (event log, credibility, chains, phases, forecasts). NAPOR: Risk Assessment applies it to lay out the options and the risks and pros of each one. It does not pick an option. Built by Sidd.</t>
  </si>
  <si>
    <t xml:space="preserve">What this is</t>
  </si>
  <si>
    <t xml:space="preserve">A structured, dated log of US/Israel-Iran war events from Feb 28, 2026 to Oct 26,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</si>
  <si>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</si>
  <si>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</si>
  <si>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</si>
  <si>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</si>
  <si>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</si>
  <si>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</si>
  <si>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</si>
  <si>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</si>
  <si>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</si>
  <si>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</si>
  <si>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</si>
  <si>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</si>
  <si>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</si>
  <si>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</si>
  <si>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</si>
  <si>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</si>
  <si>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</si>
  <si>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</si>
  <si>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</si>
  <si>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</si>
  <si>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</si>
  <si>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</si>
  <si>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</si>
  <si>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</si>
  <si>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</si>
  <si>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</si>
  <si>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2026-10-29.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2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</si>
  <si>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</si>
  <si>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</si>
  <si>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</si>
  <si>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</si>
  <si>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</si>
  <si>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</si>
  <si>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</si>
  <si>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</si>
  <si>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</si>
  <si>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</si>
  <si>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</si>
  <si>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</si>
  <si>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</si>
  <si>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</si>
  <si>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</si>
  <si>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</si>
  <si>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</si>
  <si>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</si>
  <si>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</si>
  <si>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</si>
  <si>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</si>
  <si>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</si>
  <si>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</si>
  <si>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</si>
  <si>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</si>
  <si>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</si>
  <si>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</si>
  <si>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</si>
  <si>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</si>
  <si>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</si>
  <si>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</si>
  <si>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</si>
  <si>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</si>
  <si>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</si>
  <si>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</si>
  <si>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</si>
  <si>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</si>
  <si>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</si>
  <si>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</si>
  <si>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</si>
  <si>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</si>
  <si>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</si>
  <si>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</si>
  <si>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</si>
  <si>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</si>
  <si>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</si>
  <si>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</si>
  <si>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</si>
  <si>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</si>
  <si>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</si>
  <si>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</si>
  <si>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</si>
  <si>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</si>
  <si>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</si>
  <si>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</si>
  <si>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</si>
  <si>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</si>
  <si>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</si>
  <si>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</si>
  <si>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</si>
  <si>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</si>
  <si>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</si>
  <si>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</si>
  <si>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</si>
  <si>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</si>
  <si>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</si>
  <si>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</si>
  <si>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</si>
  <si>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</si>
  <si>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</si>
  <si>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</si>
  <si>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</si>
  <si>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</si>
  <si>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</si>
  <si>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</si>
  <si>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</si>
  <si>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</si>
  <si>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</si>
  <si>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</si>
  <si>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</si>
  <si>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</si>
  <si>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</si>
  <si>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</si>
  <si>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</si>
  <si>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</si>
  <si>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</si>
  <si>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</si>
  <si>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</si>
  <si>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</si>
  <si>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</si>
  <si>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</si>
  <si>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</si>
  <si>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</si>
  <si>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</si>
  <si>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</si>
  <si>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</si>
  <si>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</si>
  <si>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</si>
  <si>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</si>
  <si>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</si>
  <si>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</si>
  <si>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</si>
  <si>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</si>
  <si>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</si>
  <si>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</si>
  <si>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</si>
  <si>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</si>
  <si>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</si>
  <si>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</si>
  <si>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</si>
  <si>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</si>
  <si>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</si>
  <si>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</si>
  <si>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</si>
  <si>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</si>
  <si>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</si>
  <si>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</si>
  <si>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</si>
  <si>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</si>
  <si>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</si>
  <si>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</si>
  <si>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</si>
  <si>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</si>
  <si>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</si>
  <si>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</si>
  <si>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</si>
  <si>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</si>
  <si>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</si>
  <si>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</si>
  <si>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</si>
  <si>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</si>
  <si>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</si>
  <si>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</si>
  <si>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</si>
  <si>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</si>
  <si>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</si>
  <si>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</si>
  <si>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</si>
  <si>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</si>
  <si>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</si>
  <si>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</si>
  <si>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</si>
  <si>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</si>
  <si>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</si>
  <si>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</si>
  <si>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</si>
  <si>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</si>
  <si>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</si>
  <si>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</si>
  <si>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</si>
  <si>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</si>
  <si>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</si>
  <si>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</si>
  <si>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</si>
  <si>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</si>
  <si>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</si>
  <si>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</si>
  <si>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</si>
  <si>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</si>
  <si>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</si>
  <si>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</si>
  <si>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</si>
  <si>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</si>
  <si>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</si>
  <si>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</si>
  <si>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</si>
  <si>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</si>
  <si>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</si>
  <si>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</si>
  <si>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</si>
  <si>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</si>
  <si>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</si>
  <si>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</si>
  <si>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</si>
  <si>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</si>
  <si>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</si>
  <si>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</si>
  <si>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</si>
  <si>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</si>
  <si>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</si>
  <si>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</si>
  <si>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</si>
  <si>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</si>
  <si>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</si>
  <si>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</si>
  <si>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</si>
  <si>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</si>
  <si>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</si>
  <si>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</si>
  <si>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</si>
  <si>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</si>
  <si>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</si>
  <si>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</si>
  <si>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</si>
  <si>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</si>
  <si>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</si>
  <si>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</si>
  <si>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</si>
  <si>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</si>
  <si>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</si>
  <si>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</si>
  <si>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</si>
  <si>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</si>
  <si>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</si>
  <si>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</si>
  <si>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</si>
  <si>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</si>
  <si>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</si>
  <si>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</si>
  <si>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</si>
  <si>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</si>
  <si>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</si>
  <si>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</si>
  <si>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</si>
  <si>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</si>
  <si>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</si>
  <si>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</si>
  <si>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</si>
  <si>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</si>
  <si>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</si>
  <si>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</si>
  <si>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</si>
  <si>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</si>
  <si>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</si>
  <si>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</si>
  <si>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</si>
  <si>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</si>
  <si>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</si>
  <si>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</si>
  <si>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</si>
  <si>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</si>
  <si>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</si>
  <si>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</si>
  <si>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</si>
  <si>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</si>
  <si>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</si>
  <si>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</si>
  <si>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</si>
  <si>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</si>
  <si>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</si>
  <si>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</si>
  <si>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</si>
  <si>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</si>
  <si>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</si>
  <si>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</si>
  <si>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</si>
  <si>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</si>
  <si>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</si>
  <si>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</si>
  <si>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</si>
  <si>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</si>
  <si>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</si>
  <si>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</si>
  <si>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</si>
  <si>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</si>
  <si>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</si>
  <si>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</si>
  <si>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</si>
  <si>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</si>
  <si>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</si>
  <si>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</si>
  <si>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</si>
  <si>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</si>
  <si>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</si>
  <si>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</si>
  <si>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</si>
  <si>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</si>
  <si>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</si>
  <si>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</si>
  <si>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</si>
  <si>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AFP 2026-06-09</t>
  </si>
  <si>
    <t xml:space="preserve">Date corrected to Jun 8 (AFP via Al Arabiya, published Jun 9): the Israeli strikes were overnight into Monday Jun 8; Iranian state TV (a claim) said at least 2 air-defense personnel were killed (re-sourced Oct 28).</t>
  </si>
  <si>
    <t xml:space="preserve">Retaliation</t>
  </si>
  <si>
    <t xml:space="preserve">Downs a US Apache helicopter over the Strait (US says a Shahed drone did it)</t>
  </si>
  <si>
    <t xml:space="preserve">Both crew rescued</t>
  </si>
  <si>
    <t xml:space="preserve">CBS News 2026-06-09</t>
  </si>
  <si>
    <t xml:space="preserve">Date corrected to Jun 8 (CBS, updated Jun 9): the Apache went down Monday Jun 8 and both crew were rescued about two hours later by an unmanned surface drone; CBS sources say a Shahed drone (re-sourced Oct 28).</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</si>
  <si>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</si>
  <si>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</si>
  <si>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</si>
  <si>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</si>
  <si>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</si>
  <si>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</si>
  <si>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(Barak Ravid), as summarised on Iran International page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</si>
  <si>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</si>
  <si>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</si>
  <si>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</si>
  <si>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</si>
  <si>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</si>
  <si>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</si>
  <si>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</si>
  <si>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</si>
  <si>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</si>
  <si>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</si>
  <si>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</si>
  <si>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</si>
  <si>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</si>
  <si>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</si>
  <si>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</si>
  <si>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</si>
  <si>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</si>
  <si>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</si>
  <si>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</si>
  <si>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</si>
  <si>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</si>
  <si>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</si>
  <si>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</si>
  <si>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</si>
  <si>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</si>
  <si>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</si>
  <si>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</si>
  <si>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</si>
  <si>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</si>
  <si>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</si>
  <si>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</si>
  <si>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</si>
  <si>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</si>
  <si>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</si>
  <si>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</si>
  <si>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</si>
  <si>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</si>
  <si>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</si>
  <si>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</si>
  <si>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</si>
  <si>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</si>
  <si>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</si>
  <si>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</si>
  <si>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</si>
  <si>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</si>
  <si>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</si>
  <si>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</si>
  <si>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</si>
  <si>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</si>
  <si>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</si>
  <si>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</si>
  <si>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</si>
  <si>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</si>
  <si>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</si>
  <si>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</si>
  <si>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</si>
  <si>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</si>
  <si>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</si>
  <si>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</si>
  <si>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</si>
  <si>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</si>
  <si>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</si>
  <si>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</si>
  <si>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</si>
  <si>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</si>
  <si>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</si>
  <si>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</si>
  <si>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 2026-07-12</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</si>
  <si>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</si>
  <si>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</si>
  <si>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</si>
  <si>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</si>
  <si>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</si>
  <si>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</si>
  <si>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</si>
  <si>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</si>
  <si>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</si>
  <si>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</si>
  <si>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</si>
  <si>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</si>
  <si>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</si>
  <si>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</si>
  <si>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</si>
  <si>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</si>
  <si>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</si>
  <si>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</si>
  <si>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</si>
  <si>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</si>
  <si>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</si>
  <si>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</si>
  <si>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</si>
  <si>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</si>
  <si>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</si>
  <si>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</si>
  <si>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</si>
  <si>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</si>
  <si>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</si>
  <si>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</si>
  <si>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</si>
  <si>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</si>
  <si>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</si>
  <si>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</si>
  <si>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</si>
  <si>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</si>
  <si>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</si>
  <si>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</si>
  <si>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</si>
  <si>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</si>
  <si>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</si>
  <si>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</si>
  <si>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</si>
  <si>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</si>
  <si>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</si>
  <si>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</si>
  <si>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</si>
  <si>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</si>
  <si>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</si>
  <si>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</si>
  <si>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</si>
  <si>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</si>
  <si>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</si>
  <si>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</si>
  <si>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</si>
  <si>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</si>
  <si>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</si>
  <si>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</si>
  <si>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</si>
  <si>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</si>
  <si>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</si>
  <si>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CENTCOM 2026-09-05</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</si>
  <si>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</si>
  <si>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</si>
  <si>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</si>
  <si>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</si>
  <si>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</si>
  <si>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</si>
  <si>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</si>
  <si>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</si>
  <si>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</si>
  <si>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</si>
  <si>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</si>
  <si>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</si>
  <si>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</si>
  <si>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</si>
  <si>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</si>
  <si>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</si>
  <si>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Al Jazeera 2026-09-26</t>
  </si>
  <si>
    <t xml:space="preserve">Holding pattern</t>
  </si>
  <si>
    <t xml:space="preserve">T16</t>
  </si>
  <si>
    <t xml:space="preserve">Diplomatic rejection</t>
  </si>
  <si>
    <t xml:space="preserve">Trump rejects the proposal; officials say he expects to resume bombing after the November midterms</t>
  </si>
  <si>
    <t xml:space="preserve">Al Jazeera 2026-09-26; Times of Israel 2026-09-26</t>
  </si>
  <si>
    <t xml:space="preserve">Iran (suspected)/UK</t>
  </si>
  <si>
    <t xml:space="preserve">Terror plot (foiled)</t>
  </si>
  <si>
    <t xml:space="preserve">United Kingdom</t>
  </si>
  <si>
    <t xml:space="preserve">5 men in their 20s are arrested on Sep 27 on suspicion of explosives offences after three suspicious vehicles head toward RAF Fairford (a base used for US bombers); Rubio says it 'clearly involves the hands of a foreign actor', Trump says it 'might be' linked to Iran, and UK PM Burnham says there are 'strong indications that Iran played a part' (Iran denies)</t>
  </si>
  <si>
    <t xml:space="preserve">No casualties - plot reportedly disrupted before execution; suspects later released on bail, which Trump publicly criticized the UK over</t>
  </si>
  <si>
    <t xml:space="preserve">Stars and Stripes 2026-09-30</t>
  </si>
  <si>
    <t xml:space="preserve">Wording corrected (Stars and Stripes, Sep 30): the source does not say the men planned to do 'big damage'; it says they are suspected of planning a terrorist attack near the base. They were released on bail Sep 28 and Trump questioned the bail (re-sourced Oct 28).</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</si>
  <si>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</si>
  <si>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</si>
  <si>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</si>
  <si>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</si>
  <si>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</si>
  <si>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Not re-checked</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</si>
  <si>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</si>
  <si>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</si>
  <si>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</si>
  <si>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</si>
  <si>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</si>
  <si>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</si>
  <si>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</si>
  <si>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</si>
  <si>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sanctions Iran's automotive and rail sectors and a shadow banking network, calling the targets 'some of the last significant elements of Iran's failing industrial infrastructure'</t>
  </si>
  <si>
    <t xml:space="preserve">Treasury 2026-10-01</t>
  </si>
  <si>
    <t xml:space="preserve">Wording corrected (Treasury press release, Oct 1): Treasury says 'failing industrial infrastructure', not 'IRGC-linked industrial base', and its release does not tie the banking network to Russia, so the Russia claim was dropped (re-sourced Oct 28).</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</si>
  <si>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</si>
  <si>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</si>
  <si>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</si>
  <si>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</si>
  <si>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</si>
  <si>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</si>
  <si>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</si>
  <si>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</si>
  <si>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CBS News live updates, Oct 1 (matcher live test)</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</si>
  <si>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</si>
  <si>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</si>
  <si>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</si>
  <si>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</si>
  <si>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</si>
  <si>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</si>
  <si>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</si>
  <si>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</si>
  <si>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</si>
  <si>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</si>
  <si>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</si>
  <si>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</si>
  <si>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</si>
  <si>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</si>
  <si>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</si>
  <si>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</si>
  <si>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</si>
  <si>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</si>
  <si>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</si>
  <si>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</si>
  <si>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</si>
  <si>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</si>
  <si>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</si>
  <si>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</si>
  <si>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</si>
  <si>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</si>
  <si>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</si>
  <si>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</si>
  <si>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</si>
  <si>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</si>
  <si>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</si>
  <si>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</si>
  <si>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</si>
  <si>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</si>
  <si>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</si>
  <si>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</si>
  <si>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</si>
  <si>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</si>
  <si>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</si>
  <si>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</si>
  <si>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</si>
  <si>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</si>
  <si>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</si>
  <si>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</si>
  <si>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</si>
  <si>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</si>
  <si>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</si>
  <si>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</si>
  <si>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</si>
  <si>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</si>
  <si>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</si>
  <si>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</si>
  <si>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</si>
  <si>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</si>
  <si>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</si>
  <si>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</si>
  <si>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</si>
  <si>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</si>
  <si>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</si>
  <si>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</si>
  <si>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</si>
  <si>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</si>
  <si>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</si>
  <si>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</si>
  <si>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</si>
  <si>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</si>
  <si>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</si>
  <si>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</si>
  <si>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</si>
  <si>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</si>
  <si>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</si>
  <si>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</si>
  <si>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</si>
  <si>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</si>
  <si>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</si>
  <si>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</si>
  <si>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</si>
  <si>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</si>
  <si>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</si>
  <si>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</si>
  <si>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</si>
  <si>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</si>
  <si>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</si>
  <si>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</si>
  <si>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</si>
  <si>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</si>
  <si>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</si>
  <si>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</si>
  <si>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</si>
  <si>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</si>
  <si>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</si>
  <si>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</si>
  <si>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</si>
  <si>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</si>
  <si>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</si>
  <si>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</si>
  <si>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</si>
  <si>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</si>
  <si>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Iraq (northern Gulf)</t>
  </si>
  <si>
    <t xml:space="preserve">UKMTO: an unknown projectile hits a tanker about 30 nautical miles southeast of Iraq's Faw port (Tuesday Oct 20, reported Oct 21)</t>
  </si>
  <si>
    <t xml:space="preserve">No damage; crew reported safe (Reuters citing UKMTO)</t>
  </si>
  <si>
    <t xml:space="preserve">Reuters 2026-10-21</t>
  </si>
  <si>
    <t xml:space="preserve">UKMTO: a tanker 11 nautical miles off Bukha, Oman, at the Strait of Hormuz, is hit by an unknown projectile and catches fire; now at anchor</t>
  </si>
  <si>
    <t xml:space="preserve">Fire; all crew reported safe (AFP citing UKMTO)</t>
  </si>
  <si>
    <t xml:space="preserve">Times of Israel 2026-10-21</t>
  </si>
  <si>
    <t xml:space="preserve">Treasury sanctions 4 entities, 5 people and 9 vessels in Iran's shadow-fleet oil network (Operation Economic Outcast)</t>
  </si>
  <si>
    <t xml:space="preserve">Treasury 2026-10-21</t>
  </si>
  <si>
    <t xml:space="preserve">Force posture (drawdown)</t>
  </si>
  <si>
    <t xml:space="preserve">State orders non-emergency staff and families out of Saudi Arabia (Oct 21), citing Houthi attacks, and on Oct 23 cuts staff at embassies in Jordan, Lebanon, Qatar and the UAE; US officials say the military is quietly reducing its footprint at Middle East posts, partly over direct threats from Iran</t>
  </si>
  <si>
    <t xml:space="preserve">CBS News 2026-10-21; Reuters 2026-10-21; CBS News 2026-10-26</t>
  </si>
  <si>
    <t xml:space="preserve">Strike (shipping, claimed)</t>
  </si>
  <si>
    <t xml:space="preserve">IRGC CLAIMS seven tankers were hit overnight into Oct 22 (four struck while transferring oil, three by mines) and warns the conflict 'will extend to' US bases if the US keeps helping tankers through; Trump says Iran is 'making up fake hits, mines'; CENTCOM says the mine claims are incorrect and Iran is using missiles and drones</t>
  </si>
  <si>
    <t xml:space="preserve">Fires and damage (IRGC claim; unverified). No names or casualties given</t>
  </si>
  <si>
    <t xml:space="preserve">PENDING - no credible source confirmed yet</t>
  </si>
  <si>
    <t xml:space="preserve">Pending</t>
  </si>
  <si>
    <t xml:space="preserve">Diplomatic statement (threat)</t>
  </si>
  <si>
    <t xml:space="preserve">Trump tells a Florida rally the US 'may do another little Epic Fury' and asks whether to 'finish it off' or let Iran 'wither' under the blockade and sanctions; Ambassador Tom Barrack says a strike 'this weekend' is 'Absolutely' possible</t>
  </si>
  <si>
    <t xml:space="preserve">CBS News 2026-10-26; Al Jazeera 2026-10-24</t>
  </si>
  <si>
    <t xml:space="preserve">Strike (shipping, claimed mine) + threat</t>
  </si>
  <si>
    <t xml:space="preserve">IRGC CLAIMS two supertankers hit mines; Iranian state TV says movement of 'non-compliant' ships through Hormuz has been halted and threatens 'much more forceful' action if US escorts resume</t>
  </si>
  <si>
    <t xml:space="preserve">Not stated (IRGC claim; unverified)</t>
  </si>
  <si>
    <t xml:space="preserve">Diplomatic statement (intelligence warning)</t>
  </si>
  <si>
    <t xml:space="preserve">Axios and the NYT report a memo from DNI Jay Clayton to Secretary Rubio saying Iran has 'substantially increased efforts to target US personnel' abroad, with plots at 'advanced stages'; Washington does not comment publicly</t>
  </si>
  <si>
    <t xml:space="preserve">Al Jazeera 2026-10-24; CBS News 2026-10-26</t>
  </si>
  <si>
    <t xml:space="preserve">Armed forces chief Ali Abdollahi says US warships will not enter the Gulf 'under any circumstances'; Iran's ambassador to Pakistan says Tehran is still open to talks under the June Pakistan-brokered interim deal</t>
  </si>
  <si>
    <t xml:space="preserve">Trump: 'do I make a deal with them, or do I finish them off?' and, asked about a strike, 'No. There will not be a strike today'</t>
  </si>
  <si>
    <t xml:space="preserve">CBS News 2026-10-26</t>
  </si>
  <si>
    <t xml:space="preserve">Diplomatic contact (via intermediaries)</t>
  </si>
  <si>
    <t xml:space="preserve">Iran's foreign ministry says messages are still being passed to the US through intermediaries; FM Araghchi says that with or without war 'our policies remain the same'</t>
  </si>
  <si>
    <t xml:space="preserve">Saudi Arabia/Pakistan/Turkey</t>
  </si>
  <si>
    <t xml:space="preserve">Diplomatic talks (regional)</t>
  </si>
  <si>
    <t xml:space="preserve">Saudi, Pakistani and Turkish officials meet in Tehran with Iran's security chief to discuss the fallout of the war and the fighting in Yemen; the US is not part of the meeting (a day after an eight-country foreign ministers' meeting in Istanbul on Oct 23 without the US or Iran)</t>
  </si>
  <si>
    <t xml:space="preserve">Al Jazeera 2026-10-26; Al Jazeera 2026-10-24</t>
  </si>
  <si>
    <t xml:space="preserve">Iran (students with state backing)</t>
  </si>
  <si>
    <t xml:space="preserve">Raid (US embassy takeover)</t>
  </si>
  <si>
    <t xml:space="preserve">US embassy, Tehran</t>
  </si>
  <si>
    <t xml:space="preserve">Students seize the US embassy in Tehran and hold about 60 Americans, first demanding the Shah's return; Revolutionary Guards loyal to Khomeini keep the compound</t>
  </si>
  <si>
    <t xml:space="preserve">More than 50 Americans held for 444 days</t>
  </si>
  <si>
    <t xml:space="preserve">State Department ; Washington Post 1979-11-06</t>
  </si>
  <si>
    <t xml:space="preserve">Hostage crisis</t>
  </si>
  <si>
    <t xml:space="preserve">P01</t>
  </si>
  <si>
    <t xml:space="preserve">Sanctions (ban on Iranian oil imports)</t>
  </si>
  <si>
    <t xml:space="preserve">Carter halts all US purchases of Iranian oil, about 700,000 barrels a day or nearly 10 percent of US imports</t>
  </si>
  <si>
    <t xml:space="preserve">Washington Post 1979-11-13</t>
  </si>
  <si>
    <t xml:space="preserve">Sanctions (freeze of Iranian government assets)</t>
  </si>
  <si>
    <t xml:space="preserve">Carter signs an order freezing Iranian government assets in the US; transfers now need Treasury approval</t>
  </si>
  <si>
    <t xml:space="preserve">Washington Post 1979-11-15</t>
  </si>
  <si>
    <t xml:space="preserve">Sanctions (export ban and break in relations)</t>
  </si>
  <si>
    <t xml:space="preserve">Carter announces the US is breaking diplomatic relations with Iran and orders a ban on US exports to Iran</t>
  </si>
  <si>
    <t xml:space="preserve">State Department 1980-04-07</t>
  </si>
  <si>
    <t xml:space="preserve">Operation (hostage rescue attempt, Eagle Claw)</t>
  </si>
  <si>
    <t xml:space="preserve">A US mission to free the hostages is called off after helicopter failures in the desert</t>
  </si>
  <si>
    <t xml:space="preserve">8 US servicemen killed</t>
  </si>
  <si>
    <t xml:space="preserve">Washington Post 1980-04-26</t>
  </si>
  <si>
    <t xml:space="preserve">Diplomatic demand (parliament sets terms for release)</t>
  </si>
  <si>
    <t xml:space="preserve">Iran's parliament sets conditions for freeing the hostages (a pledge not to interfere in Iran, unfreezing assets) and passes them to the US through Algeria</t>
  </si>
  <si>
    <t xml:space="preserve">Washington Post 1980-11-05</t>
  </si>
  <si>
    <t xml:space="preserve">P02</t>
  </si>
  <si>
    <t xml:space="preserve">US and Iran (Algerian mediation)</t>
  </si>
  <si>
    <t xml:space="preserve">Diplomatic talks (Algiers Accords, hostage deal)</t>
  </si>
  <si>
    <t xml:space="preserve">The US announces an agreement with Iran to free the 52 hostages, worked out through Algerian mediators</t>
  </si>
  <si>
    <t xml:space="preserve">Washington Post 1981-01-20</t>
  </si>
  <si>
    <t xml:space="preserve">Release (52 hostages freed)</t>
  </si>
  <si>
    <t xml:space="preserve">The 52 Americans leave Tehran on the morning Reagan is sworn in, after 444 days</t>
  </si>
  <si>
    <t xml:space="preserve">Hezbollah (Iran-backed; a US court found Iran directed it)</t>
  </si>
  <si>
    <t xml:space="preserve">Strike (truck bombing, Marine barracks)</t>
  </si>
  <si>
    <t xml:space="preserve">US Marines, Beirut</t>
  </si>
  <si>
    <t xml:space="preserve">Truck bomb hits the US Marine barracks in Beirut; in 2003 a US judge ruled Hezbollah carried it out at Iran's direction</t>
  </si>
  <si>
    <t xml:space="preserve">241 US servicemen killed</t>
  </si>
  <si>
    <t xml:space="preserve">Washington Post 2003-05-31</t>
  </si>
  <si>
    <t xml:space="preserve">Proxy war and Iran-Contra</t>
  </si>
  <si>
    <t xml:space="preserve">US and Israel (covert)</t>
  </si>
  <si>
    <t xml:space="preserve">Arms transfer (covert, Hawk missiles)</t>
  </si>
  <si>
    <t xml:space="preserve">Eighteen Hawk anti-aircraft missiles are flown from Israel to Iran as part of the secret arms-for-hostages channel</t>
  </si>
  <si>
    <t xml:space="preserve">Washington Post 1987-09-06</t>
  </si>
  <si>
    <t xml:space="preserve">US (covert, via Israel)</t>
  </si>
  <si>
    <t xml:space="preserve">Arms transfer (covert, TOW missiles)</t>
  </si>
  <si>
    <t xml:space="preserve">The first 500 TOW anti-tank missiles are delivered to Iran via Israel; a second 500 follow on Feb 27</t>
  </si>
  <si>
    <t xml:space="preserve">US (covert)</t>
  </si>
  <si>
    <t xml:space="preserve">Diplomatic mission (secret trip to Tehran)</t>
  </si>
  <si>
    <t xml:space="preserve">Former national security adviser McFarlane flies to Tehran with Hawk spare parts; the mission fails</t>
  </si>
  <si>
    <t xml:space="preserve">Diplomatic statement (Reagan address on arms to Iran)</t>
  </si>
  <si>
    <t xml:space="preserve">After the secret channel is exposed, Reagan tells the nation the US sent arms to Iran for 'access and influence' and denies it was a trade for hostages</t>
  </si>
  <si>
    <t xml:space="preserve">Washington Post 1986-11-14</t>
  </si>
  <si>
    <t xml:space="preserve">UN Security Council</t>
  </si>
  <si>
    <t xml:space="preserve">Diplomatic demand (Resolution 598)</t>
  </si>
  <si>
    <t xml:space="preserve">Iran and Iraq</t>
  </si>
  <si>
    <t xml:space="preserve">The Council unanimously demands an immediate ceasefire and a pull-back to the borders in the Iran-Iraq war</t>
  </si>
  <si>
    <t xml:space="preserve">UN 1987-07-20</t>
  </si>
  <si>
    <t xml:space="preserve">Force posture (Operation Earnest Will convoys begin)</t>
  </si>
  <si>
    <t xml:space="preserve">Persian Gulf</t>
  </si>
  <si>
    <t xml:space="preserve">The first US Navy escort convoy of reflagged Kuwaiti tankers leaves the UAE for Kuwait</t>
  </si>
  <si>
    <t xml:space="preserve">DoD 2018-04-13</t>
  </si>
  <si>
    <t xml:space="preserve">Tanker War</t>
  </si>
  <si>
    <t xml:space="preserve">P03</t>
  </si>
  <si>
    <t xml:space="preserve">Iran (mine, per US)</t>
  </si>
  <si>
    <t xml:space="preserve">Mine strike (reflagged tanker Bridgeton)</t>
  </si>
  <si>
    <t xml:space="preserve">Persian Gulf, near Farsi Island</t>
  </si>
  <si>
    <t xml:space="preserve">The US-flagged tanker Bridgeton hits an Iranian mine on the first Earnest Will convoy; the hull is holed but it reaches Kuwait</t>
  </si>
  <si>
    <t xml:space="preserve">Hull damage; the ship kept going</t>
  </si>
  <si>
    <t xml:space="preserve">Washington Post 1987-07-25; DoD 2018-04-13</t>
  </si>
  <si>
    <t xml:space="preserve">Seizure (Iran Ajr, Iranian minelaying ship)</t>
  </si>
  <si>
    <t xml:space="preserve">Iranian navy ship</t>
  </si>
  <si>
    <t xml:space="preserve">US Army helicopters fire on the Iranian ship Iran Ajr as its crew drops mines, and Navy SEALs board it</t>
  </si>
  <si>
    <t xml:space="preserve">Ship set on fire and later scuttled</t>
  </si>
  <si>
    <t xml:space="preserve">Washington Post 1987-09-23; DoD 2018-04-13</t>
  </si>
  <si>
    <t xml:space="preserve">Strike (Army helicopters sink an Iranian gunboat)</t>
  </si>
  <si>
    <t xml:space="preserve">Iranian speedboats</t>
  </si>
  <si>
    <t xml:space="preserve">Army helicopters answering a call from an observation helicopter sink one Iranian boat and badly damage two (the Washington Post reported three sunk)</t>
  </si>
  <si>
    <t xml:space="preserve">Iranian crew casualties not reported by allowed outlets</t>
  </si>
  <si>
    <t xml:space="preserve">Washington Post 1987-10-09; DoD 2018-04-13</t>
  </si>
  <si>
    <t xml:space="preserve">Strike (Silkworm missile, tanker Sungari)</t>
  </si>
  <si>
    <t xml:space="preserve">Tanker off Mina al-Ahmadi, Kuwait</t>
  </si>
  <si>
    <t xml:space="preserve">A Silkworm missile fired from the Faw peninsula hits the tanker Sungari and sets it on fire</t>
  </si>
  <si>
    <t xml:space="preserve">Tanker on fire</t>
  </si>
  <si>
    <t xml:space="preserve">Washington Post 1987-10-16; DoD 2018-04-13</t>
  </si>
  <si>
    <t xml:space="preserve">Strike (Silkworm missile, US-flagged Sea Isle City)</t>
  </si>
  <si>
    <t xml:space="preserve">Kuwaiti offshore terminal</t>
  </si>
  <si>
    <t xml:space="preserve">A second Silkworm hits the US-flagged tanker Sea Isle City at the Kuwaiti terminal</t>
  </si>
  <si>
    <t xml:space="preserve">18 wounded; the US master permanently blinded</t>
  </si>
  <si>
    <t xml:space="preserve">DoD 2018-04-13; White House 1987-10-19; Washington Post 1987-10-17</t>
  </si>
  <si>
    <t xml:space="preserve">P04</t>
  </si>
  <si>
    <t xml:space="preserve">Strike (destroyers shell an Iranian oil platform, Nimble Archer)</t>
  </si>
  <si>
    <t xml:space="preserve">Iranian platform, Rashadat field</t>
  </si>
  <si>
    <t xml:space="preserve">Four US destroyers shell and set ablaze an Iranian military platform; Reagan calls it a reprisal for the Silkworm attacks</t>
  </si>
  <si>
    <t xml:space="preserve">Platform destroyed; no casualties reported</t>
  </si>
  <si>
    <t xml:space="preserve">White House 1987-10-19; Washington Post 1987-10-20</t>
  </si>
  <si>
    <t xml:space="preserve">Strike (Silkworm missile, Sea Island terminal)</t>
  </si>
  <si>
    <t xml:space="preserve">Kuwait oil terminal</t>
  </si>
  <si>
    <t xml:space="preserve">A Silkworm hits Kuwait's Sea Island loading terminal and sets tanks on fire; the Washington Post ties it to the US reprisal</t>
  </si>
  <si>
    <t xml:space="preserve">3 workers hurt</t>
  </si>
  <si>
    <t xml:space="preserve">Washington Post 1987-10-23</t>
  </si>
  <si>
    <t xml:space="preserve">Mine strike (USS Samuel B. Roberts)</t>
  </si>
  <si>
    <t xml:space="preserve">The frigate USS Samuel B. Roberts hits an Iranian mine and is badly damaged</t>
  </si>
  <si>
    <t xml:space="preserve">10 sailors injured, 4 badly burned</t>
  </si>
  <si>
    <t xml:space="preserve">DoD ; DoD 2018-04-13</t>
  </si>
  <si>
    <t xml:space="preserve">P05</t>
  </si>
  <si>
    <t xml:space="preserve">Strike (Operation Praying Mantis, platforms and ships)</t>
  </si>
  <si>
    <t xml:space="preserve">Iranian platforms and warships</t>
  </si>
  <si>
    <t xml:space="preserve">The Navy destroys two Iranian oil platforms and sinks or cripples Iranian warships, the largest US surface action since World War II</t>
  </si>
  <si>
    <t xml:space="preserve">Iranian sailors killed (15 on one missile boat); 2 US Marines died in a helicopter crash that night</t>
  </si>
  <si>
    <t xml:space="preserve">DoD ; Washington Post 1988-04-19</t>
  </si>
  <si>
    <t xml:space="preserve">Strike (boats and missile boat attack ships)</t>
  </si>
  <si>
    <t xml:space="preserve">Merchant ships and USS Wainwright</t>
  </si>
  <si>
    <t xml:space="preserve">The same day Iranian gunboats damage three merchant ships and the missile boat Joshan fires a Harpoon at USS Wainwright</t>
  </si>
  <si>
    <t xml:space="preserve">3 merchant ships damaged</t>
  </si>
  <si>
    <t xml:space="preserve">Air defense (Vincennes shoots down Iran Air 655)</t>
  </si>
  <si>
    <t xml:space="preserve">Iranian airliner</t>
  </si>
  <si>
    <t xml:space="preserve">The cruiser USS Vincennes, in a clash with Iranian boats, shoots down an Iranian airliner; Reagan calls it a defensive action and expresses sympathy</t>
  </si>
  <si>
    <t xml:space="preserve">All 290 aboard killed (Navy history)</t>
  </si>
  <si>
    <t xml:space="preserve">White House 1988-07-03; DoD 2018-04-13</t>
  </si>
  <si>
    <t xml:space="preserve">Sanctions (Executive Order 12957, oil development)</t>
  </si>
  <si>
    <t xml:space="preserve">Clinton bars US firms from financing or managing Iranian oil development</t>
  </si>
  <si>
    <t xml:space="preserve">White House 1995-03-15</t>
  </si>
  <si>
    <t xml:space="preserve">Embargo and containment</t>
  </si>
  <si>
    <t xml:space="preserve">Sanctions (Executive Order 12959, trade and investment ban)</t>
  </si>
  <si>
    <t xml:space="preserve">Clinton bans most trade and new US investment with Iran</t>
  </si>
  <si>
    <t xml:space="preserve">White House 1995-05-06</t>
  </si>
  <si>
    <t xml:space="preserve">Saudi Hezbollah (Iran-backed, per a US indictment)</t>
  </si>
  <si>
    <t xml:space="preserve">Strike (truck bombing, Khobar Towers)</t>
  </si>
  <si>
    <t xml:space="preserve">US airmen, Saudi Arabia</t>
  </si>
  <si>
    <t xml:space="preserve">Truck bomb hits the Khobar Towers housing complex; a 2001 US indictment says elements of the Iranian government inspired, supported and supervised the group</t>
  </si>
  <si>
    <t xml:space="preserve">19 US airmen killed, 372 Americans wounded</t>
  </si>
  <si>
    <t xml:space="preserve">Justice Department 2001-06-21</t>
  </si>
  <si>
    <t xml:space="preserve">Sanctions (Iran and Libya Sanctions Act signed)</t>
  </si>
  <si>
    <t xml:space="preserve">Iran and Libya</t>
  </si>
  <si>
    <t xml:space="preserve">Clinton signs the act to cut off funds Iran and Libya use for terrorism and weapons of mass destruction</t>
  </si>
  <si>
    <t xml:space="preserve">White House 1996-08-05</t>
  </si>
  <si>
    <t xml:space="preserve">Diplomatic proposal (Albright offers a road map)</t>
  </si>
  <si>
    <t xml:space="preserve">Secretary of State Albright says the US could work with Iran 'when it is ready' on a road map to normal relations, while naming terrorism, human rights and weapons as concerns</t>
  </si>
  <si>
    <t xml:space="preserve">State Department 1998-06-18</t>
  </si>
  <si>
    <t xml:space="preserve">Indictment (Khobar Towers bombing)</t>
  </si>
  <si>
    <t xml:space="preserve">Saudi Hezbollah members</t>
  </si>
  <si>
    <t xml:space="preserve">The Justice Department charges 14 people over the Khobar bombing and says elements of the Iranian government inspired, supported and supervised the group</t>
  </si>
  <si>
    <t xml:space="preserve">Diplomatic statement (Bush names Iran in an 'axis of evil')</t>
  </si>
  <si>
    <t xml:space="preserve">In the State of the Union Bush says Iran 'aggressively pursues these weapons and exports terror' and names it, with Iraq and North Korea, an axis of evil</t>
  </si>
  <si>
    <t xml:space="preserve">White House 2002-01-29</t>
  </si>
  <si>
    <t xml:space="preserve">Nuclear file opens</t>
  </si>
  <si>
    <t xml:space="preserve">Diplomatic statement (White House on Iran's deal with Europe)</t>
  </si>
  <si>
    <t xml:space="preserve">The White House welcomes Iran's agreement with Britain, France and Germany but says the test is follow-through and that Iran must end enrichment and reprocessing</t>
  </si>
  <si>
    <t xml:space="preserve">White House 2003-10-21</t>
  </si>
  <si>
    <t xml:space="preserve">IAEA</t>
  </si>
  <si>
    <t xml:space="preserve">Diplomatic resolution (Board finds Iran in non-compliance)</t>
  </si>
  <si>
    <t xml:space="preserve">The IAEA Board of Governors finds Iran's failures and breaches amount to non-compliance</t>
  </si>
  <si>
    <t xml:space="preserve">IAEA </t>
  </si>
  <si>
    <t xml:space="preserve">Diplomatic resolution (Iran file to go to the UN Security Council)</t>
  </si>
  <si>
    <t xml:space="preserve">The IAEA Board asks that its reports and resolutions on Iran be sent to the UN Security Council</t>
  </si>
  <si>
    <t xml:space="preserve">Diplomatic proposal (Rice offers to join talks)</t>
  </si>
  <si>
    <t xml:space="preserve">Secretary of State Rice says the US will join Britain, France and Germany at the table if Iran fully and verifiably suspends enrichment, and warns of stronger sanctions if it does not</t>
  </si>
  <si>
    <t xml:space="preserve">State Department 2006-05-31</t>
  </si>
  <si>
    <t xml:space="preserve">Diplomatic demand (Resolution 1696)</t>
  </si>
  <si>
    <t xml:space="preserve">The Council demands that Iran halt uranium enrichment</t>
  </si>
  <si>
    <t xml:space="preserve">UN Security Council 2006-07-31</t>
  </si>
  <si>
    <t xml:space="preserve">Sanctions (Resolution 1737, first UN sanctions)</t>
  </si>
  <si>
    <t xml:space="preserve">The Council bans nuclear-related trade with Iran and freezes assets of key people and companies</t>
  </si>
  <si>
    <t xml:space="preserve">UN Security Council 2006-12-23</t>
  </si>
  <si>
    <t xml:space="preserve">Diplomatic statement (Bush blames the Quds Force for weapons in Iraq)</t>
  </si>
  <si>
    <t xml:space="preserve">Bush says he is certain Iranian-supplied weapons have been used against US forces in Iraq and blames the Quds Force; he says he does not know whether Iran's leaders ordered it</t>
  </si>
  <si>
    <t xml:space="preserve">Washington Post 2007-02-14</t>
  </si>
  <si>
    <t xml:space="preserve">Sanctions (Treasury targets three nuclear companies)</t>
  </si>
  <si>
    <t xml:space="preserve">Treasury designates Kalaye Electric, Kavoshyar and Pioneer Energy Industries as owned or controlled by Iran's Atomic Energy Organization</t>
  </si>
  <si>
    <t xml:space="preserve">Treasury 2007-02-16</t>
  </si>
  <si>
    <t xml:space="preserve">Sanctions (Resolution 1747, arms embargo)</t>
  </si>
  <si>
    <t xml:space="preserve">The Council adds a two-way arms embargo and widens the asset freeze</t>
  </si>
  <si>
    <t xml:space="preserve">UN Security Council 2007-03-24</t>
  </si>
  <si>
    <t xml:space="preserve">Sanctions (IRGC, Quds Force and two banks)</t>
  </si>
  <si>
    <t xml:space="preserve">State and Treasury designate the Revolutionary Guard, the Quds Force and Banks Melli and Mellat</t>
  </si>
  <si>
    <t xml:space="preserve">Treasury 2007-10-25</t>
  </si>
  <si>
    <t xml:space="preserve">Diplomatic statement (intelligence estimate released)</t>
  </si>
  <si>
    <t xml:space="preserve">National security adviser Hadley releases the intelligence estimate on Iran's nuclear program and says pressure must continue while the US stays open to talks</t>
  </si>
  <si>
    <t xml:space="preserve">White House 2007-12-03</t>
  </si>
  <si>
    <t xml:space="preserve">Iran (IRGC Navy, per the Navy)</t>
  </si>
  <si>
    <t xml:space="preserve">Naval confrontation (speedboats close on three US warships)</t>
  </si>
  <si>
    <t xml:space="preserve">Five fast boats close on the cruiser Port Royal, the destroyer Hopper and the frigate Ingraham; the US ships prepare to fire before the boats turn away</t>
  </si>
  <si>
    <t xml:space="preserve">No shots fired</t>
  </si>
  <si>
    <t xml:space="preserve">DoD </t>
  </si>
  <si>
    <t xml:space="preserve">Sanctions (Resolution 1803)</t>
  </si>
  <si>
    <t xml:space="preserve">The Council again requires Iran to stop all enrichment and adds measures on people and companies</t>
  </si>
  <si>
    <t xml:space="preserve">UN Security Council 2008-03-03</t>
  </si>
  <si>
    <t xml:space="preserve">Diplomatic proposal (Obama offers engagement)</t>
  </si>
  <si>
    <t xml:space="preserve">In a Nowruz video message Obama offers 'engagement that is honest and grounded in mutual respect' and a new beginning</t>
  </si>
  <si>
    <t xml:space="preserve">White House 2009-03-20</t>
  </si>
  <si>
    <t xml:space="preserve">US, UK and France</t>
  </si>
  <si>
    <t xml:space="preserve">Diplomatic statement (secret enrichment site near Qom)</t>
  </si>
  <si>
    <t xml:space="preserve">The three leaders say Iran has been building a covert enrichment plant near Qom and tell the IAEA the day before</t>
  </si>
  <si>
    <t xml:space="preserve">White House 2009-09-25</t>
  </si>
  <si>
    <t xml:space="preserve">Sanctions (Resolution 1929)</t>
  </si>
  <si>
    <t xml:space="preserve">The Council passes tighter sanctions on nuclear and missile activity; Obama calls them the toughest Iran has faced</t>
  </si>
  <si>
    <t xml:space="preserve">UN Security Council 2010-06-09; White House 2010-06-09</t>
  </si>
  <si>
    <t xml:space="preserve">Sanctions build-up</t>
  </si>
  <si>
    <t xml:space="preserve">Sanctions (CISADA signed)</t>
  </si>
  <si>
    <t xml:space="preserve">Obama signs the Comprehensive Iran Sanctions, Accountability and Divestment Act; Treasury gains power to cut off foreign banks that serve Iran's nuclear program or the Guard</t>
  </si>
  <si>
    <t xml:space="preserve">Treasury 2010-07-01</t>
  </si>
  <si>
    <t xml:space="preserve">Iran (Quds Force, per US)</t>
  </si>
  <si>
    <t xml:space="preserve">Plot (to kill the Saudi ambassador in Washington)</t>
  </si>
  <si>
    <t xml:space="preserve">Saudi ambassador to the US</t>
  </si>
  <si>
    <t xml:space="preserve">The US says it has foiled an Iranian plot to assassinate the Saudi ambassador</t>
  </si>
  <si>
    <t xml:space="preserve">Foiled; no casualties</t>
  </si>
  <si>
    <t xml:space="preserve">Treasury 2011-10-11</t>
  </si>
  <si>
    <t xml:space="preserve">P06</t>
  </si>
  <si>
    <t xml:space="preserve">Sanctions (five people tied to the plot)</t>
  </si>
  <si>
    <t xml:space="preserve">Iran (Quds Force)</t>
  </si>
  <si>
    <t xml:space="preserve">Treasury designates five individuals over the plot</t>
  </si>
  <si>
    <t xml:space="preserve">Sanctions (energy order and money-laundering finding)</t>
  </si>
  <si>
    <t xml:space="preserve">Executive Order 13590 targets help to Iran's oil and petrochemical sectors, and Iran's whole financial sector, including its central bank, is named a primary money-laundering concern</t>
  </si>
  <si>
    <t xml:space="preserve">Treasury 2011-11-21</t>
  </si>
  <si>
    <t xml:space="preserve">Drone capture (US RQ-170, Iran claims electronic ambush)</t>
  </si>
  <si>
    <t xml:space="preserve">US drone</t>
  </si>
  <si>
    <t xml:space="preserve">Iran says it brought down a US stealth drone and shows it on TV; US officials do not dispute it has the aircraft and think a malfunction is more likely</t>
  </si>
  <si>
    <t xml:space="preserve">Drone lost</t>
  </si>
  <si>
    <t xml:space="preserve">Washington Post 2011-12-08; Washington Post 2011-12-04</t>
  </si>
  <si>
    <t xml:space="preserve">Sanctions (Executive Order 13599 freezes Iranian assets)</t>
  </si>
  <si>
    <t xml:space="preserve">Obama's order freezes the property of the Iranian government, its central bank and Iranian banks under US jurisdiction</t>
  </si>
  <si>
    <t xml:space="preserve">Treasury 2012-02-06</t>
  </si>
  <si>
    <t xml:space="preserve">Diplomatic talks (Obama and Rouhani speak by phone)</t>
  </si>
  <si>
    <t xml:space="preserve">The first call between US and Iranian presidents since 1979; Obama says a comprehensive nuclear solution is possible</t>
  </si>
  <si>
    <t xml:space="preserve">White House 2013-09-27</t>
  </si>
  <si>
    <t xml:space="preserve">Nuclear deal years</t>
  </si>
  <si>
    <t xml:space="preserve">Diplomatic talks (Geneva first-step deal reached)</t>
  </si>
  <si>
    <t xml:space="preserve">Iran halts some enrichment and gets limited relief; a six-month window opens for a full deal (the IAEA dates the deal Nov 24)</t>
  </si>
  <si>
    <t xml:space="preserve">White House 2013-11-23; IAEA </t>
  </si>
  <si>
    <t xml:space="preserve">P07</t>
  </si>
  <si>
    <t xml:space="preserve">Economic relief (first-step deal takes effect)</t>
  </si>
  <si>
    <t xml:space="preserve">Treasury pauses efforts to cut Iran's oil exports further, suspends sanctions on petrochemicals, gold and autos, and lets Iran reach a limited amount of frozen funds</t>
  </si>
  <si>
    <t xml:space="preserve">Treasury 2014-01-20</t>
  </si>
  <si>
    <t xml:space="preserve">Diplomatic talks (Lausanne framework announced)</t>
  </si>
  <si>
    <t xml:space="preserve">The key parameters of a final nuclear deal are announced in Lausanne</t>
  </si>
  <si>
    <t xml:space="preserve">State Department 2015-04-02</t>
  </si>
  <si>
    <t xml:space="preserve">Seizure (container ship Maersk Tigris)</t>
  </si>
  <si>
    <t xml:space="preserve">Iranian forces fire on and board the Marshall Islands-flagged container ship Maersk Tigris</t>
  </si>
  <si>
    <t xml:space="preserve">Ship seized</t>
  </si>
  <si>
    <t xml:space="preserve">Washington Post 2015-04-28</t>
  </si>
  <si>
    <t xml:space="preserve">P08</t>
  </si>
  <si>
    <t xml:space="preserve">Force posture (destroyer sent toward the Tigris)</t>
  </si>
  <si>
    <t xml:space="preserve">The Pentagon sends surveillance aircraft and orders the destroyer USS Farragut toward the Tigris</t>
  </si>
  <si>
    <t xml:space="preserve">Diplomatic talks (nuclear deal reached)</t>
  </si>
  <si>
    <t xml:space="preserve">Obama announces a comprehensive long-term nuclear deal with Iran and the world powers</t>
  </si>
  <si>
    <t xml:space="preserve">White House 2015-07-14</t>
  </si>
  <si>
    <t xml:space="preserve">Diplomatic resolution (Resolution 2231 endorses the deal)</t>
  </si>
  <si>
    <t xml:space="preserve">The Council unanimously endorses the nuclear deal and sets a timetable to end its earlier sanctions resolutions</t>
  </si>
  <si>
    <t xml:space="preserve">UN Security Council 2015-07-20</t>
  </si>
  <si>
    <t xml:space="preserve">Seizure (US Navy boats and sailors)</t>
  </si>
  <si>
    <t xml:space="preserve">Farsi Island</t>
  </si>
  <si>
    <t xml:space="preserve">Iran holds US sailors who strayed into Iranian waters between Kuwait and Bahrain; they are freed within 24 hours</t>
  </si>
  <si>
    <t xml:space="preserve">No injuries reported; videos of the sailors released</t>
  </si>
  <si>
    <t xml:space="preserve">State Department 2016-01-13; White House 2016-01-17</t>
  </si>
  <si>
    <t xml:space="preserve">Economic relief (Implementation Day)</t>
  </si>
  <si>
    <t xml:space="preserve">After the IAEA verifies Iran's steps, the US and EU lift nuclear-related sanctions</t>
  </si>
  <si>
    <t xml:space="preserve">State Department 2016-01-16</t>
  </si>
  <si>
    <t xml:space="preserve">Diplomatic exchange (prisoners swapped)</t>
  </si>
  <si>
    <t xml:space="preserve">Iran frees several Americans, including Jason Rezaian, and the US grants clemency to seven Iranians</t>
  </si>
  <si>
    <t xml:space="preserve">White House 2016-01-17</t>
  </si>
  <si>
    <t xml:space="preserve">Sanctions (missile program and Quds Force supporters)</t>
  </si>
  <si>
    <t xml:space="preserve">Treasury sanctions 25 people and companies; National Security Adviser Flynn says Iran's provocations will no longer be tolerated</t>
  </si>
  <si>
    <t xml:space="preserve">Treasury 2017-02-03; White House 2017-02-03</t>
  </si>
  <si>
    <t xml:space="preserve">Sanctions (CAATSA signed)</t>
  </si>
  <si>
    <t xml:space="preserve">Iran, Russia and North Korea</t>
  </si>
  <si>
    <t xml:space="preserve">Trump signs the act with new sanctions on Iran, Russia and North Korea, calling it 'seriously flawed'</t>
  </si>
  <si>
    <t xml:space="preserve">White House 2017-08-02</t>
  </si>
  <si>
    <t xml:space="preserve">Diplomatic statement (Trump will not certify the nuclear deal)</t>
  </si>
  <si>
    <t xml:space="preserve">Trump announces a new Iran strategy and says he cannot certify that the deal's sanctions relief is proportionate</t>
  </si>
  <si>
    <t xml:space="preserve">White House 2017-10-13</t>
  </si>
  <si>
    <t xml:space="preserve">Diplomatic decision (Trump leaves the nuclear deal)</t>
  </si>
  <si>
    <t xml:space="preserve">Trump says the US will withdraw from the nuclear deal and signs a memorandum to start restoring nuclear sanctions</t>
  </si>
  <si>
    <t xml:space="preserve">White House 2018-05-08</t>
  </si>
  <si>
    <t xml:space="preserve">Maximum pressure begins</t>
  </si>
  <si>
    <t xml:space="preserve">P09</t>
  </si>
  <si>
    <t xml:space="preserve">Diplomatic demand (Pompeo's twelve demands)</t>
  </si>
  <si>
    <t xml:space="preserve">Pompeo lists twelve demands, including an end to enrichment and to missile and proxy support, before any new deal</t>
  </si>
  <si>
    <t xml:space="preserve">State Department 2018-05-21</t>
  </si>
  <si>
    <t xml:space="preserve">Sanctions (first set of nuclear-deal sanctions reimposed)</t>
  </si>
  <si>
    <t xml:space="preserve">Trump's order restores sanctions on dollar purchases, metals, autos and Iran's currency, taking effect Aug 7</t>
  </si>
  <si>
    <t xml:space="preserve">White House 2018-08-06</t>
  </si>
  <si>
    <t xml:space="preserve">Force posture (Basra consulate on ordered departure)</t>
  </si>
  <si>
    <t xml:space="preserve">Basra, Iraq</t>
  </si>
  <si>
    <t xml:space="preserve">Pompeo puts the US consulate in Basra on ordered departure; services move to the Baghdad embassy</t>
  </si>
  <si>
    <t xml:space="preserve">State Department 2018-09-28</t>
  </si>
  <si>
    <t xml:space="preserve">P10</t>
  </si>
  <si>
    <t xml:space="preserve">Diplomatic statement (Pompeo blames Iran for attacks on US missions in Iraq)</t>
  </si>
  <si>
    <t xml:space="preserve">Pompeo says Iran is to blame for the attacks on the Basra consulate and the Baghdad embassy, orders staff out of Basra and warns Tehran it will be held accountable, including for proxies</t>
  </si>
  <si>
    <t xml:space="preserve">State Department 2018-10-03</t>
  </si>
  <si>
    <t xml:space="preserve">Sanctions (all nuclear-deal sanctions reimposed)</t>
  </si>
  <si>
    <t xml:space="preserve">Treasury restores the remaining sanctions that had been lifted or waived and lists more than 700 people, companies, ships and aircraft</t>
  </si>
  <si>
    <t xml:space="preserve">Treasury 2018-11-05</t>
  </si>
  <si>
    <t xml:space="preserve">Sanctions (Revolutionary Guard named a terrorist organization)</t>
  </si>
  <si>
    <t xml:space="preserve">Iran (IRGC, including the Quds Force)</t>
  </si>
  <si>
    <t xml:space="preserve">State announces it will list the Guard as a Foreign Terrorist Organization, effective Apr 15</t>
  </si>
  <si>
    <t xml:space="preserve">State Department 2019-04-08</t>
  </si>
  <si>
    <t xml:space="preserve">Sanctions (oil purchase waivers to end)</t>
  </si>
  <si>
    <t xml:space="preserve">State says it will not renew the exceptions that let eight countries buy Iranian oil; they expire May 2</t>
  </si>
  <si>
    <t xml:space="preserve">CRS 2019-04-22</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</si>
  <si>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</si>
  <si>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</si>
  <si>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</si>
  <si>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</si>
  <si>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</si>
  <si>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</si>
  <si>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</si>
  <si>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</si>
  <si>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</si>
  <si>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</si>
  <si>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</si>
  <si>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</si>
  <si>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</si>
  <si>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</si>
  <si>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</si>
  <si>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</si>
  <si>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P11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</si>
  <si>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</si>
  <si>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</si>
  <si>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</si>
  <si>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</si>
  <si>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</si>
  <si>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</si>
  <si>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</si>
  <si>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P12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</si>
  <si>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</si>
  <si>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</si>
  <si>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</si>
  <si>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</si>
  <si>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</si>
  <si>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</si>
  <si>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</si>
  <si>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</si>
  <si>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</si>
  <si>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</si>
  <si>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</si>
  <si>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</si>
  <si>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</si>
  <si>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</si>
  <si>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</si>
  <si>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P13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</si>
  <si>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</si>
  <si>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</si>
  <si>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</si>
  <si>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</si>
  <si>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</si>
  <si>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</si>
  <si>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</si>
  <si>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</si>
  <si>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</si>
  <si>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</si>
  <si>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</si>
  <si>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P14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</si>
  <si>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</si>
  <si>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</si>
  <si>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</si>
  <si>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</si>
  <si>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</si>
  <si>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</si>
  <si>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</si>
  <si>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</si>
  <si>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</si>
  <si>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</si>
  <si>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</si>
  <si>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</si>
  <si>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</si>
  <si>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</si>
  <si>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</si>
  <si>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</si>
  <si>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</si>
  <si>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</si>
  <si>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</si>
  <si>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</si>
  <si>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</si>
  <si>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</si>
  <si>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</si>
  <si>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</si>
  <si>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P15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</si>
  <si>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</si>
  <si>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</si>
  <si>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</si>
  <si>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</si>
  <si>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</si>
  <si>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</si>
  <si>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</si>
  <si>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</si>
  <si>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</si>
  <si>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</si>
  <si>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</si>
  <si>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</si>
  <si>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</si>
  <si>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</si>
  <si>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</si>
  <si>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</si>
  <si>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</si>
  <si>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</si>
  <si>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</si>
  <si>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P16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</si>
  <si>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</si>
  <si>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</si>
  <si>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</si>
  <si>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</si>
  <si>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</si>
  <si>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</si>
  <si>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</si>
  <si>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</si>
  <si>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</si>
  <si>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P17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</si>
  <si>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</si>
  <si>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</si>
  <si>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</si>
  <si>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</si>
  <si>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</si>
  <si>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</si>
  <si>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</si>
  <si>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</si>
  <si>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</si>
  <si>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</si>
  <si>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</si>
  <si>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P18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</si>
  <si>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</si>
  <si>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</si>
  <si>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</si>
  <si>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</si>
  <si>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</si>
  <si>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</si>
  <si>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</si>
  <si>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</si>
  <si>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</si>
  <si>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</si>
  <si>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</si>
  <si>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</si>
  <si>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</si>
  <si>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</si>
  <si>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</si>
  <si>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</si>
  <si>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</si>
  <si>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</si>
  <si>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</si>
  <si>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</si>
  <si>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</si>
  <si>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</si>
  <si>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</si>
  <si>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</si>
  <si>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</si>
  <si>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</si>
  <si>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</si>
  <si>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</si>
  <si>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</si>
  <si>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</si>
  <si>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</si>
  <si>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P19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</si>
  <si>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</si>
  <si>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</si>
  <si>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</si>
  <si>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</si>
  <si>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</si>
  <si>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</si>
  <si>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</si>
  <si>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</si>
  <si>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</si>
  <si>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</si>
  <si>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</si>
  <si>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</si>
  <si>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P20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</si>
  <si>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</si>
  <si>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</si>
  <si>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</si>
  <si>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</si>
  <si>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</si>
  <si>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</si>
  <si>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</si>
  <si>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</si>
  <si>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</si>
  <si>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</si>
  <si>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</si>
  <si>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</si>
  <si>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</si>
  <si>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</si>
  <si>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</si>
  <si>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</si>
  <si>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</si>
  <si>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</si>
  <si>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</si>
  <si>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</si>
  <si>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</si>
  <si>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</si>
  <si>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P21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</si>
  <si>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</si>
  <si>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</si>
  <si>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</si>
  <si>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</si>
  <si>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</si>
  <si>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P22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</si>
  <si>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</si>
  <si>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</si>
  <si>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</si>
  <si>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</si>
  <si>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</si>
  <si>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</si>
  <si>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</si>
  <si>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</si>
  <si>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</si>
  <si>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</si>
  <si>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</si>
  <si>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</si>
  <si>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</si>
  <si>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</si>
  <si>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</si>
  <si>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</si>
  <si>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</si>
  <si>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</si>
  <si>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P23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</si>
  <si>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</si>
  <si>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</si>
  <si>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</si>
  <si>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</si>
  <si>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</si>
  <si>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</si>
  <si>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</si>
  <si>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</si>
  <si>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</si>
  <si>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</si>
  <si>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</si>
  <si>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</si>
  <si>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</si>
  <si>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</si>
  <si>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</si>
  <si>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</si>
  <si>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</si>
  <si>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</si>
  <si>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</si>
  <si>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</si>
  <si>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</si>
  <si>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</si>
  <si>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</si>
  <si>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</si>
  <si>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</si>
  <si>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</si>
  <si>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</si>
  <si>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</si>
  <si>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</si>
  <si>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</si>
  <si>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</si>
  <si>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</si>
  <si>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</si>
  <si>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</si>
  <si>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</si>
  <si>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</si>
  <si>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</si>
  <si>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</si>
  <si>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</si>
  <si>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</si>
  <si>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</si>
  <si>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</si>
  <si>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</si>
  <si>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</si>
  <si>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</si>
  <si>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</si>
  <si>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</si>
  <si>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</si>
  <si>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</si>
  <si>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</si>
  <si>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</si>
  <si>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</si>
  <si>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</si>
  <si>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</si>
  <si>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</si>
  <si>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</si>
  <si>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</si>
  <si>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</si>
  <si>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</si>
  <si>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</si>
  <si>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</si>
  <si>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</si>
  <si>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</si>
  <si>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</si>
  <si>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</si>
  <si>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</si>
  <si>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</si>
  <si>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</si>
  <si>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</si>
  <si>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</si>
  <si>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</si>
  <si>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</si>
  <si>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</si>
  <si>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</si>
  <si>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</si>
  <si>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The US answers the hostage-taking with a rescue attempt five months later; eight US servicemen die in the failed mission</t>
  </si>
  <si>
    <t xml:space="preserve">The US shells an Iranian platform three days after Silkworm missiles hit a US-flagged tanker; no casualties reported</t>
  </si>
  <si>
    <t xml:space="preserve">A Silkworm hits Kuwait's Sea Island terminal three days after the US reprisal; three workers hurt</t>
  </si>
  <si>
    <t xml:space="preserve">Operation Praying Mantis four days after the Roberts hit a mine; Iranian sailors killed</t>
  </si>
  <si>
    <t xml:space="preserve">Iranian boats and a missile boat attack ships the same day as Praying Mantis; damage but no deaths reported</t>
  </si>
  <si>
    <t xml:space="preserve">The Pentagon sends a destroyer the day Iran seizes the Maersk Tigris; no casualties</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</si>
  <si>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</si>
  <si>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</si>
  <si>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</si>
  <si>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</si>
  <si>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</si>
  <si>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</si>
  <si>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</si>
  <si>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</si>
  <si>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</si>
  <si>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</si>
  <si>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</si>
  <si>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</si>
  <si>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</si>
  <si>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</si>
  <si>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</si>
  <si>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</si>
  <si>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</si>
  <si>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</si>
  <si>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</si>
  <si>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</si>
  <si>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</si>
  <si>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</si>
  <si>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</si>
  <si>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</si>
  <si>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</si>
  <si>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</si>
  <si>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</si>
  <si>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</si>
  <si>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</si>
  <si>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</si>
  <si>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</si>
  <si>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</si>
  <si>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</si>
  <si>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</si>
  <si>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</si>
  <si>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</si>
  <si>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</si>
  <si>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</si>
  <si>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</si>
  <si>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</si>
  <si>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</si>
  <si>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</si>
  <si>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</si>
  <si>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</si>
  <si>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</si>
  <si>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</si>
  <si>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</si>
  <si>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</si>
  <si>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</si>
  <si>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</si>
  <si>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</si>
  <si>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</si>
  <si>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</si>
  <si>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</si>
  <si>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</si>
  <si>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</si>
  <si>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</si>
  <si>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</si>
  <si>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</si>
  <si>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</si>
  <si>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</si>
  <si>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</si>
  <si>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</si>
  <si>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</si>
  <si>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</si>
  <si>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</si>
  <si>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</si>
  <si>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</si>
  <si>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</si>
  <si>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</si>
  <si>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</si>
  <si>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</si>
  <si>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</si>
  <si>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</si>
  <si>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</si>
  <si>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</si>
  <si>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</si>
  <si>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</si>
  <si>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Corrected. Reply #45: Corrected</t>
  </si>
  <si>
    <t xml:space="preserve">Apache downed -&gt; US self-defense strikes within hours (pair 11).</t>
  </si>
  <si>
    <t xml:space="preserve">Trigger: Corrected.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</si>
  <si>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</si>
  <si>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</si>
  <si>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</si>
  <si>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</si>
  <si>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</si>
  <si>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</si>
  <si>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</si>
  <si>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</si>
  <si>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</si>
  <si>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</si>
  <si>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</si>
  <si>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</si>
  <si>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</si>
  <si>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</si>
  <si>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</si>
  <si>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</si>
  <si>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Verified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</si>
  <si>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</si>
  <si>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</si>
  <si>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</si>
  <si>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</si>
  <si>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</si>
  <si>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</si>
  <si>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</si>
  <si>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</si>
  <si>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</si>
  <si>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</si>
  <si>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</si>
  <si>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</si>
  <si>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</si>
  <si>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</si>
  <si>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</si>
  <si>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</si>
  <si>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</si>
  <si>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</si>
  <si>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</si>
  <si>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</si>
  <si>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</si>
  <si>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(checked Oct 26). No Iranian attack on US forces, bases or US-flagged ships Oct 15-20. Shipping attacks continued (#112, #113, #114, #117); no outlet ties them to these sanctions. [Proposed: N, as for #85/#87.]</t>
  </si>
  <si>
    <t xml:space="preserve">US shadow-fleet sanctions, Oct 21. Window runs to Oct 26; check next week. So far: IRGC claims of tanker hits Oct 22-23 (#121, #123) and a threat against US bases, no attack on US forces found.</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</si>
  <si>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</si>
  <si>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</si>
  <si>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</si>
  <si>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</si>
  <si>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</si>
  <si>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</si>
  <si>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</si>
  <si>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</si>
  <si>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</si>
  <si>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</si>
  <si>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</si>
  <si>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</si>
  <si>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</si>
  <si>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</si>
  <si>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</si>
  <si>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</si>
  <si>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</si>
  <si>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</si>
  <si>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</si>
  <si>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</si>
  <si>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</si>
  <si>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</si>
  <si>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</si>
  <si>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</si>
  <si>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</si>
  <si>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</si>
  <si>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</si>
  <si>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</si>
  <si>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</si>
  <si>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Oil import ban, Nov 12, 1979. The hostages stayed in captivity, but no new Iranian attack on US forces or ships was found Nov 13-17.</t>
  </si>
  <si>
    <t xml:space="preserve">Asset freeze, Nov 14, 1979. No new Iranian attack found Nov 15-19.</t>
  </si>
  <si>
    <t xml:space="preserve">Export ban and break in relations, Apr 7, 1980. No new Iranian attack found Apr 8-12.</t>
  </si>
  <si>
    <t xml:space="preserve">Oil-development ban, Mar 15, 1995. No Iranian attack on US forces, ships or citizens found Mar 16-20.</t>
  </si>
  <si>
    <t xml:space="preserve">Trade and investment ban, May 6, 1995. No Iranian attack found May 7-11.</t>
  </si>
  <si>
    <t xml:space="preserve">Iran and Libya Sanctions Act, Aug 5, 1996. No Iranian attack found Aug 6-10.</t>
  </si>
  <si>
    <t xml:space="preserve">Nuclear-company sanctions, Feb 16, 2007. Iran-backed militias were attacking US troops in Iraq almost daily, so a five-day gap shows nothing.</t>
  </si>
  <si>
    <t xml:space="preserve">Guard, Quds Force and bank sanctions, Oct 25, 2007. Same reason as #340: militia attacks in Iraq were near-daily.</t>
  </si>
  <si>
    <t xml:space="preserve">CISADA signed, Jul 1, 2010. No Iranian attack found Jul 2-6.</t>
  </si>
  <si>
    <t xml:space="preserve">Sanctions on five people over the Saudi-ambassador plot, Oct 11, 2011. No Iranian attack found Oct 12-16.</t>
  </si>
  <si>
    <t xml:space="preserve">Energy order and money-laundering finding, Nov 21, 2011. No Iranian attack on US targets found Nov 22-26 (the mob attack on the British embassy came Nov 29 and hit the UK).</t>
  </si>
  <si>
    <t xml:space="preserve">Order freezing Iranian assets, Feb 6, 2012. No Iranian attack found Feb 7-11.</t>
  </si>
  <si>
    <t xml:space="preserve">Missile-program sanctions, Feb 3, 2017. No Iranian attack found Feb 4-8.</t>
  </si>
  <si>
    <t xml:space="preserve">CAATSA signed, Aug 2, 2017. No Iranian attack found Aug 3-7.</t>
  </si>
  <si>
    <t xml:space="preserve">First set of deal sanctions reimposed, Aug 6, 2018. No Iranian attack found Aug 7-11.</t>
  </si>
  <si>
    <t xml:space="preserve">All remaining deal sanctions reimposed, Nov 5, 2018. No Iranian attack found Nov 6-10.</t>
  </si>
  <si>
    <t xml:space="preserve">Guard named a terrorist organization, Apr 8, 2019. No Iranian attack on US forces or ships found Apr 9-13.</t>
  </si>
  <si>
    <t xml:space="preserve">Oil waivers to end, Apr 22, 2019. No Iranian attack found Apr 23-27 (the next logged act was the Fujairah sabotage on May 12, #202).</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</si>
  <si>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</si>
  <si>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</si>
  <si>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</si>
  <si>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</si>
  <si>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</si>
  <si>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</si>
  <si>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 #316, #317, #320, #323.</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</si>
  <si>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</si>
  <si>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</si>
  <si>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Tanker War, Jul 22, 1987 - Jul 3, 1988: Iran and Iraq were hitting ships almost every week, so every US move has a 'reply' by default. US moves in that stretch (#316, #317, #320, #323) are logged and linked but not counted. Nimble Archer (#320) had a press-linked Silkworm reply three days later and Praying Mantis (#323) drew Iranian attacks the same day; both would count if the stretch were not left out.</t>
  </si>
  <si>
    <t xml:space="preserve">Early rows not counted: #304 (covert rescue attempt), #309-#311 (covert arms deliveries and the secret trip), #314 and #360 (deployments, measured separately), #325 (accidental airliner shootdown), #340 and #342 (Iran-backed militia attacks in Iraq were near-daily in 2007, so no clean 5-day read), and all talks, statements and UN or IAEA rows.</t>
  </si>
  <si>
    <t xml:space="preserve">Before 2019 the record is a sample of the big moments, not every day. An N row means no new Iranian attack was found in the pages read, not that the days were searched one by one.</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</si>
  <si>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</si>
  <si>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</si>
  <si>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</si>
  <si>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2026-10-26: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</si>
  <si>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</si>
  <si>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</si>
  <si>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</si>
  <si>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</si>
  <si>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</si>
  <si>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</si>
  <si>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</si>
  <si>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</si>
  <si>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</si>
  <si>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</si>
  <si>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</si>
  <si>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</si>
  <si>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</si>
  <si>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</si>
  <si>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</si>
  <si>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~2.4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</si>
  <si>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</si>
  <si>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</si>
  <si>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~2.4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</si>
  <si>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</si>
  <si>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</si>
  <si>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</si>
  <si>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</si>
  <si>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</si>
  <si>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</si>
  <si>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</si>
  <si>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23 past conciliatory US moves (timing only, not shown to be replies). Reply rate to diplomacy: not measured (not counted here).</t>
  </si>
  <si>
    <t xml:space="preserve">No interceptor use expected from the move itself.</t>
  </si>
  <si>
    <t xml:space="preserve">Attacks on shipping, 7 days before -&gt; after past cases: 4 -&gt; 8 (total). Oil prices and shipping costs: not measured.</t>
  </si>
  <si>
    <t xml:space="preserve">Talks within 14 days after: 7 of 23 (statements and threats do not count).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</si>
  <si>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</si>
  <si>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</si>
  <si>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23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</si>
  <si>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</si>
  <si>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</si>
  <si>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</si>
  <si>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25 (0%) (range 0%-13%). Fast (within 2 days): No past replies to measure. Back-and-forth past one reply: No past replies. In the current quiet phase: 0 of 2.</t>
  </si>
  <si>
    <t xml:space="preserve">Attacks on shipping, 7 days before -&gt; after past cases: 7 -&gt; 15 (total). Oil prices and shipping costs: not measured.</t>
  </si>
  <si>
    <t xml:space="preserve">Talks within 14 days after: 4 of 29 (statements and threats do not count). Strain with allies (Jordan, Gulf states, UK): not measured.</t>
  </si>
  <si>
    <t xml:space="preserve">Economic pressure without casualties or interceptor use. No counted sanctions case, back to 1979,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</si>
  <si>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</si>
  <si>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</si>
  <si>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</si>
  <si>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</si>
  <si>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</si>
  <si>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~34% (all chains, n=29).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</si>
  <si>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</si>
  <si>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</si>
  <si>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within 14 days after: 1 of 7 (statements and threats do not count).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</si>
  <si>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</si>
  <si>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</si>
  <si>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</si>
  <si>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</si>
  <si>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</si>
  <si>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</si>
  <si>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~34% (all chains, n=29).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</si>
  <si>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</si>
  <si>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</si>
  <si>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within 14 days after: 1 of 3 (statements and threats do not count).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</si>
  <si>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</si>
  <si>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</si>
  <si>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</si>
  <si>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</si>
  <si>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</si>
  <si>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</si>
  <si>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~34% (all chains, n=29).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</si>
  <si>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</si>
  <si>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</si>
  <si>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within 14 days after: 2 of 12 (statements and threats do not count).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</si>
  <si>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</si>
  <si>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</si>
  <si>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</si>
  <si>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</si>
  <si>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</si>
  <si>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~34% (all chains, n=29).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</si>
  <si>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</si>
  <si>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</si>
  <si>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</si>
  <si>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</si>
  <si>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</si>
  <si>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</si>
  <si>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12 past posture changes (all early October). Not tested as triggers.</t>
  </si>
  <si>
    <t xml:space="preserve">Attacks on shipping, 7 days before -&gt; after past cases: 3 -&gt; 12 (total). Oil prices and shipping costs: not measured.</t>
  </si>
  <si>
    <t xml:space="preserve">Talks within 14 days after: 4 of 12 (statements and threats do not count).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</si>
  <si>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</si>
  <si>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</si>
  <si>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12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</si>
  <si>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</si>
  <si>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</si>
  <si>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</si>
  <si>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</si>
  <si>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</si>
  <si>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</si>
  <si>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</si>
  <si>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</si>
  <si>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</si>
  <si>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</si>
  <si>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</si>
  <si>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</si>
  <si>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</si>
  <si>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counted as past cases with a reply test, so there is no reply rate. The last rounds (Sep 23 - Oct 9) drew rejections and counter-offers, not attacks. Iran called the US answer 'insufficient' (Oct 11) and on Oct 18 said it was still reviewing US 'comments'.</t>
  </si>
  <si>
    <t xml:space="preserve">0 of 25 (0%)</t>
  </si>
  <si>
    <t xml:space="preserve">0%-13%</t>
  </si>
  <si>
    <t xml:space="preserve">0 of 2</t>
  </si>
  <si>
    <t xml:space="preserve">No past replies to measure</t>
  </si>
  <si>
    <t xml:space="preserve">No past replies</t>
  </si>
  <si>
    <t xml:space="preserve">Unlikely to need any</t>
  </si>
  <si>
    <t xml:space="preserve">0.77</t>
  </si>
  <si>
    <t xml:space="preserve">#85, #87, #301, #302, #303, #326, #327, #329, #349, #351, #352, #354, #366, #367, #371, #374, #375, #376, #206, #208, #210, #217, #244, #247, #258 (+ unclear: #340, #342, #107, #110)</t>
  </si>
  <si>
    <t xml:space="preserve">No counted sanctions case, back to 1979, drew a linked Iranian attack. Many early ones rest on one article and the record before 2019 is thin. In the current quiet phase, tanker attacks continued, but no outlet tied them to the sanctions.</t>
  </si>
  <si>
    <t xml:space="preserve">2 of 6 (33%)</t>
  </si>
  <si>
    <t xml:space="preserve">10%-70%</t>
  </si>
  <si>
    <t xml:space="preserve">Not tested in this phase yet</t>
  </si>
  <si>
    <t xml:space="preserve">~34% (all chains, n=29)</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</si>
  <si>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</si>
  <si>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</si>
  <si>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</si>
  <si>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it is not counted until the link is settled (#104).</t>
  </si>
  <si>
    <t xml:space="preserve">2 of 2 (100%)</t>
  </si>
  <si>
    <t xml:space="preserve">34%-100%</t>
  </si>
  <si>
    <t xml:space="preserve">1 of 1</t>
  </si>
  <si>
    <t xml:space="preserve">0 of 1</t>
  </si>
  <si>
    <t xml:space="preserve">~30 if the reply is a missile salvo like Sep 8-9</t>
  </si>
  <si>
    <t xml:space="preserve">0.90</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</si>
  <si>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</si>
  <si>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</si>
  <si>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</si>
  <si>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</si>
  <si>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</si>
  <si>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</si>
  <si>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</si>
  <si>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</si>
  <si>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</si>
  <si>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</si>
  <si>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</si>
  <si>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</si>
  <si>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</si>
  <si>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</si>
  <si>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</si>
  <si>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0.85</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</si>
  <si>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</si>
  <si>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</si>
  <si>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</si>
  <si>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16 hostile acts by Iran or unknown attackers were logged over 6.7 weeks (about 2.4 per week), almost all attacks on shipping: #84, #90, #94, #96, #100, #101, #103, #105, #109, #112, #113, #114, #117, #118, #121, #123. Houthi strikes on Saudi Arabia are a separate front and not counted.</t>
  </si>
  <si>
    <t xml:space="preserve">Back-and-forth column: across all 29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</si>
  <si>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</si>
  <si>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</si>
  <si>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</si>
  <si>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</si>
  <si>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</si>
  <si>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</si>
  <si>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</si>
  <si>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</si>
  <si>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</si>
  <si>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</si>
  <si>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</si>
  <si>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</si>
  <si>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</si>
  <si>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</si>
  <si>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</si>
  <si>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</si>
  <si>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</si>
  <si>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</si>
  <si>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</si>
  <si>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</si>
  <si>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</si>
  <si>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</si>
  <si>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</si>
  <si>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</si>
  <si>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</si>
  <si>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</si>
  <si>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</si>
  <si>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</si>
  <si>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</si>
  <si>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</si>
  <si>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</si>
  <si>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</si>
  <si>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26)</t>
  </si>
  <si>
    <t xml:space="preserve">No ceasefire; Trump says no US strikes on Iran before the Nov 3 midterms (Oct 8); strike plans reported (Oct 16); Trump weighs 'a deal' or renewed strikes (Oct 23-25)</t>
  </si>
  <si>
    <t xml:space="preserve">Partial month. Record attacks on shipping (GFS Pride sunk Oct 13); US bombers leave RAF Fairford; more US sanctions; US staff drawdown from Gulf posts (Oct 21-23);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</si>
  <si>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</si>
  <si>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</si>
  <si>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</si>
  <si>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</si>
  <si>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</si>
  <si>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</si>
  <si>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</si>
  <si>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</si>
  <si>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</si>
  <si>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</si>
  <si>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</si>
  <si>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</si>
  <si>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</si>
  <si>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(syndicated on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</si>
  <si>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</si>
  <si>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</si>
  <si>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</si>
  <si>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</si>
  <si>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</si>
  <si>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</si>
  <si>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(syndicated on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</si>
  <si>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</si>
  <si>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</si>
  <si>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</si>
  <si>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</si>
  <si>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</si>
  <si>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</si>
  <si>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</si>
  <si>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</si>
  <si>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</si>
  <si>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(syndicated on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</si>
  <si>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</si>
  <si>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</si>
  <si>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</si>
  <si>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</si>
  <si>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</si>
  <si>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</si>
  <si>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</si>
  <si>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</si>
  <si>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</si>
  <si>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</si>
  <si>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</si>
  <si>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</si>
  <si>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</si>
  <si>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USNI News</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</si>
  <si>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</si>
  <si>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</si>
  <si>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</si>
  <si>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</si>
  <si>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</si>
  <si>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</si>
  <si>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</si>
  <si>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</si>
  <si>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</si>
  <si>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</si>
  <si>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</si>
  <si>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</si>
  <si>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</si>
  <si>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Al Jazeera</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</si>
  <si>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</si>
  <si>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</si>
  <si>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</si>
  <si>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</si>
  <si>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</si>
  <si>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</si>
  <si>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</si>
  <si>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</si>
  <si>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</si>
  <si>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</si>
  <si>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</si>
  <si>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</si>
  <si>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</si>
  <si>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</si>
  <si>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</si>
  <si>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</si>
  <si>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</si>
  <si>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</si>
  <si>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</si>
  <si>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</si>
  <si>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</si>
  <si>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</si>
  <si>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</si>
  <si>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</si>
  <si>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</si>
  <si>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</si>
  <si>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</si>
  <si>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</si>
  <si>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</si>
  <si>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</si>
  <si>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</si>
  <si>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</si>
  <si>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</si>
  <si>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</si>
  <si>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</si>
  <si>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</si>
  <si>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</si>
  <si>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</si>
  <si>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</si>
  <si>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</si>
  <si>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</si>
  <si>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</si>
  <si>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</si>
  <si>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</si>
  <si>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</si>
  <si>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</si>
  <si>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</si>
  <si>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</si>
  <si>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</si>
  <si>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</si>
  <si>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</si>
  <si>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</si>
  <si>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</si>
  <si>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</si>
  <si>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</si>
  <si>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</si>
  <si>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</si>
  <si>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</si>
  <si>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</si>
  <si>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</si>
  <si>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</si>
  <si>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</si>
  <si>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</si>
  <si>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</si>
  <si>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</si>
  <si>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</si>
  <si>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</si>
  <si>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</si>
  <si>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</si>
  <si>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</si>
  <si>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</si>
  <si>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</si>
  <si>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</si>
  <si>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</si>
  <si>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</si>
  <si>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</si>
  <si>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</si>
  <si>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</si>
  <si>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</si>
  <si>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</si>
  <si>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</si>
  <si>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</si>
  <si>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</si>
  <si>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</si>
  <si>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</si>
  <si>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</si>
  <si>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</si>
  <si>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</si>
  <si>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</si>
  <si>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</si>
  <si>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</si>
  <si>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</si>
  <si>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</si>
  <si>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</si>
  <si>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</si>
  <si>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</si>
  <si>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</si>
  <si>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</si>
  <si>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</si>
  <si>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</si>
  <si>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</si>
  <si>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</si>
  <si>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</si>
  <si>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</si>
  <si>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</si>
  <si>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</si>
  <si>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</si>
  <si>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</si>
  <si>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</si>
  <si>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</si>
  <si>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</si>
  <si>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</si>
  <si>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</si>
  <si>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</si>
  <si>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</si>
  <si>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</si>
  <si>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</si>
  <si>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</si>
  <si>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</si>
  <si>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</si>
  <si>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</si>
  <si>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</si>
  <si>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</si>
  <si>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</si>
  <si>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</si>
  <si>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</si>
  <si>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</si>
  <si>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</si>
  <si>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</si>
  <si>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</si>
  <si>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</si>
  <si>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</si>
  <si>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</si>
  <si>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</si>
  <si>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</si>
  <si>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</si>
  <si>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(copy hosted by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</si>
  <si>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</si>
  <si>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</si>
  <si>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</si>
  <si>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</si>
  <si>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</si>
  <si>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</si>
  <si>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</si>
  <si>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(copy hosted by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</si>
  <si>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</si>
  <si>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</si>
  <si>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</si>
  <si>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</si>
  <si>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</si>
  <si>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</si>
  <si>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</si>
  <si>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</si>
  <si>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</si>
  <si>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</si>
  <si>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</si>
  <si>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</si>
  <si>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</si>
  <si>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</si>
  <si>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</si>
  <si>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</si>
  <si>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</si>
  <si>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</si>
  <si>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</si>
  <si>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</si>
  <si>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</si>
  <si>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</si>
  <si>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(syndicated copy at gvwire.com)</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</si>
  <si>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</si>
  <si>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</si>
  <si>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</si>
  <si>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</si>
  <si>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</si>
  <si>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</si>
  <si>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</si>
  <si>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</si>
  <si>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</si>
  <si>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</si>
  <si>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</si>
  <si>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</si>
  <si>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</si>
  <si>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</si>
  <si>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</si>
  <si>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</si>
  <si>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</si>
  <si>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</si>
  <si>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</si>
  <si>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</si>
  <si>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</si>
  <si>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</si>
  <si>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</si>
  <si>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</si>
  <si>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</si>
  <si>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Reuters (copy hosted by AOL)</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</si>
  <si>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</si>
  <si>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</si>
  <si>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</si>
  <si>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(copy hosted by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</si>
  <si>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</si>
  <si>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</si>
  <si>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</si>
  <si>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</si>
  <si>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</si>
  <si>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</si>
  <si>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</si>
  <si>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</si>
  <si>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(copy hosted by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</si>
  <si>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</si>
  <si>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</si>
  <si>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</si>
  <si>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</si>
  <si>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</si>
  <si>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</si>
  <si>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</si>
  <si>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</si>
  <si>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</si>
  <si>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</si>
  <si>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</si>
  <si>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</si>
  <si>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</si>
  <si>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</si>
  <si>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</si>
  <si>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</si>
  <si>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</si>
  <si>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</si>
  <si>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(copy hosted by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</si>
  <si>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</si>
  <si>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</si>
  <si>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</si>
  <si>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</si>
  <si>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</si>
  <si>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</si>
  <si>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</si>
  <si>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</si>
  <si>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</si>
  <si>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</si>
  <si>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</si>
  <si>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</si>
  <si>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</si>
  <si>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</si>
  <si>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</si>
  <si>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</si>
  <si>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</si>
  <si>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</si>
  <si>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</si>
  <si>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</si>
  <si>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</si>
  <si>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</si>
  <si>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</si>
  <si>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</si>
  <si>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</si>
  <si>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</si>
  <si>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</si>
  <si>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</si>
  <si>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</si>
  <si>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</si>
  <si>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</si>
  <si>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</si>
  <si>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</si>
  <si>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</si>
  <si>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</si>
  <si>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</si>
  <si>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</si>
  <si>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</si>
  <si>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</si>
  <si>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</si>
  <si>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</si>
  <si>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</si>
  <si>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</si>
  <si>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</si>
  <si>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</si>
  <si>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</si>
  <si>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</si>
  <si>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</si>
  <si>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</si>
  <si>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</si>
  <si>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</si>
  <si>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</si>
  <si>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</si>
  <si>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</si>
  <si>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</si>
  <si>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</si>
  <si>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</si>
  <si>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</si>
  <si>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</si>
  <si>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</si>
  <si>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</si>
  <si>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</si>
  <si>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</si>
  <si>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</si>
  <si>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</si>
  <si>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</si>
  <si>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</si>
  <si>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(repost on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</si>
  <si>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</si>
  <si>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</si>
  <si>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</si>
  <si>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</si>
  <si>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</si>
  <si>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</si>
  <si>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</si>
  <si>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</si>
  <si>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</si>
  <si>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</si>
  <si>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</si>
  <si>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</si>
  <si>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</si>
  <si>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</si>
  <si>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</si>
  <si>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Al Jazeera (page is a mirror of aljazeera.com video item)</t>
  </si>
  <si>
    <t xml:space="preserve">US pauses plan to guide ships through the Strait of Hormuz</t>
  </si>
  <si>
    <t xml:space="preserve">2026-05-06</t>
  </si>
  <si>
    <t xml:space="preserve">https://aljazeeranews-3fuh52rgrl.edgeone.app/video/newsfeed/2026/5/6/us-pauses-plan-to-guide-ships-through-the-strait-of-hormuz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</si>
  <si>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</si>
  <si>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</si>
  <si>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</si>
  <si>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</si>
  <si>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</si>
  <si>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</si>
  <si>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</si>
  <si>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</si>
  <si>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</si>
  <si>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</si>
  <si>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</si>
  <si>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</si>
  <si>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</si>
  <si>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</si>
  <si>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</si>
  <si>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</si>
  <si>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Iran state media says two military personnel killed in Israeli strikes on Monday</t>
  </si>
  <si>
    <t xml:space="preserve">2026-06-09</t>
  </si>
  <si>
    <t xml:space="preserve">https://english.alarabiya.net/News/middle-east/2026/06/09/iran-state-media-says-two-military-personnel-killed-in-israeli-strikes-on-monday</t>
  </si>
  <si>
    <t xml:space="preserve">R0101</t>
  </si>
  <si>
    <t xml:space="preserve">CBS News</t>
  </si>
  <si>
    <t xml:space="preserve">US Apache helicopter crash over Strait of Hormuz; crew rescued by unmanned surface drone (headline per URL)</t>
  </si>
  <si>
    <t xml:space="preserve">https://www.cbsnews.com/news/us-apache-helicopter-crash-strait-of-hormuz-first-sea-drone-rescue/</t>
  </si>
  <si>
    <t xml:space="preserve">R0102</t>
  </si>
  <si>
    <t xml:space="preserve">CENTCOM (press release)</t>
  </si>
  <si>
    <t xml:space="preserve">Official statement</t>
  </si>
  <si>
    <t xml:space="preserve">U.S. Completes Strikes in Response to Iran's Attack on Apache</t>
  </si>
  <si>
    <t xml:space="preserve">https://www.centcom.mil/MEDIA/PUBLIC-RELEASES/Article/4512968/us-completes-strikes-in-response-to-irans-attack-on-apache/</t>
  </si>
  <si>
    <t xml:space="preserve">R0103</t>
  </si>
  <si>
    <t xml:space="preserve">NPR (via Michigan Public)</t>
  </si>
  <si>
    <t xml:space="preserve">U.S. and Iran exchange strikes after Apache helicopter is downed</t>
  </si>
  <si>
    <t xml:space="preserve">https://www.michiganpublic.org/2026-06-09/u-s-and-iran-exchange-strikes-after-apache-helicopter-is-downed</t>
  </si>
  <si>
    <t xml:space="preserve">R0104</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</si>
  <si>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</si>
  <si>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</si>
  <si>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</si>
  <si>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</si>
  <si>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R0105</t>
  </si>
  <si>
    <t xml:space="preserve">Axios (Barak Ravid), as summarised on Iran International page</t>
  </si>
  <si>
    <t xml:space="preserve">Iran fired missiles, drones at bases in Bahrain, Kuwait and Jordan - Axios</t>
  </si>
  <si>
    <t xml:space="preserve">https://www.iranintl.com/en/202606107297</t>
  </si>
  <si>
    <t xml:space="preserve">R0106</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</si>
  <si>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</si>
  <si>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</si>
  <si>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</si>
  <si>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</si>
  <si>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R0107</t>
  </si>
  <si>
    <t xml:space="preserve">Air Defense Systems and Air Force Intercept 20 Missiles Fired Toward Azraq</t>
  </si>
  <si>
    <t xml:space="preserve">R0108</t>
  </si>
  <si>
    <t xml:space="preserve">AFP (via Ahram; later reference to 11 Jun)</t>
  </si>
  <si>
    <t xml:space="preserve">Jordan's military says intercepted 8 missiles fired from Iran</t>
  </si>
  <si>
    <t xml:space="preserve">2026-07-09</t>
  </si>
  <si>
    <t xml:space="preserve">https://english.ahram.org.eg/News/572559.aspx</t>
  </si>
  <si>
    <t xml:space="preserve">R0109</t>
  </si>
  <si>
    <t xml:space="preserve">Trump claims Iran deal reached, Tehran says no 'final decision'</t>
  </si>
  <si>
    <t xml:space="preserve">https://axios.com/2026/06/11/trump-cancel-iran-strikes-deal-strait</t>
  </si>
  <si>
    <t xml:space="preserve">R0110</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</si>
  <si>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</si>
  <si>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</si>
  <si>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</si>
  <si>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R0111</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</si>
  <si>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</si>
  <si>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</si>
  <si>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</si>
  <si>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</si>
  <si>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R0112</t>
  </si>
  <si>
    <t xml:space="preserve">Iran, US presidents sign deal to extend ceasefire, reopen Strait of Hormuz</t>
  </si>
  <si>
    <t xml:space="preserve">https://www.aljazeera.com/news/2026/6/17/iran-confirms-that-mou-has-been-signed-electronically-by-both-sides</t>
  </si>
  <si>
    <t xml:space="preserve">R0113</t>
  </si>
  <si>
    <t xml:space="preserve">NPR</t>
  </si>
  <si>
    <t xml:space="preserve">Trump signs preliminary agreement with Iran, after releasing details</t>
  </si>
  <si>
    <t xml:space="preserve">https://www.npr.org/2026/06/17/nx-s1-5860782/trump-iran-agreement-g7</t>
  </si>
  <si>
    <t xml:space="preserve">R0114</t>
  </si>
  <si>
    <t xml:space="preserve">What the Trump-Iran agreement says about Lebanon, Hormuz and uranium</t>
  </si>
  <si>
    <t xml:space="preserve">2026-06-18</t>
  </si>
  <si>
    <t xml:space="preserve">https://www.aljazeera.com/news/2026/6/18/what-the-trump-iran-14-point-plan-says-about-lebanon-hormuz-and-uranium</t>
  </si>
  <si>
    <t xml:space="preserve">R0115</t>
  </si>
  <si>
    <t xml:space="preserve">What you need to know about the preliminary U.S.-Iran agreement signed by Trump</t>
  </si>
  <si>
    <t xml:space="preserve">2026-06-19</t>
  </si>
  <si>
    <t xml:space="preserve">https://www.npr.org/2026/06/19/nx-s1-5863544/trump-us-iran-agreement</t>
  </si>
  <si>
    <t xml:space="preserve">R0116</t>
  </si>
  <si>
    <t xml:space="preserve">US military says it has lifted naval blockade of Iranian ports</t>
  </si>
  <si>
    <t xml:space="preserve">https://www.aljazeera.com/news/2026/6/18/us-military-says-it-has-lifted-naval-blockade-of-iranian-ports</t>
  </si>
  <si>
    <t xml:space="preserve">R0117</t>
  </si>
  <si>
    <t xml:space="preserve">Reuters (wire text read on Al-Monitor)</t>
  </si>
  <si>
    <t xml:space="preserve">Israel, Hezbollah agree to ceasefire starting on Friday - US official</t>
  </si>
  <si>
    <t xml:space="preserve">https://www.al-monitor.com/originals/2026/06/israeli-hezbollah-agree-ceasefire-starting-friday-us-official</t>
  </si>
  <si>
    <t xml:space="preserve">R0118</t>
  </si>
  <si>
    <t xml:space="preserve">AFP (wire text read on Aaj News)</t>
  </si>
  <si>
    <t xml:space="preserve">Iran closes Strait of Hormuz over Lebanon strikes</t>
  </si>
  <si>
    <t xml:space="preserve">2026-06-20</t>
  </si>
  <si>
    <t xml:space="preserve">https://english.aaj.tv/news/330460549</t>
  </si>
  <si>
    <t xml:space="preserve">R0119</t>
  </si>
  <si>
    <t xml:space="preserve">Israeli strikes kill at least 20 in Lebanon hours after ceasefire</t>
  </si>
  <si>
    <t xml:space="preserve">https://www.al-monitor.com/originals/2026/06/israeli-strikes-kill-least-20-lebanon-hours-after-ceasefire</t>
  </si>
  <si>
    <t xml:space="preserve">R0120</t>
  </si>
  <si>
    <t xml:space="preserve">R0121</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</si>
  <si>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</si>
  <si>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</si>
  <si>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R0122</t>
  </si>
  <si>
    <t xml:space="preserve">US strikes Iran in response to drone strike on commercial ship</t>
  </si>
  <si>
    <t xml:space="preserve">2026-06-26</t>
  </si>
  <si>
    <t xml:space="preserve">https://aljazeera.com/news/2026/6/26/us-strikes-iran-in-response-to-drone-strike-on-commercial-ship</t>
  </si>
  <si>
    <t xml:space="preserve">R0123</t>
  </si>
  <si>
    <t xml:space="preserve">CENTCOM (official release, mirrored on iranwatch.org)</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</si>
  <si>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</si>
  <si>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</si>
  <si>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</si>
  <si>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R0124</t>
  </si>
  <si>
    <t xml:space="preserve">NPR (AP-sourced)</t>
  </si>
  <si>
    <t xml:space="preserve">U.S. strikes multiple targets in Iran in response to tanker attack</t>
  </si>
  <si>
    <t xml:space="preserve">https://www.npr.org/2026/06/27/nx-s1-5872954/us-strikes-iran</t>
  </si>
  <si>
    <t xml:space="preserve">R0125</t>
  </si>
  <si>
    <t xml:space="preserve">Iran and US trade attacks as Strait of Hormuz ceasefire falters</t>
  </si>
  <si>
    <t xml:space="preserve">2026-06-28</t>
  </si>
  <si>
    <t xml:space="preserve">https://www.aljazeera.com/news/2026/6/28/iran-attacks-kuwait-and-bahrain-in-response-to-us-strikes</t>
  </si>
  <si>
    <t xml:space="preserve">R0126</t>
  </si>
  <si>
    <t xml:space="preserve">R0127</t>
  </si>
  <si>
    <t xml:space="preserve">AP (via Irish Examiner)</t>
  </si>
  <si>
    <t xml:space="preserve">Kuwait and Bahrain say Iran targeted them with drone and missile strikes</t>
  </si>
  <si>
    <t xml:space="preserve">https://www.irishexaminer.com/world/arid-41870352.html</t>
  </si>
  <si>
    <t xml:space="preserve">R0128</t>
  </si>
  <si>
    <t xml:space="preserve">AP (via MyNorthwest)</t>
  </si>
  <si>
    <t xml:space="preserve">https://mynorthwest.com/world/kuwait-and-bahrain-say-iran-targeted-them-with-drone-and-missile-strikes/4252061</t>
  </si>
  <si>
    <t xml:space="preserve">R0129</t>
  </si>
  <si>
    <t xml:space="preserve">R0130</t>
  </si>
  <si>
    <t xml:space="preserve">Iran resumes Hormuz attacks, U.S. officials say</t>
  </si>
  <si>
    <t xml:space="preserve">2026-07-07</t>
  </si>
  <si>
    <t xml:space="preserve">https://axios.com/2026/07/07/iran-resumes-hormuz-attacks-us-officials</t>
  </si>
  <si>
    <t xml:space="preserve">R0131</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</si>
  <si>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</si>
  <si>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</si>
  <si>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</si>
  <si>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R0132</t>
  </si>
  <si>
    <t xml:space="preserve">R0133</t>
  </si>
  <si>
    <t xml:space="preserve">At the NATO summit, Trump declares Iran ceasefire is over</t>
  </si>
  <si>
    <t xml:space="preserve">2026-07-08</t>
  </si>
  <si>
    <t xml:space="preserve">https://www.npr.org/2026/07/08/nx-s1-5886111/at-the-nato-summit-trump-declares-iran-ceasefire-is-over</t>
  </si>
  <si>
    <t xml:space="preserve">R0134</t>
  </si>
  <si>
    <t xml:space="preserve">U.S. Forces Complete Another Round of Strikes Against Iran</t>
  </si>
  <si>
    <t xml:space="preserve">https://www.centcom.mil/MEDIA/PUBLIC-RELEASES/Article/4538814/us-forces-complete-another-round-of-strikes-against-iran/</t>
  </si>
  <si>
    <t xml:space="preserve">R0135</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</si>
  <si>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</si>
  <si>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</si>
  <si>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</si>
  <si>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R0136</t>
  </si>
  <si>
    <t xml:space="preserve">AFP (via Ahram Online)</t>
  </si>
  <si>
    <t xml:space="preserve">R0137</t>
  </si>
  <si>
    <t xml:space="preserve">Reuters (via Aaj News)</t>
  </si>
  <si>
    <t xml:space="preserve">Iran fired ten ballistic missiles on Jordan's Azraq military base</t>
  </si>
  <si>
    <t xml:space="preserve">https://english.aaj.tv/news/330462909</t>
  </si>
  <si>
    <t xml:space="preserve">R0138</t>
  </si>
  <si>
    <t xml:space="preserve">Iran attacks five Gulf nations, shuts Hormuz after US bombing: All to know</t>
  </si>
  <si>
    <t xml:space="preserve">2026-07-12</t>
  </si>
  <si>
    <t xml:space="preserve">https://aljazeera.com/news/2026/7/12/iran-attacks-five-gulf-nations-shuts-hormuz-after-us-bombing-all-to-know</t>
  </si>
  <si>
    <t xml:space="preserve">R0139</t>
  </si>
  <si>
    <t xml:space="preserve">R0140</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</si>
  <si>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</si>
  <si>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</si>
  <si>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</si>
  <si>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</si>
  <si>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</si>
  <si>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R0141</t>
  </si>
  <si>
    <t xml:space="preserve">AP (wire text read on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</si>
  <si>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</si>
  <si>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</si>
  <si>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</si>
  <si>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R0142</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</si>
  <si>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</si>
  <si>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</si>
  <si>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</si>
  <si>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R0143</t>
  </si>
  <si>
    <t xml:space="preserve">Army.mil (official DoD statement)</t>
  </si>
  <si>
    <t xml:space="preserve">DoW releases identity of Army casualty in Jordan</t>
  </si>
  <si>
    <t xml:space="preserve">https://www.army.mil/article/294039/dow_releases_identity_of_army_casualty_in_jordan</t>
  </si>
  <si>
    <t xml:space="preserve">R0144</t>
  </si>
  <si>
    <t xml:space="preserve">Israel says Iran missile towards Jordan's Aqaba intercepted</t>
  </si>
  <si>
    <t xml:space="preserve">2026-07-19</t>
  </si>
  <si>
    <t xml:space="preserve">https://english.ahram.org.eg/News/573121.aspx</t>
  </si>
  <si>
    <t xml:space="preserve">R0145</t>
  </si>
  <si>
    <t xml:space="preserve">AFP (via Arab News Pakistan)</t>
  </si>
  <si>
    <t xml:space="preserve">Jordan intercepted Iranian missile fired toward Aqaba</t>
  </si>
  <si>
    <t xml:space="preserve">https://www.arabnews.pk/node/2651488/middle-east</t>
  </si>
  <si>
    <t xml:space="preserve">R0146</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</si>
  <si>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</si>
  <si>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</si>
  <si>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R0147</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</si>
  <si>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</si>
  <si>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</si>
  <si>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</si>
  <si>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</si>
  <si>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R0148</t>
  </si>
  <si>
    <t xml:space="preserve">Trump: Mines fully removed from Strait of Hormuz</t>
  </si>
  <si>
    <t xml:space="preserve">2026-08-25</t>
  </si>
  <si>
    <t xml:space="preserve">https://axios.com/2026/08/25/hormuz-mines-remove-oil-iran-trump</t>
  </si>
  <si>
    <t xml:space="preserve">R0149</t>
  </si>
  <si>
    <t xml:space="preserve">CNN (CNN Newsource text read on KEYT)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</si>
  <si>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</si>
  <si>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</si>
  <si>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</si>
  <si>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R0150</t>
  </si>
  <si>
    <t xml:space="preserve">Iran attacks US bases in Jordan after US strikes Larak Island</t>
  </si>
  <si>
    <t xml:space="preserve">https://aljazeera.com/news/2026/8/30/us-strikes-irans-lark-island-in-first-attack-in-weeks</t>
  </si>
  <si>
    <t xml:space="preserve">R0151</t>
  </si>
  <si>
    <t xml:space="preserve">Jordan and Bahrain face Iranian missiles and drones as hostilities flare (live updates; page date not visible, covers Aug 30-31)</t>
  </si>
  <si>
    <t xml:space="preserve">https://www.cbsnews.com/live-updates/iran-war-us-strikes-strait-of-hormuz-larak-island/</t>
  </si>
  <si>
    <t xml:space="preserve">R0152</t>
  </si>
  <si>
    <t xml:space="preserve">Bloomberg (syndicated copy on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</si>
  <si>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</si>
  <si>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</si>
  <si>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</si>
  <si>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R0153</t>
  </si>
  <si>
    <t xml:space="preserve">AFP (copy on Ahram Online)</t>
  </si>
  <si>
    <t xml:space="preserve">Two dead after Monday attack on Saudi oil tanker in Hormuz: shipping firm</t>
  </si>
  <si>
    <t xml:space="preserve">2026-09-02</t>
  </si>
  <si>
    <t xml:space="preserve">https://english.ahram.org.eg/News/575814.aspx</t>
  </si>
  <si>
    <t xml:space="preserve">R0154</t>
  </si>
  <si>
    <t xml:space="preserve">R0155</t>
  </si>
  <si>
    <t xml:space="preserve">Iran claims attacks on Bahrain, Jordan, Iraq after US strikes kill 11</t>
  </si>
  <si>
    <t xml:space="preserve">https://www.aljazeera.com/news/2026/9/1/us-military-says-launching-new-attacks-on-iran</t>
  </si>
  <si>
    <t xml:space="preserve">R0156</t>
  </si>
  <si>
    <t xml:space="preserve">CENTCOM (official release)</t>
  </si>
  <si>
    <t xml:space="preserve">CENTCOM completes strikes on IRGC targets in Iran</t>
  </si>
  <si>
    <t xml:space="preserve">https://www.centcom.mil/MEDIA/PUBLIC-RELEASES/Article/4588389/centcom-completes-strikes-on-irgc-targets-in-iran/</t>
  </si>
  <si>
    <t xml:space="preserve">R0157</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</si>
  <si>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</si>
  <si>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</si>
  <si>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R0158</t>
  </si>
  <si>
    <t xml:space="preserve">US strike on a wedding ceremony kills 4, including a child, wounds 50 in Iran</t>
  </si>
  <si>
    <t xml:space="preserve">https://english.ahram.org.eg/News/575804.aspx</t>
  </si>
  <si>
    <t xml:space="preserve">R0159</t>
  </si>
  <si>
    <t xml:space="preserve">Iran says US bombed a wedding party in Sirik, killing five</t>
  </si>
  <si>
    <t xml:space="preserve">https://www.aljazeera.com/amp/news/2026/9/2/iran-says-us-strikes-hit-a-wedding-party-in-sirik-killing-five</t>
  </si>
  <si>
    <t xml:space="preserve">R0160</t>
  </si>
  <si>
    <t xml:space="preserve">R0161</t>
  </si>
  <si>
    <t xml:space="preserve">R0162</t>
  </si>
  <si>
    <t xml:space="preserve">R0163</t>
  </si>
  <si>
    <t xml:space="preserve">Iran, US exchange new attacks: Who was hit in latest strikes?</t>
  </si>
  <si>
    <t xml:space="preserve">https://www.aljazeera.com/news/2026/9/2/iran-us-exchange-new-attacks-who-was-hit-in-latest-strikes</t>
  </si>
  <si>
    <t xml:space="preserve">R0164</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</si>
  <si>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</si>
  <si>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</si>
  <si>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</si>
  <si>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R0165</t>
  </si>
  <si>
    <t xml:space="preserve">R0166</t>
  </si>
  <si>
    <t xml:space="preserve">R0167</t>
  </si>
  <si>
    <t xml:space="preserve">CENTCOM Destroys 3 IRGC Oil Tankers After Iran Targets 2 US Navy Warships (headline per URL)</t>
  </si>
  <si>
    <t xml:space="preserve">2026-09-05</t>
  </si>
  <si>
    <t xml:space="preserve">https://www.centcom.mil/MEDIA/PUBLIC-RELEASES/Article/4591744/centcom-destroys-3-irgc-oil-tankers-after-iran-targets-2-us-navy-warships/</t>
  </si>
  <si>
    <t xml:space="preserve">R0168</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</si>
  <si>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</si>
  <si>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</si>
  <si>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</si>
  <si>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R0169</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</si>
  <si>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</si>
  <si>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</si>
  <si>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</si>
  <si>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R0170</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</si>
  <si>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</si>
  <si>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</si>
  <si>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</si>
  <si>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R0171</t>
  </si>
  <si>
    <t xml:space="preserve">R0172</t>
  </si>
  <si>
    <t xml:space="preserve">R0173</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</si>
  <si>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</si>
  <si>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</si>
  <si>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</si>
  <si>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R0174</t>
  </si>
  <si>
    <t xml:space="preserve">R0175</t>
  </si>
  <si>
    <t xml:space="preserve">R0176</t>
  </si>
  <si>
    <t xml:space="preserve">R0177</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</si>
  <si>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</si>
  <si>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</si>
  <si>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</si>
  <si>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R0178</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</si>
  <si>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</si>
  <si>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</si>
  <si>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</si>
  <si>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R0179</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</si>
  <si>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</si>
  <si>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</si>
  <si>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</si>
  <si>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</si>
  <si>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R0180</t>
  </si>
  <si>
    <t xml:space="preserve">Al Jazeera (citing WSJ)</t>
  </si>
  <si>
    <t xml:space="preserve">Trump 'rejects' Iran's seven-day ceasefire proposal. What's next?</t>
  </si>
  <si>
    <t xml:space="preserve">2026-09-26</t>
  </si>
  <si>
    <t xml:space="preserve">https://www.aljazeera.com/news/2026/9/26/trump-reportedly-rejects-irans-seven-day-ceasefire-proposal-whats-next</t>
  </si>
  <si>
    <t xml:space="preserve">R0181</t>
  </si>
  <si>
    <t xml:space="preserve">R0182</t>
  </si>
  <si>
    <t xml:space="preserve">Times of Israel (WSJ liveblog)</t>
  </si>
  <si>
    <t xml:space="preserve">Trump rejects Iran ceasefire proposal, expects to renew strikes after midterms - WSJ</t>
  </si>
  <si>
    <t xml:space="preserve">https://timesofisrael.com/liveblog_entry/trump-rejects-iran-ceasefire-proposal-expects-to-renew-strikes-after-midterms-wsj/</t>
  </si>
  <si>
    <t xml:space="preserve">R0183</t>
  </si>
  <si>
    <t xml:space="preserve">Iran involvement in RAF Fairford incident (headline per URL)</t>
  </si>
  <si>
    <t xml:space="preserve">2026-09-30</t>
  </si>
  <si>
    <t xml:space="preserve">https://www.stripes.com/theaters/europe/2026-09-30/iran-involvement-raf-fairford-incident-23016502.html</t>
  </si>
  <si>
    <t xml:space="preserve">R0184</t>
  </si>
  <si>
    <t xml:space="preserve">Al Jazeera (named in original row)</t>
  </si>
  <si>
    <t xml:space="preserve">(not recorded)</t>
  </si>
  <si>
    <t xml:space="preserve">name only - not re-checked</t>
  </si>
  <si>
    <t xml:space="preserve">R0185</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</si>
  <si>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</si>
  <si>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</si>
  <si>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</si>
  <si>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</si>
  <si>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R0186</t>
  </si>
  <si>
    <t xml:space="preserve">US sanctions 10 entities for allegedly supporting Iran's military</t>
  </si>
  <si>
    <t xml:space="preserve">https://www.aljazeera.com/news/2026/9/29/us-sanctions-10-entities-for-allegedly-supporting-irans-military</t>
  </si>
  <si>
    <t xml:space="preserve">R0187</t>
  </si>
  <si>
    <t xml:space="preserve">R0188</t>
  </si>
  <si>
    <t xml:space="preserve">CBS News (named in original row)</t>
  </si>
  <si>
    <t xml:space="preserve">R0189</t>
  </si>
  <si>
    <t xml:space="preserve">Treasury (press release)</t>
  </si>
  <si>
    <t xml:space="preserve">Operation Economic Outcast Targets Iran's Remaining Industrial Lifelines</t>
  </si>
  <si>
    <t xml:space="preserve">2026-10-01</t>
  </si>
  <si>
    <t xml:space="preserve">https://content.govdelivery.com/accounts/USTREAS/bulletins/42d6fab</t>
  </si>
  <si>
    <t xml:space="preserve">R0190</t>
  </si>
  <si>
    <t xml:space="preserve">R0191</t>
  </si>
  <si>
    <t xml:space="preserve">TIME (named in original row)</t>
  </si>
  <si>
    <t xml:space="preserve">R0192</t>
  </si>
  <si>
    <t xml:space="preserve">R0193</t>
  </si>
  <si>
    <t xml:space="preserve">Reuters (wire copy republished by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</si>
  <si>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</si>
  <si>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</si>
  <si>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</si>
  <si>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R0194</t>
  </si>
  <si>
    <t xml:space="preserve">October Sees Near Daily Strikes on Ships in Hormuz</t>
  </si>
  <si>
    <t xml:space="preserve">2026-10-09</t>
  </si>
  <si>
    <t xml:space="preserve">https://news.usni.org/2026/10/09/october-sees-near-daily-strikes-on-ships-in-hormuz</t>
  </si>
  <si>
    <t xml:space="preserve">R0195</t>
  </si>
  <si>
    <t xml:space="preserve">UK police make further arrest over suspected Fairford airbase plot</t>
  </si>
  <si>
    <t xml:space="preserve">2026-10-06</t>
  </si>
  <si>
    <t xml:space="preserve">https://www.thestar.com.my/news/world/2026/10/06/uk-police-make-further-arrest-over-suspected-fairford-airbase-plot</t>
  </si>
  <si>
    <t xml:space="preserve">R0196</t>
  </si>
  <si>
    <t xml:space="preserve">Where are the aircraft carriers, October 6, 2026 (title as given in URL slug)</t>
  </si>
  <si>
    <t xml:space="preserve">https://www.twz.com/sea/where-are-the-aircraft-carriers-october-6-2026.md</t>
  </si>
  <si>
    <t xml:space="preserve">R0197</t>
  </si>
  <si>
    <t xml:space="preserve">US sets new demands for Iran deal: What are they?</t>
  </si>
  <si>
    <t xml:space="preserve">https://www.aljazeera.com/news/2026/10/7/us-sets-new-demands-for-iran-deal-what-are-they</t>
  </si>
  <si>
    <t xml:space="preserve">R0198</t>
  </si>
  <si>
    <t xml:space="preserve">Trump says US will not strike Iran before midterm elections</t>
  </si>
  <si>
    <t xml:space="preserve">https://www.aljazeera.com/news/2026/10/9/trump-says-us-will-not-strike-iran-before-midterm-elections</t>
  </si>
  <si>
    <t xml:space="preserve">R0199</t>
  </si>
  <si>
    <t xml:space="preserve">AFP (wire copy republished by The Star)</t>
  </si>
  <si>
    <t xml:space="preserve">India says 12 injured after tanker attacked off Oman</t>
  </si>
  <si>
    <t xml:space="preserve">https://www.thestar.com.my/aseanplus/aseanplus-news/2026/10/06/india-says-12-injured-after-tanker-attacked-off-oman</t>
  </si>
  <si>
    <t xml:space="preserve">R0200</t>
  </si>
  <si>
    <t xml:space="preserve">R0201</t>
  </si>
  <si>
    <t xml:space="preserve">R0202</t>
  </si>
  <si>
    <t xml:space="preserve">R0203</t>
  </si>
  <si>
    <t xml:space="preserve">R0204</t>
  </si>
  <si>
    <t xml:space="preserve">Reuters (wire copy republished by Arab News)</t>
  </si>
  <si>
    <t xml:space="preserve">Oil tanker struck by projectile off UAE coast amid surge in attacks</t>
  </si>
  <si>
    <t xml:space="preserve">https://www.arabnews.com/middle-east/oil-tanker-struck-by-projectile-off-uae-coast-amid-surge-in-attacks-3005496</t>
  </si>
  <si>
    <t xml:space="preserve">R0205</t>
  </si>
  <si>
    <t xml:space="preserve">R0206</t>
  </si>
  <si>
    <t xml:space="preserve">AP (wire copy republished by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</si>
  <si>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</si>
  <si>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</si>
  <si>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</si>
  <si>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R0207</t>
  </si>
  <si>
    <t xml:space="preserve">R0208</t>
  </si>
  <si>
    <t xml:space="preserve">Houthi attack on Riyadh airport killed three Saudi nationals</t>
  </si>
  <si>
    <t xml:space="preserve">https://www.aljazeera.com/news/2026/10/9/saudi-arabia-reopens-riyadh-airport-after-houthi-attack-kills-three</t>
  </si>
  <si>
    <t xml:space="preserve">R0209</t>
  </si>
  <si>
    <t xml:space="preserve">R0210</t>
  </si>
  <si>
    <t xml:space="preserve">R0211</t>
  </si>
  <si>
    <t xml:space="preserve">R0212</t>
  </si>
  <si>
    <t xml:space="preserve">R0213</t>
  </si>
  <si>
    <t xml:space="preserve">Tasnim (Iranian state-affiliated; CLAIM only)</t>
  </si>
  <si>
    <t xml:space="preserve">LPG Carrier Hit, Catches Fire in Strait of Hormuz: IRGC Navy</t>
  </si>
  <si>
    <t xml:space="preserve">https://tasnimnews.ir/3718550</t>
  </si>
  <si>
    <t xml:space="preserve">R0214</t>
  </si>
  <si>
    <t xml:space="preserve">Saudi Arabia says 12 killed, 300 wounded in Houthi attack on Riyadh airport</t>
  </si>
  <si>
    <t xml:space="preserve">2026-10-10</t>
  </si>
  <si>
    <t xml:space="preserve">https://www.aljazeera.com/news/2026/10/10/attack-on-airport-in-saudi-capital-riyadh-leaves-several-injured</t>
  </si>
  <si>
    <t xml:space="preserve">R0215</t>
  </si>
  <si>
    <t xml:space="preserve">CNN</t>
  </si>
  <si>
    <t xml:space="preserve">Major Houthi attack on Saudi airport kills at least 12, hundreds wounded</t>
  </si>
  <si>
    <t xml:space="preserve">https://edition.cnn.com/2026/10/10/middleeast/riyadh-airport-saudi-houthis-intl</t>
  </si>
  <si>
    <t xml:space="preserve">R0216</t>
  </si>
  <si>
    <t xml:space="preserve">Hormuz attacks intensify as efforts to end war on Iran stall</t>
  </si>
  <si>
    <t xml:space="preserve">2026-10-11</t>
  </si>
  <si>
    <t xml:space="preserve">https://www.aljazeera.com/news/2026/10/11/hormuz-attacks-intensify-as-efforts-to-end-war-on-iran-stall</t>
  </si>
  <si>
    <t xml:space="preserve">R0217</t>
  </si>
  <si>
    <t xml:space="preserve">R0218</t>
  </si>
  <si>
    <t xml:space="preserve">R0219</t>
  </si>
  <si>
    <t xml:space="preserve">Iran steps up Hormuz surveillance: Attacks soar, oil flows crash again</t>
  </si>
  <si>
    <t xml:space="preserve">2026-10-14</t>
  </si>
  <si>
    <t xml:space="preserve">https://www.aljazeera.com/news/2026/10/14/iran-steps-up-hormuz-surveillance-attacks-soar-oil-flows-crash-again</t>
  </si>
  <si>
    <t xml:space="preserve">R0220</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</si>
  <si>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</si>
  <si>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</si>
  <si>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</si>
  <si>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R0221</t>
  </si>
  <si>
    <t xml:space="preserve">Treasury (press release sb0653)</t>
  </si>
  <si>
    <t xml:space="preserve">Operation Economic Outcast Neutralizes Iranian Regime's Remaining Shadow Fleet Network</t>
  </si>
  <si>
    <t xml:space="preserve">https://home.treasury.gov/news/press-releases/sb0653/</t>
  </si>
  <si>
    <t xml:space="preserve">R0222</t>
  </si>
  <si>
    <t xml:space="preserve">Iran says US response to its proposal to reopen Hormuz was 'insufficient'</t>
  </si>
  <si>
    <t xml:space="preserve">https://www.timesofisrael.com/liveblog_entry/iran-says-us-response-to-its-proposal-to-reopen-hormuz-was-insufficient/</t>
  </si>
  <si>
    <t xml:space="preserve">R0223</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</si>
  <si>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</si>
  <si>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</si>
  <si>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</si>
  <si>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</si>
  <si>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R0224</t>
  </si>
  <si>
    <t xml:space="preserve">R0225</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</si>
  <si>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</si>
  <si>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</si>
  <si>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</si>
  <si>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R0226</t>
  </si>
  <si>
    <t xml:space="preserve">Two cargo ships sunk in Strait of Hormuz as Iran ramps up attacks in run-up to midterms</t>
  </si>
  <si>
    <t xml:space="preserve">2026-10-15</t>
  </si>
  <si>
    <t xml:space="preserve">https://www.cnn.com/2026/10/15/middleeast/strait-of-hormuz-ships-sunk-iran-intl-hnk</t>
  </si>
  <si>
    <t xml:space="preserve">R0227</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</si>
  <si>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</si>
  <si>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</si>
  <si>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</si>
  <si>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R0228</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</si>
  <si>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</si>
  <si>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</si>
  <si>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</si>
  <si>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R0229</t>
  </si>
  <si>
    <t xml:space="preserve">Treasury (press release sb0661)</t>
  </si>
  <si>
    <t xml:space="preserve">Operation Economic Outcast Targets Iranian Regime's Abuse of Religious Charity Networks</t>
  </si>
  <si>
    <t xml:space="preserve">https://home.treasury.gov/news/press-releases/sb0661/</t>
  </si>
  <si>
    <t xml:space="preserve">R0230</t>
  </si>
  <si>
    <t xml:space="preserve">US-Iran stalemate: What are Trump's next military options?</t>
  </si>
  <si>
    <t xml:space="preserve">https://www.aljazeera.com/news/2026/10/15/us-iran-stalemate-what-are-trumps-next-military-options</t>
  </si>
  <si>
    <t xml:space="preserve">R0231</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</si>
  <si>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</si>
  <si>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</si>
  <si>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</si>
  <si>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</si>
  <si>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R0232</t>
  </si>
  <si>
    <t xml:space="preserve">Iran says Strait of Hormuz reopening, seven-day ceasefire conditions still on the table</t>
  </si>
  <si>
    <t xml:space="preserve">https://www.cbsnews.com/live-updates/iran-war-us-trump-strait-of-hormuz-yemen-houthis-saudi-arabia/</t>
  </si>
  <si>
    <t xml:space="preserve">R0233</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</si>
  <si>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</si>
  <si>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</si>
  <si>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</si>
  <si>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R0234</t>
  </si>
  <si>
    <t xml:space="preserve">R0235</t>
  </si>
  <si>
    <t xml:space="preserve">R0236</t>
  </si>
  <si>
    <t xml:space="preserve">R0237</t>
  </si>
  <si>
    <t xml:space="preserve">R0238</t>
  </si>
  <si>
    <t xml:space="preserve">R0239</t>
  </si>
  <si>
    <t xml:space="preserve">R0240</t>
  </si>
  <si>
    <t xml:space="preserve">R0241</t>
  </si>
  <si>
    <t xml:space="preserve">R0242</t>
  </si>
  <si>
    <t xml:space="preserve">Reuters (via Devdiscourse)</t>
  </si>
  <si>
    <t xml:space="preserve">Tanker struck by projectile southeast of Iraq's Al Faw on Tuesday, UKMTO says</t>
  </si>
  <si>
    <t xml:space="preserve">2026-10-21</t>
  </si>
  <si>
    <t xml:space="preserve">https://www.devdiscourse.com/article/international/3995693-tanker-struck-by-projectile-southeast-of-iraqs-alfaw-on-tuesday-ukmto-says</t>
  </si>
  <si>
    <t xml:space="preserve">R0243</t>
  </si>
  <si>
    <t xml:space="preserve">Times of Israel (AFP)</t>
  </si>
  <si>
    <t xml:space="preserve">Projectile hit tanker near Strait of Hormuz, maritime agency says</t>
  </si>
  <si>
    <t xml:space="preserve">https://www.timesofisrael.com/liveblog_entry/projectile-hit-tanker-near-strait-of-hormuz-maritime-agency-says/</t>
  </si>
  <si>
    <t xml:space="preserve">R0244</t>
  </si>
  <si>
    <t xml:space="preserve">Treasury (OFAC recent actions)</t>
  </si>
  <si>
    <t xml:space="preserve">Iran-related Designations; Belarus and North Korea Designations Removals; Issuance of Iran-related and Russia-related General Licenses</t>
  </si>
  <si>
    <t xml:space="preserve">https://ofac.treasury.gov/recent-actions/20261021</t>
  </si>
  <si>
    <t xml:space="preserve">R0245</t>
  </si>
  <si>
    <t xml:space="preserve">Treasury (press release sb0664)</t>
  </si>
  <si>
    <t xml:space="preserve">Operation Economic Outcast Targets Iran's Shadow Fleet Networks</t>
  </si>
  <si>
    <t xml:space="preserve">https://home.treasury.gov/news/press-releases/sb0664</t>
  </si>
  <si>
    <t xml:space="preserve">R0246</t>
  </si>
  <si>
    <t xml:space="preserve">US orders some diplomats to leave Saudi Arabia amid Houthi attacks</t>
  </si>
  <si>
    <t xml:space="preserve">https://www.cbsnews.com/news/us-saudi-arabia-ordered-departure-houthis/</t>
  </si>
  <si>
    <t xml:space="preserve">R0247</t>
  </si>
  <si>
    <t xml:space="preserve">Reuters (via Internazionale)</t>
  </si>
  <si>
    <t xml:space="preserve">US orders departure of diplomats from Saudi Arabia amid Houthi strikes</t>
  </si>
  <si>
    <t xml:space="preserve">https://www.internazionale.it/ultime-notizie-reuters/2026/10/21/exclusive-us-preparing-to-issue-ordered-departure-of-some-personnel-from-gulf-embassies-us-officials</t>
  </si>
  <si>
    <t xml:space="preserve">R0248</t>
  </si>
  <si>
    <t xml:space="preserve">Trump says he's weighing deal with Iran against action to "finish them off"</t>
  </si>
  <si>
    <t xml:space="preserve">2026-10-26</t>
  </si>
  <si>
    <t xml:space="preserve">https://www.cbsnews.com/live-updates/iran-war-trump-us-oil-gas-prices-strait-of-hormuz-midterms/</t>
  </si>
  <si>
    <t xml:space="preserve">R0249</t>
  </si>
  <si>
    <t xml:space="preserve">Iran says seven ships hit in Hormuz Strait, warns US of wider response</t>
  </si>
  <si>
    <t xml:space="preserve">2026-10-22</t>
  </si>
  <si>
    <t xml:space="preserve">https://www.aljazeera.com/news/2026/10/22/iran-says-seven-ships-hit-in-hormuz-strait-warns-us-of-wider-response</t>
  </si>
  <si>
    <t xml:space="preserve">R0250</t>
  </si>
  <si>
    <t xml:space="preserve">R0251</t>
  </si>
  <si>
    <t xml:space="preserve">Iran says won't allow US warships to get close as Trump ponders new attacks</t>
  </si>
  <si>
    <t xml:space="preserve">2026-10-24</t>
  </si>
  <si>
    <t xml:space="preserve">https://www.aljazeera.com/news/2026/10/24/iran-says-wont-allow-us-warships-to-get-close-as-trump-ponders-new-attacks</t>
  </si>
  <si>
    <t xml:space="preserve">R0252</t>
  </si>
  <si>
    <t xml:space="preserve">Is Iran planning attacks on Americans; why is the US on alert?</t>
  </si>
  <si>
    <t xml:space="preserve">https://www.aljazeera.com/news/2026/10/24/is-iran-planning-attacks-on-americans-why-is-the-us-on-alert</t>
  </si>
  <si>
    <t xml:space="preserve">R0253</t>
  </si>
  <si>
    <t xml:space="preserve">R0254</t>
  </si>
  <si>
    <t xml:space="preserve">R0255</t>
  </si>
  <si>
    <t xml:space="preserve">R0256</t>
  </si>
  <si>
    <t xml:space="preserve">R0257</t>
  </si>
  <si>
    <t xml:space="preserve">R0258</t>
  </si>
  <si>
    <t xml:space="preserve">R0259</t>
  </si>
  <si>
    <t xml:space="preserve">R0260</t>
  </si>
  <si>
    <t xml:space="preserve">R0261</t>
  </si>
  <si>
    <t xml:space="preserve">R0262</t>
  </si>
  <si>
    <t xml:space="preserve">R0263</t>
  </si>
  <si>
    <t xml:space="preserve">R0264</t>
  </si>
  <si>
    <t xml:space="preserve">Al Jazeera (liveblog)</t>
  </si>
  <si>
    <t xml:space="preserve">Iran war live: Saudi, Pakistani and Turkish officials in Tehran for talks</t>
  </si>
  <si>
    <t xml:space="preserve">https://www.aljazeera.com/news/liveblog/2026/10/26/iran-war-live-trump-rules-out-strikes-today-israeli-forces-raid-hebron</t>
  </si>
  <si>
    <t xml:space="preserve">R0265</t>
  </si>
  <si>
    <t xml:space="preserve">Bolton: US deploying bombers to Middle East in warning to Iran</t>
  </si>
  <si>
    <t xml:space="preserve">2019-05-06</t>
  </si>
  <si>
    <t xml:space="preserve">https://www.aljazeera.com/news/2019/5/6/bolton-us-deploying-bombers-to-middle-east-in-warning-to-iran</t>
  </si>
  <si>
    <t xml:space="preserve">R0266</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</si>
  <si>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</si>
  <si>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</si>
  <si>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</si>
  <si>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</si>
  <si>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R0267</t>
  </si>
  <si>
    <t xml:space="preserve">UAE says four ships subjected to 'sabotage' off east coast</t>
  </si>
  <si>
    <t xml:space="preserve">2019-05-13</t>
  </si>
  <si>
    <t xml:space="preserve">https://www.aljazeera.com/news/2019/5/13/uae-says-four-ships-subjected-to-sabotage-off-east-coast</t>
  </si>
  <si>
    <t xml:space="preserve">R0268</t>
  </si>
  <si>
    <t xml:space="preserve">NPR (via WAMC)</t>
  </si>
  <si>
    <t xml:space="preserve">Tankers on fire in Gulf of Oman after suspected attack</t>
  </si>
  <si>
    <t xml:space="preserve">2019-06-13</t>
  </si>
  <si>
    <t xml:space="preserve">https://www.wamc.org/2019-06-13/tankers-on-fire-in-gulf-of-oman-after-suspected-attack</t>
  </si>
  <si>
    <t xml:space="preserve">R0269</t>
  </si>
  <si>
    <t xml:space="preserve">'Ridiculous, dangerous': Iran denies US claims over Gulf tankers</t>
  </si>
  <si>
    <t xml:space="preserve">2019-06-14</t>
  </si>
  <si>
    <t xml:space="preserve">https://www.aljazeera.com/news/2019/6/14/ridiculous-dangerous-iran-denies-us-claims-over-gulf-tankers</t>
  </si>
  <si>
    <t xml:space="preserve">R0270</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</si>
  <si>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</si>
  <si>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</si>
  <si>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</si>
  <si>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R0271</t>
  </si>
  <si>
    <t xml:space="preserve">U.S. to send more troops to Middle East</t>
  </si>
  <si>
    <t xml:space="preserve">https://www.pbs.org/newshour/world/u-s-to-send-more-troops-to-middle-east</t>
  </si>
  <si>
    <t xml:space="preserve">R0272</t>
  </si>
  <si>
    <t xml:space="preserve">Iran's Revolutionary Guard shoots down US drone</t>
  </si>
  <si>
    <t xml:space="preserve">2019-06-20</t>
  </si>
  <si>
    <t xml:space="preserve">https://www.aljazeera.com/news/2019/06/iran-revolutionary-guard-shoots-spy-drone-report-190620035802427.html</t>
  </si>
  <si>
    <t xml:space="preserve">R0273</t>
  </si>
  <si>
    <t xml:space="preserve">US: Iran shot down drone in international airspace in 'unprovoked attack'</t>
  </si>
  <si>
    <t xml:space="preserve">https://www.timesofisrael.com/us-iran-shot-down-drone-in-international-airspace-in-unprovoked-attack/</t>
  </si>
  <si>
    <t xml:space="preserve">R0274</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</si>
  <si>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</si>
  <si>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</si>
  <si>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</si>
  <si>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</si>
  <si>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R0275</t>
  </si>
  <si>
    <t xml:space="preserve">Trump says US warship 'destroyed' Iranian drone in Gulf</t>
  </si>
  <si>
    <t xml:space="preserve">2019-07-18</t>
  </si>
  <si>
    <t xml:space="preserve">https://www.aljazeera.com/news/2019/07/warship-destroys-iranian-drone-strait-hormuz-190718192635252.html</t>
  </si>
  <si>
    <t xml:space="preserve">R0276</t>
  </si>
  <si>
    <t xml:space="preserve">USS Boxer Downs Iranian Drone in 'Defensive Action'</t>
  </si>
  <si>
    <t xml:space="preserve">https://news.usni.org/?p=68160</t>
  </si>
  <si>
    <t xml:space="preserve">R0277</t>
  </si>
  <si>
    <t xml:space="preserve">CNN (via KPAX)</t>
  </si>
  <si>
    <t xml:space="preserve">US sanctions Iranian Foreign Minister Zarif</t>
  </si>
  <si>
    <t xml:space="preserve">2019-07-31</t>
  </si>
  <si>
    <t xml:space="preserve">https://www.kpax.com/cnn-us-politics/2019/07/31/us-sanctions-iranian-foreign-minister-zarif/</t>
  </si>
  <si>
    <t xml:space="preserve">R0278</t>
  </si>
  <si>
    <t xml:space="preserve">US imposes sanctions on Iranian Foreign Minister Zarif</t>
  </si>
  <si>
    <t xml:space="preserve">2019-08-01</t>
  </si>
  <si>
    <t xml:space="preserve">https://www.aljazeera.com/amp/economy/2019/8/1/us-imposes-sanctions-on-iranian-foreign-minister-zarif</t>
  </si>
  <si>
    <t xml:space="preserve">R0279</t>
  </si>
  <si>
    <t xml:space="preserve">Pompeo blames Iran for strike on Saudi oil facilities</t>
  </si>
  <si>
    <t xml:space="preserve">2019-09-14</t>
  </si>
  <si>
    <t xml:space="preserve">https://www.cbsnews.com/news/yemen-drones-hit-saudi-oil-sites-including-key-chokepoint-abqaiq-aramco-2019-09-14/</t>
  </si>
  <si>
    <t xml:space="preserve">R0280</t>
  </si>
  <si>
    <t xml:space="preserve">US blames Iran after attacks on Saudi oil facilities cripple production</t>
  </si>
  <si>
    <t xml:space="preserve">https://www.timesofisrael.com/us-blames-iran-after-attacks-on-saudi-oil-facilities-cripple-production/</t>
  </si>
  <si>
    <t xml:space="preserve">R0281</t>
  </si>
  <si>
    <t xml:space="preserve">US sanctions Iran's central bank in wake of Aramco attacks</t>
  </si>
  <si>
    <t xml:space="preserve">2019-09-20</t>
  </si>
  <si>
    <t xml:space="preserve">https://www.aljazeera.com/economy/2019/9/20/us-sanctions-irans-central-bank-in-wake-of-aramco-attacks</t>
  </si>
  <si>
    <t xml:space="preserve">R0282</t>
  </si>
  <si>
    <t xml:space="preserve">U.S. to send troops to Saudi Arabia</t>
  </si>
  <si>
    <t xml:space="preserve">https://www.axios.com/2019/09/20/us-troops-deploying-saudi-arabia</t>
  </si>
  <si>
    <t xml:space="preserve">R0283</t>
  </si>
  <si>
    <t xml:space="preserve">Trump sends troops to Middle East after attack on Saudi oil facilities</t>
  </si>
  <si>
    <t xml:space="preserve">https://www.npr.org/2019/09/20/762935873/trump-sends-troops-to-middle-east-after-attack-on-saudi-oil-facilities</t>
  </si>
  <si>
    <t xml:space="preserve">R0284</t>
  </si>
  <si>
    <t xml:space="preserve">US targets pro-Iran militia bases in Iraq, Syria raids</t>
  </si>
  <si>
    <t xml:space="preserve">2019-12-29</t>
  </si>
  <si>
    <t xml:space="preserve">https://www.aljazeera.com/news/2019/12/29/us-targets-pro-iran-militia-bases-in-iraq-syria-raids</t>
  </si>
  <si>
    <t xml:space="preserve">R0285</t>
  </si>
  <si>
    <t xml:space="preserve">U.S. Strikes Back At Iranian Proxy Forces In Iraq And Syria After Deadly Rocket Attack</t>
  </si>
  <si>
    <t xml:space="preserve">https://www.twz.com/31651/u-s-strikes-iranian-proxy-force-bases-in-iraq-and-syria-following-deadly-rocket-attack</t>
  </si>
  <si>
    <t xml:space="preserve">R0286</t>
  </si>
  <si>
    <t xml:space="preserve">R0287</t>
  </si>
  <si>
    <t xml:space="preserve">R0288</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</si>
  <si>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</si>
  <si>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</si>
  <si>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</si>
  <si>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</si>
  <si>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R0289</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</si>
  <si>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</si>
  <si>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</si>
  <si>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</si>
  <si>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</si>
  <si>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R0290</t>
  </si>
  <si>
    <t xml:space="preserve">Iran's Qassem Soleimani killed in US air raid at Baghdad airport</t>
  </si>
  <si>
    <t xml:space="preserve">https://www.aljazeera.com/news/2020/1/3/irans-qassem-soleimani-killed-in-us-air-raid-at-baghdad-airport</t>
  </si>
  <si>
    <t xml:space="preserve">R0291</t>
  </si>
  <si>
    <t xml:space="preserve">U.S. awards 29 Purple Hearts for brain injuries in Iran attack</t>
  </si>
  <si>
    <t xml:space="preserve">2020</t>
  </si>
  <si>
    <t xml:space="preserve">https://www.pbs.org/newshour/amp/nation/u-s-awards-29-purple-hearts-for-brain-injuries-in-iran-attack</t>
  </si>
  <si>
    <t xml:space="preserve">R0292</t>
  </si>
  <si>
    <t xml:space="preserve">Iran launches missile attacks on US facilities in Iraq</t>
  </si>
  <si>
    <t xml:space="preserve">2020-01-08</t>
  </si>
  <si>
    <t xml:space="preserve">https://www.aljazeera.com/amp/news/2020/1/8/iran-launches-missile-attacks-on-us-facilities-in-iraq</t>
  </si>
  <si>
    <t xml:space="preserve">R0293</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</si>
  <si>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</si>
  <si>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</si>
  <si>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</si>
  <si>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</si>
  <si>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R0294</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</si>
  <si>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</si>
  <si>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</si>
  <si>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</si>
  <si>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R0295</t>
  </si>
  <si>
    <t xml:space="preserve">R0296</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</si>
  <si>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</si>
  <si>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</si>
  <si>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</si>
  <si>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</si>
  <si>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R0297</t>
  </si>
  <si>
    <t xml:space="preserve">U.S. Seizes Four Tankers Carrying Iranian Oil to Venezuela</t>
  </si>
  <si>
    <t xml:space="preserve">2020-08-14</t>
  </si>
  <si>
    <t xml:space="preserve">https://www.bloomberg.com/news/articles/2020-08-14/u-s-seizes-four-tankers-carrying-iranian-oil-to-venezuela</t>
  </si>
  <si>
    <t xml:space="preserve">R0298</t>
  </si>
  <si>
    <t xml:space="preserve">US says it seized 4 Iranian fuel shipments headed for Venezuela</t>
  </si>
  <si>
    <t xml:space="preserve">2020-08-15</t>
  </si>
  <si>
    <t xml:space="preserve">https://www.aljazeera.com/news/2020/8/15/us-says-it-seized-4-iranian-fuel-shipments-headed-for-venezuela</t>
  </si>
  <si>
    <t xml:space="preserve">R0299</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</si>
  <si>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</si>
  <si>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</si>
  <si>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</si>
  <si>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</si>
  <si>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R0300</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</si>
  <si>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</si>
  <si>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</si>
  <si>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</si>
  <si>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R0301</t>
  </si>
  <si>
    <t xml:space="preserve">US troops in Syria attacked after airstrikes on militias</t>
  </si>
  <si>
    <t xml:space="preserve">https://www.news4jax.com/news/politics/2021/06/28/us-troops-in-syria-attacked-after-airstrikes-on-militias/</t>
  </si>
  <si>
    <t xml:space="preserve">R0302</t>
  </si>
  <si>
    <t xml:space="preserve">R0303</t>
  </si>
  <si>
    <t xml:space="preserve">US carries out raids in Syria on 'Iran-linked' targets</t>
  </si>
  <si>
    <t xml:space="preserve">2022-08-24</t>
  </si>
  <si>
    <t xml:space="preserve">https://www.aljazeera.com/news/2022/8/24/us-military-carries-out-raids-in-syria-on-iran-linked-targets</t>
  </si>
  <si>
    <t xml:space="preserve">R0304</t>
  </si>
  <si>
    <t xml:space="preserve">U.S. says airstrikes killed 4 Iranian-backed militia members in Syria</t>
  </si>
  <si>
    <t xml:space="preserve">2022-08-25</t>
  </si>
  <si>
    <t xml:space="preserve">https://www.pbs.org/newshour/politics/u-s-says-airstrikes-killed-4-iranian-backed-militia-members-in-syria</t>
  </si>
  <si>
    <t xml:space="preserve">R0305</t>
  </si>
  <si>
    <t xml:space="preserve">R0306</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</si>
  <si>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</si>
  <si>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</si>
  <si>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</si>
  <si>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</si>
  <si>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R0307</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</si>
  <si>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</si>
  <si>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</si>
  <si>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</si>
  <si>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R0308</t>
  </si>
  <si>
    <t xml:space="preserve">R0309</t>
  </si>
  <si>
    <t xml:space="preserve">R0310</t>
  </si>
  <si>
    <t xml:space="preserve">Iran seizes oil tanker 'trying to flee' in Gulf waters</t>
  </si>
  <si>
    <t xml:space="preserve">2023-04-27</t>
  </si>
  <si>
    <t xml:space="preserve">https://www.aljazeera.com/news/2023/4/27/iran-seizes-oil-tanker-trying-to-flee-in-gulf-waters</t>
  </si>
  <si>
    <t xml:space="preserve">R0311</t>
  </si>
  <si>
    <t xml:space="preserve">Why did Iran seize a US-bound oil tanker in the Gulf of Oman?</t>
  </si>
  <si>
    <t xml:space="preserve">2023-04-29</t>
  </si>
  <si>
    <t xml:space="preserve">https://www.aljazeera.com/news/2023/4/29/why-did-iran-seize-a-us-bound-oil-tanker-in-the-gulf-of-oman</t>
  </si>
  <si>
    <t xml:space="preserve">R0312</t>
  </si>
  <si>
    <t xml:space="preserve">US to send F-16 fighter jets to Gulf amid Iran shipping tensions</t>
  </si>
  <si>
    <t xml:space="preserve">2023-07-15</t>
  </si>
  <si>
    <t xml:space="preserve">https://www.aljazeera.com/news/2023/7/15/us-to-send-f-16-fighter-jets-to-gulf-amid-iran-shipping-tensions</t>
  </si>
  <si>
    <t xml:space="preserve">R0313</t>
  </si>
  <si>
    <t xml:space="preserve">U.S. Sending Destroyer, F-35s, F-16s to Protect Merchant Ships in Middle East</t>
  </si>
  <si>
    <t xml:space="preserve">2023-07-17</t>
  </si>
  <si>
    <t xml:space="preserve">https://news.usni.org/2023/07/17/u-s-sending-destroyer-f-35s-f-16s-to-protect-merchant-ships-in-middle-east</t>
  </si>
  <si>
    <t xml:space="preserve">R0314</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</si>
  <si>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</si>
  <si>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</si>
  <si>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</si>
  <si>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</si>
  <si>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R0315</t>
  </si>
  <si>
    <t xml:space="preserve">What's happening with the Iran-US prisoner swap deal?</t>
  </si>
  <si>
    <t xml:space="preserve">2023-09-12</t>
  </si>
  <si>
    <t xml:space="preserve">https://www.aljazeera.com/news/2023/9/12/whats-happening-with-the-iran-us-prisoner-swap-deal</t>
  </si>
  <si>
    <t xml:space="preserve">R0316</t>
  </si>
  <si>
    <t xml:space="preserve">U.S. strikes Iran-linked sites in Syria after attacks on American troops</t>
  </si>
  <si>
    <t xml:space="preserve">2023-10-27</t>
  </si>
  <si>
    <t xml:space="preserve">https://www.axios.com/2023/10/27/us-strikes-syria-iran-linked-groups</t>
  </si>
  <si>
    <t xml:space="preserve">R0317</t>
  </si>
  <si>
    <t xml:space="preserve">US hits alleged Iran-linked 'weapons storage' facility in Syria</t>
  </si>
  <si>
    <t xml:space="preserve">2023-11-09</t>
  </si>
  <si>
    <t xml:space="preserve">https://www.aljazeera.com/amp/news/2023/11/9/us-hits-alleged-iran-linked-weapons-storage-facility-in-syria</t>
  </si>
  <si>
    <t xml:space="preserve">R0318</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</si>
  <si>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</si>
  <si>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</si>
  <si>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</si>
  <si>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R0319</t>
  </si>
  <si>
    <t xml:space="preserve">R0320</t>
  </si>
  <si>
    <t xml:space="preserve">US launches strikes on Iraq over drone attack blamed on Iran-aligned forces</t>
  </si>
  <si>
    <t xml:space="preserve">2023-12-26</t>
  </si>
  <si>
    <t xml:space="preserve">https://www.aljazeera.com/amp/news/2023/12/26/us-strikes-iraq-after-blaming-iran-backed-groups-for-drone-attack</t>
  </si>
  <si>
    <t xml:space="preserve">R0321</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</si>
  <si>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</si>
  <si>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</si>
  <si>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</si>
  <si>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R0322</t>
  </si>
  <si>
    <t xml:space="preserve">What we know about drone attack that killed US troops in Jordan</t>
  </si>
  <si>
    <t xml:space="preserve">2024-01-29</t>
  </si>
  <si>
    <t xml:space="preserve">https://www.aljazeera.com/amp/video/newsfeed/2024/1/29/what-we-know-about-drone-attack-that-killed-us-troops-in-jordan</t>
  </si>
  <si>
    <t xml:space="preserve">R0323</t>
  </si>
  <si>
    <t xml:space="preserve">Iraq's Kataeb Hezbollah faction suspends attacks on US forces</t>
  </si>
  <si>
    <t xml:space="preserve">2024-01-30</t>
  </si>
  <si>
    <t xml:space="preserve">https://www.timesofisrael.com/iraqs-kataib-hezbollah-faction-suspends-attacks-on-us-forces/</t>
  </si>
  <si>
    <t xml:space="preserve">R0324</t>
  </si>
  <si>
    <t xml:space="preserve">Kataib Hezbollah announces halt of attacks on US forces</t>
  </si>
  <si>
    <t xml:space="preserve">2024-01-31</t>
  </si>
  <si>
    <t xml:space="preserve">https://www.aljazeera.com/news/2024/1/31/kataib-hezbollah-says-it-suspends-attacks-on-us-forces</t>
  </si>
  <si>
    <t xml:space="preserve">R0325</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</si>
  <si>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</si>
  <si>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</si>
  <si>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</si>
  <si>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R0326</t>
  </si>
  <si>
    <t xml:space="preserve">US Strikes More Than 85 Targets in Iraq and Syria, Centcom Says</t>
  </si>
  <si>
    <t xml:space="preserve">https://www.bloomberg.com/news/articles/2024-02-02/us-strikes-more-than-85-targets-in-iraq-and-syria-centcom-says</t>
  </si>
  <si>
    <t xml:space="preserve">R0327</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</si>
  <si>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</si>
  <si>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</si>
  <si>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</si>
  <si>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R0328</t>
  </si>
  <si>
    <t xml:space="preserve">Paramilitary commander killed in Baghdad drone strike: Reports</t>
  </si>
  <si>
    <t xml:space="preserve">2024-02-07</t>
  </si>
  <si>
    <t xml:space="preserve">https://www.aljazeera.com/news/2024/2/7/paramilitary-commander-killed-in-baghdad-drone-strike-reports</t>
  </si>
  <si>
    <t xml:space="preserve">R0329</t>
  </si>
  <si>
    <t xml:space="preserve">Iran launches hundreds of missiles, drones in first direct attack on Israel</t>
  </si>
  <si>
    <t xml:space="preserve">2024-04-13</t>
  </si>
  <si>
    <t xml:space="preserve">https://www.aljazeera.com/news/2024/4/13/israeli-army-says-iran-has-launched-drones-at-israel</t>
  </si>
  <si>
    <t xml:space="preserve">R0330</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</si>
  <si>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</si>
  <si>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</si>
  <si>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</si>
  <si>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</si>
  <si>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R0331</t>
  </si>
  <si>
    <t xml:space="preserve">Iran fires dozens of missiles at Israel</t>
  </si>
  <si>
    <t xml:space="preserve">2024-10-01</t>
  </si>
  <si>
    <t xml:space="preserve">https://www.aljazeera.com/video/newsfeed/2024/10/1/iran-fires-dozens-of-missiles-at-israel</t>
  </si>
  <si>
    <t xml:space="preserve">R0332</t>
  </si>
  <si>
    <t xml:space="preserve">US deploying THAAD missile defence system, troops to Israel</t>
  </si>
  <si>
    <t xml:space="preserve">2024-10-13</t>
  </si>
  <si>
    <t xml:space="preserve">https://www.aljazeera.com/news/2024/10/13/us-deploying-thaad-missile-defence-system-troops-to-israel</t>
  </si>
  <si>
    <t xml:space="preserve">R0333</t>
  </si>
  <si>
    <t xml:space="preserve">U.S. sending THAAD missile system and troops to operate it to Israel</t>
  </si>
  <si>
    <t xml:space="preserve">https://www.axios.com/2024/10/13/us-send-thaad-missile-israel</t>
  </si>
  <si>
    <t xml:space="preserve">R0334</t>
  </si>
  <si>
    <t xml:space="preserve">Where does Trump's renewed 'maximum pressure' leave any Iran-US deal?</t>
  </si>
  <si>
    <t xml:space="preserve">2025-02-06</t>
  </si>
  <si>
    <t xml:space="preserve">https://www.aljazeera.com/news/2025/2/6/where-does-trumps-renewed-maximum-pressure-leave-any-iran-us-deal</t>
  </si>
  <si>
    <t xml:space="preserve">R0335</t>
  </si>
  <si>
    <t xml:space="preserve">Iran-US talks in Oman live: Delegations to hold nuclear discussions</t>
  </si>
  <si>
    <t xml:space="preserve">2025-04-12</t>
  </si>
  <si>
    <t xml:space="preserve">https://www.aljazeera.com/amp/news/liveblog/2025/4/12/iran-us-talks-in-oman-live-delegations-to-hold-nuclear-discussions</t>
  </si>
  <si>
    <t xml:space="preserve">R0336</t>
  </si>
  <si>
    <t xml:space="preserve">Trump envoy, Iranian foreign minister meet in first round of nuclear talks</t>
  </si>
  <si>
    <t xml:space="preserve">https://www.axios.com/2025/04/12/us-iran-begin-nucearl-talks-begin-oman?stream=top</t>
  </si>
  <si>
    <t xml:space="preserve">R0337</t>
  </si>
  <si>
    <t xml:space="preserve">Iran, US report progress in nuclear talks, confirm third round next week</t>
  </si>
  <si>
    <t xml:space="preserve">2025-04-19</t>
  </si>
  <si>
    <t xml:space="preserve">https://www.aljazeera.com/news/2025/4/19/iran-says-progress-in-nuclear-talks-with-us-confirms-third-round-next-week</t>
  </si>
  <si>
    <t xml:space="preserve">R0338</t>
  </si>
  <si>
    <t xml:space="preserve">R0339</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</si>
  <si>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</si>
  <si>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</si>
  <si>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</si>
  <si>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</si>
  <si>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R0340</t>
  </si>
  <si>
    <t xml:space="preserve">Iran sees hope for progress after fifth round of nuclear talks with US</t>
  </si>
  <si>
    <t xml:space="preserve">2025-05-23</t>
  </si>
  <si>
    <t xml:space="preserve">https://www.aljazeera.com/news/2025/5/23/red-lines-stalk-fifth-round-of-iran-us-nuclear-talks</t>
  </si>
  <si>
    <t xml:space="preserve">R0341</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</si>
  <si>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</si>
  <si>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</si>
  <si>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</si>
  <si>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R0342</t>
  </si>
  <si>
    <t xml:space="preserve">R0343</t>
  </si>
  <si>
    <t xml:space="preserve">US bombs Iran's nuclear sites: What we know so far</t>
  </si>
  <si>
    <t xml:space="preserve">2025-06-22</t>
  </si>
  <si>
    <t xml:space="preserve">https://www.aljazeera.com/news/2025/6/22/us-bombs-irans-nuclear-sites-what-we-know-so-far</t>
  </si>
  <si>
    <t xml:space="preserve">R0344</t>
  </si>
  <si>
    <t xml:space="preserve">Live: US joins Israel's attacks on Iran, bombs three nuclear sites</t>
  </si>
  <si>
    <t xml:space="preserve">https://www.aljazeera.com/news/liveblog/2025/6/22/live-us-joins-israels-attacks-on-iran-bombs-three-nuclear-sites</t>
  </si>
  <si>
    <t xml:space="preserve">R0345</t>
  </si>
  <si>
    <t xml:space="preserve">Tehran attacks US base in Qatar, hours later Trump states Israel-Iran truce</t>
  </si>
  <si>
    <t xml:space="preserve">2025-06-23</t>
  </si>
  <si>
    <t xml:space="preserve">https://www.aljazeera.com/news/2025/6/23/flares-over-qatars-doha-explosions-heard-amid-us-israel-iran-conflict</t>
  </si>
  <si>
    <t xml:space="preserve">R0346</t>
  </si>
  <si>
    <t xml:space="preserve">R0347</t>
  </si>
  <si>
    <t xml:space="preserve">Trump claims ceasefire reached between Israel and Iran</t>
  </si>
  <si>
    <t xml:space="preserve">https://aljazeera.com/news/2025/6/23/trump-claims-ceasefire-reached-between-israel-and-iran</t>
  </si>
  <si>
    <t xml:space="preserve">R0348</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</si>
  <si>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</si>
  <si>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</si>
  <si>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</si>
  <si>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R0349</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</si>
  <si>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</si>
  <si>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</si>
  <si>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</si>
  <si>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R0350</t>
  </si>
  <si>
    <t xml:space="preserve">US-Iran talks live: Critical negotiations set to begin in Oman</t>
  </si>
  <si>
    <t xml:space="preserve">2026-02-06</t>
  </si>
  <si>
    <t xml:space="preserve">https://www.aljazeera.com/amp/news/liveblog/2026/2/6/us-iran-talks-live-critical-negotiations-set-to-begin-in-oman</t>
  </si>
  <si>
    <t xml:space="preserve">R0351</t>
  </si>
  <si>
    <t xml:space="preserve">Trump orders second aircraft carrier to Middle East</t>
  </si>
  <si>
    <t xml:space="preserve">2026-02-13</t>
  </si>
  <si>
    <t xml:space="preserve">https://www.aljazeera.com/video/newsfeed/2026/2/13/trump-orders-second-aircraft-carrier-to-middle-east</t>
  </si>
  <si>
    <t xml:space="preserve">R0352</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</si>
  <si>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</si>
  <si>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</si>
  <si>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</si>
  <si>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</si>
  <si>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R0353</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</si>
  <si>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</si>
  <si>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</si>
  <si>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</si>
  <si>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R0354</t>
  </si>
  <si>
    <t xml:space="preserve">NPR (via WGCU)</t>
  </si>
  <si>
    <t xml:space="preserve">U.S. Civilian Contractor Dies During Rocket Strike On Iraq Air Base</t>
  </si>
  <si>
    <t xml:space="preserve">https://www.wgcu.org/2021-03-03/u-s-civilian-contractor-dies-during-rocket-strike-on-iraq-air-base</t>
  </si>
  <si>
    <t xml:space="preserve">R0355</t>
  </si>
  <si>
    <t xml:space="preserve">US warship in Arabian Sea seizes suspected Iranian weapons</t>
  </si>
  <si>
    <t xml:space="preserve">2020-02-13</t>
  </si>
  <si>
    <t xml:space="preserve">https://www.aljazeera.com/news/2020/02/warship-arabian-sea-seizes-suspected-iranian-weapons-200213201018624.html</t>
  </si>
  <si>
    <t xml:space="preserve">R0356</t>
  </si>
  <si>
    <t xml:space="preserve">VIDEO: USS Normandy Seizes Cache Of Iranian-Made Weapons in Arabian Sea</t>
  </si>
  <si>
    <t xml:space="preserve">https://news.usni.org/2020/02/13/video-uss-normandy-seizes-cache-of-iranian-made-weapons-in-arabian-sea</t>
  </si>
  <si>
    <t xml:space="preserve">R0357</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</si>
  <si>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</si>
  <si>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</si>
  <si>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</si>
  <si>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</si>
  <si>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R0358</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</si>
  <si>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</si>
  <si>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</si>
  <si>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</si>
  <si>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</si>
  <si>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R0359</t>
  </si>
  <si>
    <t xml:space="preserve">Washington Post</t>
  </si>
  <si>
    <t xml:space="preserve">Americans Still Captive in Tehran Embassy</t>
  </si>
  <si>
    <t xml:space="preserve">1979-11-06</t>
  </si>
  <si>
    <t xml:space="preserve">https://www.washingtonpost.com/archive/politics/1979/11/06/americans-still-captive-in-tehran-embassy/0bc9b845-a014-4942-8deb-24cc29cf157d/</t>
  </si>
  <si>
    <t xml:space="preserve">R0360</t>
  </si>
  <si>
    <t xml:space="preserve">State Department (Office of the Historian)</t>
  </si>
  <si>
    <t xml:space="preserve">Iranian Crises (short history): students seize the US embassy, Nov 4, 1979</t>
  </si>
  <si>
    <t xml:space="preserve">https://history.state.gov/departmenthistory/short-history/iraniancrises</t>
  </si>
  <si>
    <t xml:space="preserve">R0361</t>
  </si>
  <si>
    <t xml:space="preserve">U.S., Iran Declare Halt to Oil Trade</t>
  </si>
  <si>
    <t xml:space="preserve">1979-11-13</t>
  </si>
  <si>
    <t xml:space="preserve">https://www.washingtonpost.com/archive/politics/1979/11/13/us-iran-declare-halt-to-oil-trade/0141298a-fe50-4fae-bc59-b71eb2614765/</t>
  </si>
  <si>
    <t xml:space="preserve">R0362</t>
  </si>
  <si>
    <t xml:space="preserve">The Freeze</t>
  </si>
  <si>
    <t xml:space="preserve">1979-11-15</t>
  </si>
  <si>
    <t xml:space="preserve">https://www.washingtonpost.com/archive/politics/1979/11/15/the-freeze/a2fbd1b3-d4ae-4931-838f-33dd75a0fe09/</t>
  </si>
  <si>
    <t xml:space="preserve">R0363</t>
  </si>
  <si>
    <t xml:space="preserve">Foreign Relations of the United States 1977-80, vol. XI, doc 246: Carter breaks relations, Apr 7, 1980</t>
  </si>
  <si>
    <t xml:space="preserve">1980-04-07</t>
  </si>
  <si>
    <t xml:space="preserve">https://history.state.gov/historicaldocuments/frus1977-80v11p1/d246</t>
  </si>
  <si>
    <t xml:space="preserve">R0364</t>
  </si>
  <si>
    <t xml:space="preserve">Series of Mishaps Defeated Rescue in Iran</t>
  </si>
  <si>
    <t xml:space="preserve">1980-04-26</t>
  </si>
  <si>
    <t xml:space="preserve">https://www.washingtonpost.com/archive/politics/1980/04/26/series-of-mishaps-defeated-rescue-in-iran/db6b11b9-a1b7-4617-b311-b1846726faa6/</t>
  </si>
  <si>
    <t xml:space="preserve">R0365</t>
  </si>
  <si>
    <t xml:space="preserve">Iranians Demand Fast Response to Hostage Terms</t>
  </si>
  <si>
    <t xml:space="preserve">1980-11-05</t>
  </si>
  <si>
    <t xml:space="preserve">https://www.washingtonpost.com/archive/politics/1980/11/05/iranians-demand-fast-response-to-hostage-terms/7acddba7-2421-4c90-8ac1-77561c937fe1/</t>
  </si>
  <si>
    <t xml:space="preserve">R0366</t>
  </si>
  <si>
    <t xml:space="preserve">U.S. Announces Resolution of Dispute Blocking Return of Hostages from Iran</t>
  </si>
  <si>
    <t xml:space="preserve">1981-01-20</t>
  </si>
  <si>
    <t xml:space="preserve">https://www.washingtonpost.com/archive/politics/1981/01/20/us-announces-resolution-of-dispute-blocking-return-of-hostages-from-iran/145ddcfc-06d0-4564-a4ee-a8dff50fe152/</t>
  </si>
  <si>
    <t xml:space="preserve">R0367</t>
  </si>
  <si>
    <t xml:space="preserve">The Hostages Are Free</t>
  </si>
  <si>
    <t xml:space="preserve">https://www.washingtonpost.com/archive/politics/1981/01/20/the-hostages-are-free/6558b490-ec3a-4c74-8c5c-75f063bab687/</t>
  </si>
  <si>
    <t xml:space="preserve">R0368</t>
  </si>
  <si>
    <t xml:space="preserve">Judge: Iran Behind 83 Beirut Bombing</t>
  </si>
  <si>
    <t xml:space="preserve">2003-05-31</t>
  </si>
  <si>
    <t xml:space="preserve">https://www.washingtonpost.com/archive/politics/2003/05/31/judge-iran-behind-83-beirut-bombing/b4e3c60e-2921-45fa-a9fd-a1c48ce81e44/</t>
  </si>
  <si>
    <t xml:space="preserve">R0369</t>
  </si>
  <si>
    <t xml:space="preserve">The Iran-Contra Chronology</t>
  </si>
  <si>
    <t xml:space="preserve">1987-09-06</t>
  </si>
  <si>
    <t xml:space="preserve">https://www.washingtonpost.com/archive/politics/1987/09/06/the-irancontra-chronology/40b810a1-7482-410c-93f5-31c38f153272/</t>
  </si>
  <si>
    <t xml:space="preserve">R0370</t>
  </si>
  <si>
    <t xml:space="preserve">R0371</t>
  </si>
  <si>
    <t xml:space="preserve">R0372</t>
  </si>
  <si>
    <t xml:space="preserve">Reagan Denies Ransom Was Paid for Hostages</t>
  </si>
  <si>
    <t xml:space="preserve">1986-11-14</t>
  </si>
  <si>
    <t xml:space="preserve">https://www.washingtonpost.com/archive/politics/1986/11/14/reagan-denies-ransom-was-paid-for-hostages/fd5ea2c0-028c-44a1-9fdb-6419e65d97cf/</t>
  </si>
  <si>
    <t xml:space="preserve">R0373</t>
  </si>
  <si>
    <t xml:space="preserve">UN (Digital Library)</t>
  </si>
  <si>
    <t xml:space="preserve">Resolution 598 (1987)</t>
  </si>
  <si>
    <t xml:space="preserve">1987-07-20</t>
  </si>
  <si>
    <t xml:space="preserve">https://digitallibrary.un.org/record/137345?ln=en</t>
  </si>
  <si>
    <t xml:space="preserve">R0374</t>
  </si>
  <si>
    <t xml:space="preserve">DoD (Naval History and Heritage Command)</t>
  </si>
  <si>
    <t xml:space="preserve">H-018-1: Tanker War timeline, 1987-1988</t>
  </si>
  <si>
    <t xml:space="preserve">2018-04-13</t>
  </si>
  <si>
    <t xml:space="preserve">https://www.history.navy.mil/content/history/nhhc/about-us/leadership/director/directors-corner/h-grams/h-gram-018/h-018-1.html</t>
  </si>
  <si>
    <t xml:space="preserve">R0375</t>
  </si>
  <si>
    <t xml:space="preserve">Reflagged Tanker Hits Gulf Mine</t>
  </si>
  <si>
    <t xml:space="preserve">1987-07-25</t>
  </si>
  <si>
    <t xml:space="preserve">https://www.washingtonpost.com/archive/politics/1987/07/25/reflagged-tanker-hits-gulf-mine/43ce4376-1ac5-4919-92f9-e4109abdf554/</t>
  </si>
  <si>
    <t xml:space="preserve">R0376</t>
  </si>
  <si>
    <t xml:space="preserve">R0377</t>
  </si>
  <si>
    <t xml:space="preserve">U.S. Navy Seizes Iranian Mine Ship</t>
  </si>
  <si>
    <t xml:space="preserve">1987-09-23</t>
  </si>
  <si>
    <t xml:space="preserve">https://www.washingtonpost.com/archive/politics/1987/09/23/us-navy-seizes-iranian-mine-ship/d68e7508-f335-4e56-ab8a-7a06b39f6607/</t>
  </si>
  <si>
    <t xml:space="preserve">R0378</t>
  </si>
  <si>
    <t xml:space="preserve">R0379</t>
  </si>
  <si>
    <t xml:space="preserve">U.S. Helicopters Sink 3 Iranian Gunboats in Persian Gulf</t>
  </si>
  <si>
    <t xml:space="preserve">1987-10-09</t>
  </si>
  <si>
    <t xml:space="preserve">https://www.washingtonpost.com/archive/politics/1987/10/09/us-helicopters-sink-3-iranian-gunboats-in-persian-gulf/cfe5e927-97bf-4080-8e57-d8add44c38d2/</t>
  </si>
  <si>
    <t xml:space="preserve">R0380</t>
  </si>
  <si>
    <t xml:space="preserve">R0381</t>
  </si>
  <si>
    <t xml:space="preserve">Iran Hits U.S.-Owned Tanker</t>
  </si>
  <si>
    <t xml:space="preserve">1987-10-16</t>
  </si>
  <si>
    <t xml:space="preserve">https://www.washingtonpost.com/archive/politics/1987/10/16/iran-hits-us-owned-tanker/bf2e5e5c-21c4-4ae3-9da3-b68002bfc58e/</t>
  </si>
  <si>
    <t xml:space="preserve">R0382</t>
  </si>
  <si>
    <t xml:space="preserve">R0383</t>
  </si>
  <si>
    <t xml:space="preserve">Iranian Missile Hits U.S.-Flagged Ship at Kuwaiti Port</t>
  </si>
  <si>
    <t xml:space="preserve">1987-10-17</t>
  </si>
  <si>
    <t xml:space="preserve">https://www.washingtonpost.com/archive/politics/1987/10/17/iranian-missile-hits-us-flagged-ship-at-kuwaiti-port/4677b1a4-180e-46ef-99bd-21590c927448/</t>
  </si>
  <si>
    <t xml:space="preserve">R0384</t>
  </si>
  <si>
    <t xml:space="preserve">White House (Reagan Library)</t>
  </si>
  <si>
    <t xml:space="preserve">Statement on the United States Reprisal Against Iran (Silkworm strikes on US-flagged vessels)</t>
  </si>
  <si>
    <t xml:space="preserve">1987-10-19</t>
  </si>
  <si>
    <t xml:space="preserve">https://www.reaganlibrary.gov/archives/speech/statement-united-states-reprisal-against-iran</t>
  </si>
  <si>
    <t xml:space="preserve">R0385</t>
  </si>
  <si>
    <t xml:space="preserve">R0386</t>
  </si>
  <si>
    <t xml:space="preserve">Statement on the United States Reprisal Against Iran</t>
  </si>
  <si>
    <t xml:space="preserve">R0387</t>
  </si>
  <si>
    <t xml:space="preserve">U.S. Destroyers Shell Iranian Military Platform in Gulf</t>
  </si>
  <si>
    <t xml:space="preserve">1987-10-20</t>
  </si>
  <si>
    <t xml:space="preserve">https://www.washingtonpost.com/archive/politics/1987/10/20/us-destroyers-shell-iranian-military-platform-in-gulf/297e0868-effb-4ac4-952b-75a5982082a7/</t>
  </si>
  <si>
    <t xml:space="preserve">R0388</t>
  </si>
  <si>
    <t xml:space="preserve">Silkworm Hits Kuwaiti Oil Terminal</t>
  </si>
  <si>
    <t xml:space="preserve">1987-10-23</t>
  </si>
  <si>
    <t xml:space="preserve">https://www.washingtonpost.com/archive/politics/1987/10/23/silkworm-hits-kuwaiti-oil-terminal/38039a67-6e04-45dc-81d0-208198de6b04/</t>
  </si>
  <si>
    <t xml:space="preserve">R0389</t>
  </si>
  <si>
    <t xml:space="preserve">R0390</t>
  </si>
  <si>
    <t xml:space="preserve">Operation Praying Mantis (USS Samuel B. Roberts mined, Apr 14, 1988)</t>
  </si>
  <si>
    <t xml:space="preserve">https://www.history.navy.mil/browse-by-topic/wars-conflicts-and-operations/middle-east/praying-mantis.html</t>
  </si>
  <si>
    <t xml:space="preserve">R0391</t>
  </si>
  <si>
    <t xml:space="preserve">U.S. Sinks or Cripples 6 Iranian Ships in Gulf Battles</t>
  </si>
  <si>
    <t xml:space="preserve">1988-04-19</t>
  </si>
  <si>
    <t xml:space="preserve">https://www.washingtonpost.com/archive/politics/1988/04/19/us-sinks-or-cripples-6-iranian-ships-in-gulf-battles/f5a66fc6-589a-4b4f-ab5c-876bb6b451df/</t>
  </si>
  <si>
    <t xml:space="preserve">R0392</t>
  </si>
  <si>
    <t xml:space="preserve">Operation Praying Mantis</t>
  </si>
  <si>
    <t xml:space="preserve">R0393</t>
  </si>
  <si>
    <t xml:space="preserve">R0394</t>
  </si>
  <si>
    <t xml:space="preserve">Statement on the Destruction of an Iranian Jetliner by the United States Navy Over the Persian Gulf</t>
  </si>
  <si>
    <t xml:space="preserve">1988-07-03</t>
  </si>
  <si>
    <t xml:space="preserve">https://www.reaganlibrary.gov/archives/speech/statement-destruction-iranian-jetliner-united-states-navy-over-persian-gulf</t>
  </si>
  <si>
    <t xml:space="preserve">R0395</t>
  </si>
  <si>
    <t xml:space="preserve">R0396</t>
  </si>
  <si>
    <t xml:space="preserve">White House (Clinton archive)</t>
  </si>
  <si>
    <t xml:space="preserve">Executive Order 12957: barring Iranian petroleum development</t>
  </si>
  <si>
    <t xml:space="preserve">1995-03-15</t>
  </si>
  <si>
    <t xml:space="preserve">https://clintonwhitehouse6.archives.gov/1995/03/1995-03-15-executive-order-12957-barring-iranian-petroleum-development.html</t>
  </si>
  <si>
    <t xml:space="preserve">R0397</t>
  </si>
  <si>
    <t xml:space="preserve">Executive Order 12959: Iran trade ban</t>
  </si>
  <si>
    <t xml:space="preserve">1995-05-06</t>
  </si>
  <si>
    <t xml:space="preserve">https://clintonwhitehouse6.archives.gov/1995/05/1995-05-06-executive-order-12959-on-iran-trade-ban.html</t>
  </si>
  <si>
    <t xml:space="preserve">R0398</t>
  </si>
  <si>
    <t xml:space="preserve">Justice Department</t>
  </si>
  <si>
    <t xml:space="preserve">Attorney General statement on the Khobar Towers indictment</t>
  </si>
  <si>
    <t xml:space="preserve">2001-06-21</t>
  </si>
  <si>
    <t xml:space="preserve">https://www.justice.gov/archive/opa/pr/2001/June/275ag.htm</t>
  </si>
  <si>
    <t xml:space="preserve">R0399</t>
  </si>
  <si>
    <t xml:space="preserve">Remarks by the President at Sanctions Act signing</t>
  </si>
  <si>
    <t xml:space="preserve">1996-08-05</t>
  </si>
  <si>
    <t xml:space="preserve">https://clintonwhitehouse6.archives.gov/1996/08/1996-08-05-remarks-by-president-at-sanctions-act-signing.html</t>
  </si>
  <si>
    <t xml:space="preserve">R0400</t>
  </si>
  <si>
    <t xml:space="preserve">State Department</t>
  </si>
  <si>
    <t xml:space="preserve">Albright to the Asia Society, Jun 17, 1998</t>
  </si>
  <si>
    <t xml:space="preserve">1998-06-18</t>
  </si>
  <si>
    <t xml:space="preserve">https://1997-2001.state.gov/statements/1998/980617a.html</t>
  </si>
  <si>
    <t xml:space="preserve">R0401</t>
  </si>
  <si>
    <t xml:space="preserve">R0402</t>
  </si>
  <si>
    <t xml:space="preserve">White House (Bush archive)</t>
  </si>
  <si>
    <t xml:space="preserve">President Delivers State of the Union Address</t>
  </si>
  <si>
    <t xml:space="preserve">2002-01-29</t>
  </si>
  <si>
    <t xml:space="preserve">https://georgewbush-whitehouse.archives.gov/news/releases/2002/01/20020129-11.html</t>
  </si>
  <si>
    <t xml:space="preserve">R0403</t>
  </si>
  <si>
    <t xml:space="preserve">Remarks by the Press Secretary on Iran</t>
  </si>
  <si>
    <t xml:space="preserve">2003-10-21</t>
  </si>
  <si>
    <t xml:space="preserve">https://georgewbush-whitehouse.archives.gov/news/releases/2003/10/20031021-15.html</t>
  </si>
  <si>
    <t xml:space="preserve">R0404</t>
  </si>
  <si>
    <t xml:space="preserve">IAEA and Iran: Chronology of Key Events (24 Sep 2005)</t>
  </si>
  <si>
    <t xml:space="preserve">https://www.iaea.org/newscenter/focus/iran/chronology-of-key-events</t>
  </si>
  <si>
    <t xml:space="preserve">R0405</t>
  </si>
  <si>
    <t xml:space="preserve">IAEA and Iran: Chronology of Key Events (4 Feb 2006)</t>
  </si>
  <si>
    <t xml:space="preserve">R0406</t>
  </si>
  <si>
    <t xml:space="preserve">Statement by Secretary of State Condoleezza Rice, May 31, 2006</t>
  </si>
  <si>
    <t xml:space="preserve">2006-05-31</t>
  </si>
  <si>
    <t xml:space="preserve">https://2001-2009.state.gov/secretary/rm/2006/67088.htm</t>
  </si>
  <si>
    <t xml:space="preserve">R0407</t>
  </si>
  <si>
    <t xml:space="preserve">S/RES/1696 (2006)</t>
  </si>
  <si>
    <t xml:space="preserve">2006-07-31</t>
  </si>
  <si>
    <t xml:space="preserve">https://main.un.org/securitycouncil/en/s/res/1696-(2006)</t>
  </si>
  <si>
    <t xml:space="preserve">R0408</t>
  </si>
  <si>
    <t xml:space="preserve">S/RES/1737 (2006)</t>
  </si>
  <si>
    <t xml:space="preserve">2006-12-23</t>
  </si>
  <si>
    <t xml:space="preserve">https://main.un.org/securitycouncil/en/s/res/1737-(2006)</t>
  </si>
  <si>
    <t xml:space="preserve">R0409</t>
  </si>
  <si>
    <t xml:space="preserve">Bush Says Iran Is Supplying Weapons in Iraq</t>
  </si>
  <si>
    <t xml:space="preserve">2007-02-14</t>
  </si>
  <si>
    <t xml:space="preserve">https://www.washingtonpost.com/archive/business/technology/2007/02/14/bush-says-iran-is-supplying-weapons-in-iraq/da5011a5-975c-4074-87cf-4bb309b19624/</t>
  </si>
  <si>
    <t xml:space="preserve">R0410</t>
  </si>
  <si>
    <t xml:space="preserve">Treasury</t>
  </si>
  <si>
    <t xml:space="preserve">Treasury Targets Iranian Companies for Supporting WMD Proliferation</t>
  </si>
  <si>
    <t xml:space="preserve">2007-02-16</t>
  </si>
  <si>
    <t xml:space="preserve">https://home.treasury.gov/news/press-releases/hp267</t>
  </si>
  <si>
    <t xml:space="preserve">R0411</t>
  </si>
  <si>
    <t xml:space="preserve">S/RES/1747 (2007)</t>
  </si>
  <si>
    <t xml:space="preserve">2007-03-24</t>
  </si>
  <si>
    <t xml:space="preserve">https://main.un.org/securitycouncil/en/s/res/1747-(2007)</t>
  </si>
  <si>
    <t xml:space="preserve">R0412</t>
  </si>
  <si>
    <t xml:space="preserve">Fact Sheet: Designation of Iranian Entities and Individuals for Proliferation Activities and Support for Terrorism</t>
  </si>
  <si>
    <t xml:space="preserve">2007-10-25</t>
  </si>
  <si>
    <t xml:space="preserve">https://home.treasury.gov/news/press-releases/hp644</t>
  </si>
  <si>
    <t xml:space="preserve">R0413</t>
  </si>
  <si>
    <t xml:space="preserve">Statement by National Security Advisor Stephen Hadley</t>
  </si>
  <si>
    <t xml:space="preserve">2007-12-03</t>
  </si>
  <si>
    <t xml:space="preserve">https://georgewbush-whitehouse.archives.gov/news/releases/2007/12/20071203-5.html</t>
  </si>
  <si>
    <t xml:space="preserve">R0414</t>
  </si>
  <si>
    <t xml:space="preserve">Port Royal II (CG-73): five Iranian speedboats close on three US ships, Jan 6, 2008</t>
  </si>
  <si>
    <t xml:space="preserve">https://www.history.navy.mil/research/histories/ship-histories/danfs/p/port-royal-ii--cg-73-.html</t>
  </si>
  <si>
    <t xml:space="preserve">R0415</t>
  </si>
  <si>
    <t xml:space="preserve">S/RES/1803 (2008)</t>
  </si>
  <si>
    <t xml:space="preserve">2008-03-03</t>
  </si>
  <si>
    <t xml:space="preserve">https://main.un.org/securitycouncil/en/s/res/1803-(2008)</t>
  </si>
  <si>
    <t xml:space="preserve">R0416</t>
  </si>
  <si>
    <t xml:space="preserve">White House (Obama archive)</t>
  </si>
  <si>
    <t xml:space="preserve">Videotaped Remarks by The President in Celebration of Nowruz</t>
  </si>
  <si>
    <t xml:space="preserve">2009-03-20</t>
  </si>
  <si>
    <t xml:space="preserve">https://obamawhitehouse.archives.gov/the-press-office/videotaped-remarks-president-celebration-nowruz</t>
  </si>
  <si>
    <t xml:space="preserve">R0417</t>
  </si>
  <si>
    <t xml:space="preserve">Statements by President Obama, President Sarkozy and Prime Minister Brown on Iranian Nuclear Facility</t>
  </si>
  <si>
    <t xml:space="preserve">2009-09-25</t>
  </si>
  <si>
    <t xml:space="preserve">https://obamawhitehouse.archives.gov/the-press-office/2009/09/25/statements-president-obama-french-president-sarkozy-and-british-prime-mi</t>
  </si>
  <si>
    <t xml:space="preserve">R0418</t>
  </si>
  <si>
    <t xml:space="preserve">S/RES/1929 (2010)</t>
  </si>
  <si>
    <t xml:space="preserve">2010-06-09</t>
  </si>
  <si>
    <t xml:space="preserve">https://main.un.org/securitycouncil/en/s/res/1929-(2010)</t>
  </si>
  <si>
    <t xml:space="preserve">R0419</t>
  </si>
  <si>
    <t xml:space="preserve">Remarks by the President on United Nations Security Council Resolution on Iran Sanctions</t>
  </si>
  <si>
    <t xml:space="preserve">https://obamawhitehouse.archives.gov/the-press-office/remarks-president-united-nations-security-council-resolution-iran-sanctions</t>
  </si>
  <si>
    <t xml:space="preserve">R0420</t>
  </si>
  <si>
    <t xml:space="preserve">Statement of Secretary Geithner on the Signing of the Iran Sanctions Act</t>
  </si>
  <si>
    <t xml:space="preserve">2010-07-01</t>
  </si>
  <si>
    <t xml:space="preserve">https://home.treasury.gov/news/press-releases/tg767</t>
  </si>
  <si>
    <t xml:space="preserve">R0421</t>
  </si>
  <si>
    <t xml:space="preserve">Treasury Sanctions Five Individuals Tied to Iranian Plot to Assassinate the Saudi Arabian Ambassador</t>
  </si>
  <si>
    <t xml:space="preserve">2011-10-11</t>
  </si>
  <si>
    <t xml:space="preserve">https://home.treasury.gov/news/press-releases/tg1320</t>
  </si>
  <si>
    <t xml:space="preserve">R0422</t>
  </si>
  <si>
    <t xml:space="preserve">R0423</t>
  </si>
  <si>
    <t xml:space="preserve">Fact Sheet: New Sanctions on Iran</t>
  </si>
  <si>
    <t xml:space="preserve">2011-11-21</t>
  </si>
  <si>
    <t xml:space="preserve">https://home.treasury.gov/news/press-releases/tg1367</t>
  </si>
  <si>
    <t xml:space="preserve">R0424</t>
  </si>
  <si>
    <t xml:space="preserve">Iran says it downed U.S. stealth drone; Pentagon acknowledges aircraft downing</t>
  </si>
  <si>
    <t xml:space="preserve">2011-12-04</t>
  </si>
  <si>
    <t xml:space="preserve">https://www.washingtonpost.com/world/national-security/iran-says-it-downed-us-stealth-drone-pentagon-acknowledges-aircraft-downing/2011/12/04/gIQAyxa8TO_story.html</t>
  </si>
  <si>
    <t xml:space="preserve">R0425</t>
  </si>
  <si>
    <t xml:space="preserve">Iran Displays Plane Identified as Downed U.S. Drone</t>
  </si>
  <si>
    <t xml:space="preserve">2011-12-08</t>
  </si>
  <si>
    <t xml:space="preserve">https://www.washingtonpost.com/world/middle_east/iran-displays-plane-identified-as-downed-us-drone/2011/12/08/gIQA7xvGgO_story.html</t>
  </si>
  <si>
    <t xml:space="preserve">R0426</t>
  </si>
  <si>
    <t xml:space="preserve">Fact Sheet: Implementation of National Defense Authorization Act Sanctions on Iran (EO 13599)</t>
  </si>
  <si>
    <t xml:space="preserve">2012-02-06</t>
  </si>
  <si>
    <t xml:space="preserve">https://home.treasury.gov/news/press-releases/tg1409</t>
  </si>
  <si>
    <t xml:space="preserve">R0427</t>
  </si>
  <si>
    <t xml:space="preserve">Statement by the President (call with President Rouhani)</t>
  </si>
  <si>
    <t xml:space="preserve">2013-09-27</t>
  </si>
  <si>
    <t xml:space="preserve">https://obamawhitehouse.archives.gov/the-press-office/2013/09/27/statement-president</t>
  </si>
  <si>
    <t xml:space="preserve">R0428</t>
  </si>
  <si>
    <t xml:space="preserve">Statement by the President on First Step Agreement on Iran's Nuclear Program</t>
  </si>
  <si>
    <t xml:space="preserve">2013-11-23</t>
  </si>
  <si>
    <t xml:space="preserve">https://obamawhitehouse.archives.gov/the-press-office/2013/11/23/statement-president-first-step-agreement-irans-nuclear-program</t>
  </si>
  <si>
    <t xml:space="preserve">R0429</t>
  </si>
  <si>
    <t xml:space="preserve">IAEA and Iran: Chronology of Key Events (24 Nov 2013)</t>
  </si>
  <si>
    <t xml:space="preserve">R0430</t>
  </si>
  <si>
    <t xml:space="preserve">Treasury: how the US is implementing the Joint Plan of Action</t>
  </si>
  <si>
    <t xml:space="preserve">2014-01-20</t>
  </si>
  <si>
    <t xml:space="preserve">https://home.treasury.gov/news/press-releases/jl2260</t>
  </si>
  <si>
    <t xml:space="preserve">R0431</t>
  </si>
  <si>
    <t xml:space="preserve">Parameters for a Joint Comprehensive Plan of Action Regarding the Islamic Republic of Iran</t>
  </si>
  <si>
    <t xml:space="preserve">2015-04-02</t>
  </si>
  <si>
    <t xml:space="preserve">https://2009-2017.state.gov/r/pa/prs/ps/2015/04/240170.htm</t>
  </si>
  <si>
    <t xml:space="preserve">R0432</t>
  </si>
  <si>
    <t xml:space="preserve">U.S. dispatches destroyer after Iran boards commercial ship</t>
  </si>
  <si>
    <t xml:space="preserve">2015-04-28</t>
  </si>
  <si>
    <t xml:space="preserve">https://www.washingtonpost.com/world/national-security/us-dispatches-destroyer-after-iran-boards-commercial-ship/2015/04/28/56ef48c2-edc6-11e4-a55f-38924fca94f9_story.html</t>
  </si>
  <si>
    <t xml:space="preserve">R0433</t>
  </si>
  <si>
    <t xml:space="preserve">R0434</t>
  </si>
  <si>
    <t xml:space="preserve">Statement by the President on Iran</t>
  </si>
  <si>
    <t xml:space="preserve">2015-07-14</t>
  </si>
  <si>
    <t xml:space="preserve">https://obamawhitehouse.archives.gov/the-press-office/2015/07/14/statement-president-iran</t>
  </si>
  <si>
    <t xml:space="preserve">R0435</t>
  </si>
  <si>
    <t xml:space="preserve">Resolution 2231 (2015) on Iran Nuclear Issue</t>
  </si>
  <si>
    <t xml:space="preserve">2015-07-20</t>
  </si>
  <si>
    <t xml:space="preserve">https://main.un.org/securitycouncil/en/content/2231/background</t>
  </si>
  <si>
    <t xml:space="preserve">R0436</t>
  </si>
  <si>
    <t xml:space="preserve">Briefing on the Release of United States Sailors by Iran</t>
  </si>
  <si>
    <t xml:space="preserve">2016-01-13</t>
  </si>
  <si>
    <t xml:space="preserve">https://2009-2017.state.gov/r/pa/prs/ps/2016/01/251188.htm</t>
  </si>
  <si>
    <t xml:space="preserve">R0437</t>
  </si>
  <si>
    <t xml:space="preserve">2016-01-17</t>
  </si>
  <si>
    <t xml:space="preserve">https://obamawhitehouse.archives.gov/the-press-office/2016/01/17/statement-president-iran</t>
  </si>
  <si>
    <t xml:space="preserve">R0438</t>
  </si>
  <si>
    <t xml:space="preserve">Remarks on Implementation Day</t>
  </si>
  <si>
    <t xml:space="preserve">2016-01-16</t>
  </si>
  <si>
    <t xml:space="preserve">https://2009-2017.state.gov/secretary/remarks/2016/01/251336.htm</t>
  </si>
  <si>
    <t xml:space="preserve">R0439</t>
  </si>
  <si>
    <t xml:space="preserve">R0440</t>
  </si>
  <si>
    <t xml:space="preserve">Treasury Sanctions Supporters of Iran's Ballistic Missile Program and IRGC Qods Force</t>
  </si>
  <si>
    <t xml:space="preserve">2017-02-03</t>
  </si>
  <si>
    <t xml:space="preserve">https://home.treasury.gov/news/press-releases/as0004</t>
  </si>
  <si>
    <t xml:space="preserve">R0441</t>
  </si>
  <si>
    <t xml:space="preserve">White House (Trump archive)</t>
  </si>
  <si>
    <t xml:space="preserve">Statement by National Security Advisor Michael T. Flynn on Iran</t>
  </si>
  <si>
    <t xml:space="preserve">https://trumpwhitehouse.archives.gov/briefings-statements/statement-national-security-advisor-michael-t-flynn-iran/</t>
  </si>
  <si>
    <t xml:space="preserve">R0442</t>
  </si>
  <si>
    <t xml:space="preserve">Statement by President Trump on Signing the Countering America's Adversaries Through Sanctions Act</t>
  </si>
  <si>
    <t xml:space="preserve">2017-08-02</t>
  </si>
  <si>
    <t xml:space="preserve">https://trumpwhitehouse.archives.gov/briefings-statements/statement-president-donald-j-trump-signing-countering-americas-adversaries-sanctions-act/</t>
  </si>
  <si>
    <t xml:space="preserve">R0443</t>
  </si>
  <si>
    <t xml:space="preserve">Remarks by President Trump on Iran Strategy</t>
  </si>
  <si>
    <t xml:space="preserve">2017-10-13</t>
  </si>
  <si>
    <t xml:space="preserve">https://trumpwhitehouse.archives.gov/briefings-statements/remarks-president-trump-iran-strategy/</t>
  </si>
  <si>
    <t xml:space="preserve">R0444</t>
  </si>
  <si>
    <t xml:space="preserve">Remarks by President Trump on the Joint Comprehensive Plan of Action</t>
  </si>
  <si>
    <t xml:space="preserve">2018-05-08</t>
  </si>
  <si>
    <t xml:space="preserve">https://trumpwhitehouse.archives.gov/briefings-statements/remarks-president-trump-joint-comprehensive-plan-action/</t>
  </si>
  <si>
    <t xml:space="preserve">R0445</t>
  </si>
  <si>
    <t xml:space="preserve">After the Deal: A New Iran Strategy (Pompeo, Heritage Foundation)</t>
  </si>
  <si>
    <t xml:space="preserve">2018-05-21</t>
  </si>
  <si>
    <t xml:space="preserve">https://2017-2021.state.gov/after-the-deal-a-new-iran-strategy/</t>
  </si>
  <si>
    <t xml:space="preserve">R0446</t>
  </si>
  <si>
    <t xml:space="preserve">Executive Order Reimposing Certain Sanctions with Respect to Iran</t>
  </si>
  <si>
    <t xml:space="preserve">2018-08-06</t>
  </si>
  <si>
    <t xml:space="preserve">https://trumpwhitehouse.archives.gov/presidential-actions/executive-order-reimposing-certain-sanctions-respect-iran/</t>
  </si>
  <si>
    <t xml:space="preserve">R0447</t>
  </si>
  <si>
    <t xml:space="preserve">On Ordered Departure at Consulate Basrah</t>
  </si>
  <si>
    <t xml:space="preserve">2018-09-28</t>
  </si>
  <si>
    <t xml:space="preserve">https://2017-2021.state.gov/on-ordered-departure-at-consulate-basrah</t>
  </si>
  <si>
    <t xml:space="preserve">R0448</t>
  </si>
  <si>
    <t xml:space="preserve">Remarks to the Media (Pompeo, Oct 3, 2018)</t>
  </si>
  <si>
    <t xml:space="preserve">2018-10-03</t>
  </si>
  <si>
    <t xml:space="preserve">https://2017-2021.state.gov/remarks-to-the-media-3</t>
  </si>
  <si>
    <t xml:space="preserve">R0449</t>
  </si>
  <si>
    <t xml:space="preserve">Treasury (OFAC)</t>
  </si>
  <si>
    <t xml:space="preserve">Re-imposition of the sanctions on Iran that had been lifted or waived under the JCPOA</t>
  </si>
  <si>
    <t xml:space="preserve">2018-11-05</t>
  </si>
  <si>
    <t xml:space="preserve">https://ofac.treasury.gov/sanctions-programs-and-country-information/iran-sanctions/re-imposition-of-the-sanctions-on-iran-that-had-been-lifted-or-waived-under-the-jcpoa</t>
  </si>
  <si>
    <t xml:space="preserve">R0450</t>
  </si>
  <si>
    <t xml:space="preserve">Designation of the Islamic Revolutionary Guard Corps</t>
  </si>
  <si>
    <t xml:space="preserve">2019-04-08</t>
  </si>
  <si>
    <t xml:space="preserve">https://2017-2021-translations.state.gov/2019/04/08/designation-of-the-islamic-revolutionary-guard-corps/index.html</t>
  </si>
  <si>
    <t xml:space="preserve">R0451</t>
  </si>
  <si>
    <t xml:space="preserve">CRS (via EveryCRSReport)</t>
  </si>
  <si>
    <t xml:space="preserve">Iran Sanctions: oil waivers will not be renewed (CRS In Focus IN11108)</t>
  </si>
  <si>
    <t xml:space="preserve">2019-04-22</t>
  </si>
  <si>
    <t xml:space="preserve">https://www.everycrsreport.com/reports/IN11108.html</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</si>
  <si>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</si>
  <si>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</si>
  <si>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</si>
  <si>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</si>
  <si>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</si>
  <si>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</si>
  <si>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</si>
  <si>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</si>
  <si>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</si>
  <si>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</si>
  <si>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</si>
  <si>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</si>
  <si>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</si>
  <si>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</si>
  <si>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</si>
  <si>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</si>
  <si>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</si>
  <si>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</si>
  <si>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</si>
  <si>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</si>
  <si>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</si>
  <si>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</si>
  <si>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</si>
  <si>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</si>
  <si>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</si>
  <si>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</si>
  <si>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</si>
  <si>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</si>
  <si>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</si>
  <si>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</si>
  <si>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</si>
  <si>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</si>
  <si>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</si>
  <si>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</si>
  <si>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</si>
  <si>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</si>
  <si>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</si>
  <si>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</si>
  <si>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</si>
  <si>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</si>
  <si>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</si>
  <si>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</si>
  <si>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</si>
  <si>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</si>
  <si>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</si>
  <si>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</si>
  <si>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</si>
  <si>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</si>
  <si>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</si>
  <si>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</si>
  <si>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</si>
  <si>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</si>
  <si>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</si>
  <si>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</si>
  <si>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</si>
  <si>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</si>
  <si>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</si>
  <si>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</si>
  <si>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</si>
  <si>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</si>
  <si>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</si>
  <si>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</si>
  <si>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</si>
  <si>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</si>
  <si>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</si>
  <si>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</si>
  <si>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</si>
  <si>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</si>
  <si>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</si>
  <si>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</si>
  <si>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</si>
  <si>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</si>
  <si>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</si>
  <si>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</si>
  <si>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</si>
  <si>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</si>
  <si>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</si>
  <si>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</si>
  <si>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</si>
  <si>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</si>
  <si>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</si>
  <si>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</si>
  <si>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</si>
  <si>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</si>
  <si>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</si>
  <si>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</si>
  <si>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</si>
  <si>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</si>
  <si>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</si>
  <si>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</si>
  <si>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</si>
  <si>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</si>
  <si>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</si>
  <si>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</si>
  <si>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</si>
  <si>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</si>
  <si>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</si>
  <si>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</si>
  <si>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</si>
  <si>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</si>
  <si>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</si>
  <si>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</si>
  <si>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</si>
  <si>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</si>
  <si>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</si>
  <si>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</si>
  <si>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</si>
  <si>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</si>
  <si>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</si>
  <si>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</si>
  <si>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</si>
  <si>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</si>
  <si>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</si>
  <si>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</si>
  <si>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</si>
  <si>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https://thejakartapost.com/world/2026/07/12/us-strikes-iran-tehran-says-strait-of-hormuz-closed-gulf-states-hit</t>
  </si>
  <si>
    <t xml:space="preserve">Census #77</t>
  </si>
  <si>
    <t xml:space="preserve">CENTCOM destroys 3 IRGC oil tankers after Iran targets 2 US Navy 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</si>
  <si>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</si>
  <si>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</si>
  <si>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</si>
  <si>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</si>
  <si>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</si>
  <si>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</si>
  <si>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</si>
  <si>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</si>
  <si>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</si>
  <si>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</si>
  <si>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</si>
  <si>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</si>
  <si>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</si>
  <si>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</si>
  <si>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</si>
  <si>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</si>
  <si>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</si>
  <si>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https://www.deccanchronicle.com/west-asia/trump-rejects-iran-ceasefire-plans-renewed-bombing-after-midterms-report-1990671</t>
  </si>
  <si>
    <t xml:space="preserve">Time interview as relayed by wire on The Edge Malaysia (wire not named on page)</t>
  </si>
  <si>
    <t xml:space="preserve">Friday 02 Oct 2026 (Trump says resuming Iran strikes after midterms 'possible')</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</si>
  <si>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</si>
  <si>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</si>
  <si>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</si>
  <si>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</si>
  <si>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</si>
  <si>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</si>
  <si>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</si>
  <si>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</si>
  <si>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</si>
  <si>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</si>
  <si>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</si>
  <si>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</si>
  <si>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</si>
  <si>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</si>
  <si>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</si>
  <si>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</si>
  <si>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</si>
  <si>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</si>
  <si>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</si>
  <si>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</si>
  <si>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</si>
  <si>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</si>
  <si>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</si>
  <si>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</si>
  <si>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</si>
  <si>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</si>
  <si>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</si>
  <si>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</si>
  <si>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#300 the embassy is seized; oil ban, asset freeze, break in relations and the failed rescue (#301-#304) until the hostages are freed (#307)</t>
  </si>
  <si>
    <t xml:space="preserve">Beirut barracks bombing (#308) and the secret arms channel to Iran (#309-#312)</t>
  </si>
  <si>
    <t xml:space="preserve">#314 US convoys begin; mines, Silkworm strikes and the two US reprisals (#320, #323); the Iran Air 655 shootdown (#325)</t>
  </si>
  <si>
    <t xml:space="preserve">Quiet years</t>
  </si>
  <si>
    <t xml:space="preserve">No logged Iran events: the record is thin here</t>
  </si>
  <si>
    <t xml:space="preserve">Executive orders (#326, #327), the sanctions act (#329), Khobar (#328) and the 1998 offer (#330)</t>
  </si>
  <si>
    <t xml:space="preserve">'Axis of evil' (#332), IAEA findings, UN resolutions (#337, #338, #341, #345), Quds Force designations (#342) and Obama's offer (#346)</t>
  </si>
  <si>
    <t xml:space="preserve">UN 1929 and CISADA (#348, #349), the 2011 plot (#350) and the oil and bank sanctions (#352, #354)</t>
  </si>
  <si>
    <t xml:space="preserve">Rouhani call (#355), interim deal (#356), final deal (#361), sailors (#363), Implementation Day (#364)</t>
  </si>
  <si>
    <t xml:space="preserve">#369 the US leaves the deal; sanctions return (#371, #374), the Guard is listed (#375) and oil waivers end (#376)</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</si>
  <si>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</si>
  <si>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</si>
  <si>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</si>
  <si>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</si>
  <si>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</si>
  <si>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</si>
  <si>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</si>
  <si>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</si>
  <si>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</si>
  <si>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</si>
  <si>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</si>
  <si>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</si>
  <si>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</si>
  <si>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</si>
  <si>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29 chains with a hostile act: on average 1.55 side-switches, longest 5; 66% stopped after one reply; average length 9.2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</si>
  <si>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</si>
  <si>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</si>
  <si>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</si>
  <si>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</si>
  <si>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</si>
  <si>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</si>
  <si>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</si>
  <si>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</si>
  <si>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</si>
  <si>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Embassy seized -&gt; oil ban, asset freeze, break in relations, failed rescue (hostage crisis)</t>
  </si>
  <si>
    <t xml:space="preserve">#300, #301, #302, #303, #304</t>
  </si>
  <si>
    <t xml:space="preserve">Parliament sets terms -&gt; Algiers deal -&gt; hostages freed</t>
  </si>
  <si>
    <t xml:space="preserve">#305, #306, #307</t>
  </si>
  <si>
    <t xml:space="preserve">Convoys begin -&gt; Bridgeton mine (Tanker War, context)</t>
  </si>
  <si>
    <t xml:space="preserve">#314, #315</t>
  </si>
  <si>
    <t xml:space="preserve">Sea Isle City hit -&gt; Nimble Archer -&gt; Silkworm on Kuwait terminal (Tanker War, context)</t>
  </si>
  <si>
    <t xml:space="preserve">#319, #320, #321</t>
  </si>
  <si>
    <t xml:space="preserve">Roberts mine -&gt; Praying Mantis -&gt; Iranian attacks the same day (Tanker War, context)</t>
  </si>
  <si>
    <t xml:space="preserve">#322, #323, #324</t>
  </si>
  <si>
    <t xml:space="preserve">Saudi-ambassador plot -&gt; Treasury sanctions</t>
  </si>
  <si>
    <t xml:space="preserve">#350, #351</t>
  </si>
  <si>
    <t xml:space="preserve">Geneva first-step deal -&gt; sanctions relief</t>
  </si>
  <si>
    <t xml:space="preserve">#356, #357</t>
  </si>
  <si>
    <t xml:space="preserve">Maersk Tigris seized -&gt; destroyer sent</t>
  </si>
  <si>
    <t xml:space="preserve">#359, #360</t>
  </si>
  <si>
    <t xml:space="preserve">Deal exit -&gt; twelve demands -&gt; sanctions return</t>
  </si>
  <si>
    <t xml:space="preserve">#369, #370, #371, #374</t>
  </si>
  <si>
    <t xml:space="preserve">Basra consulate drawdown -&gt; Pompeo blames Iran</t>
  </si>
  <si>
    <t xml:space="preserve">#372, #373</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</si>
  <si>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</si>
  <si>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</si>
  <si>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</si>
  <si>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</si>
  <si>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</si>
  <si>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</si>
  <si>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</si>
  <si>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</si>
  <si>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</si>
  <si>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</si>
  <si>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</si>
  <si>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</si>
  <si>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</si>
  <si>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</si>
  <si>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</si>
  <si>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</si>
  <si>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</si>
  <si>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</si>
  <si>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</si>
  <si>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</si>
  <si>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</si>
  <si>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</si>
  <si>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</si>
  <si>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</si>
  <si>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</si>
  <si>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</si>
  <si>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</si>
  <si>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</si>
  <si>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</si>
  <si>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</si>
  <si>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</si>
  <si>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</si>
  <si>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</si>
  <si>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</si>
  <si>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</si>
  <si>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</si>
  <si>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</si>
  <si>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</si>
  <si>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</si>
  <si>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</si>
  <si>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</si>
  <si>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</si>
  <si>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</si>
  <si>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</si>
  <si>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</si>
  <si>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</si>
  <si>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</si>
  <si>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</si>
  <si>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</si>
  <si>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</si>
  <si>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</si>
  <si>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</si>
  <si>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</si>
  <si>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</si>
  <si>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</si>
  <si>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</si>
  <si>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</si>
  <si>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 #127</t>
  </si>
  <si>
    <t xml:space="preserve">RAF Fairford plot -&gt; US bombers withdrawn</t>
  </si>
  <si>
    <t xml:space="preserve">#83, #91</t>
  </si>
  <si>
    <t xml:space="preserve">No-strike pledge before the midterms -&gt; reported strike plans</t>
  </si>
  <si>
    <t xml:space="preserve">#97, #111, #122, #126</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</si>
  <si>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</si>
  <si>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</si>
  <si>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</si>
  <si>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</si>
  <si>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</si>
  <si>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</si>
  <si>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</si>
  <si>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</si>
  <si>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</si>
  <si>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</si>
  <si>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</si>
  <si>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</si>
  <si>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</si>
  <si>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</si>
  <si>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6   Resolved: 3   Open: 3   Average Brier score so far: 0.034</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</si>
  <si>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</si>
  <si>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</si>
  <si>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</si>
  <si>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</si>
  <si>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</si>
  <si>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</si>
  <si>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</si>
  <si>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</si>
  <si>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</si>
  <si>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</si>
  <si>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</si>
  <si>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</si>
  <si>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</si>
  <si>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</si>
  <si>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</si>
  <si>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</si>
  <si>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</si>
  <si>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</si>
  <si>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</si>
  <si>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</si>
  <si>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</si>
  <si>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</si>
  <si>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</si>
  <si>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</si>
  <si>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</si>
  <si>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</si>
  <si>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</si>
  <si>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</si>
  <si>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</si>
  <si>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</si>
  <si>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</si>
  <si>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</si>
  <si>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</si>
  <si>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</si>
  <si>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</si>
  <si>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</si>
  <si>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</si>
  <si>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</si>
  <si>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</si>
  <si>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YES. UKMTO reported an unknown projectile hitting a tanker about 30 nm southeast of Iraq's Faw port on Oct 20 (no damage, crew safe; Reuters) and a tanker hit and set on fire 11 nm off Bukha, Oman, at the Strait of Hormuz on Oct 21 (crew safe; AFP via Times of Israel). The IRGC also claimed seven tankers hit on Oct 22 and two on Oct 23 (Al Jazeera); those are unverified claims and are not needed for the YES.</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</si>
  <si>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</si>
  <si>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</si>
  <si>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</si>
  <si>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</si>
  <si>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F006</t>
  </si>
  <si>
    <t xml:space="preserve">Will there be at least one new attack on a commercial ship in or near the Strait of Hormuz / Gulf (by Iran or an unidentified attacker) during Oct 26-Nov 1?</t>
  </si>
  <si>
    <t xml:space="preserve">An allowed outlet, UKMTO or CENTCOM reports at least one new projectile, drone, mine or boarding attack on a commercial vessel in the Gulf, Strait of Hormuz or Gulf of Oman dated Oct 26-Nov 1, not attributed to the US. IRGC claims alone (not confirmed by UKMTO, CENTCOM or an allowed outlet's own reporting) do not count. Houthi attacks in the Red Sea do not count.</t>
  </si>
  <si>
    <t xml:space="preserve">2026-11-01</t>
  </si>
  <si>
    <t xml:space="preserve">Baseline: 16 logged attack rows in 6.6 weeks of the current phase (Sep 10-Oct 25) = 2.4 per week; chance of at least one in a week (Poisson) = 1 - e^-2.4 = 91%. Same method as F002/F004. Caution: UKMTO-confirmed hits this week (2) were fewer than the record week to Oct 16, and some logged rows are IRGC claims, so the true rate of confirmed attacks may be lower.</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</si>
  <si>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</si>
  <si>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</si>
  <si>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</si>
  <si>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</si>
  <si>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</si>
  <si>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</si>
  <si>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</si>
  <si>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</si>
  <si>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</si>
  <si>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</si>
  <si>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</si>
  <si>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</si>
  <si>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</si>
  <si>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</si>
  <si>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</si>
  <si>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</si>
  <si>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</si>
  <si>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</si>
  <si>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</si>
  <si>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</si>
  <si>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</si>
  <si>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</si>
  <si>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</si>
  <si>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</si>
  <si>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</si>
  <si>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</si>
  <si>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</si>
  <si>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</si>
  <si>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</si>
  <si>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</si>
  <si>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</si>
  <si>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</si>
  <si>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</si>
  <si>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</si>
  <si>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</si>
  <si>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</si>
  <si>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</si>
  <si>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</si>
  <si>
    <t xml:space="preserve">confirmed by weekly agent 2026-10-26: logged as new event #117 (sources in audit_sources.py)</t>
  </si>
  <si>
    <t xml:space="preserve">confirmed by weekly agent 2026-10-26: logged as new event #118 (sources in audit_sources.py)</t>
  </si>
  <si>
    <t xml:space="preserve">confirmed by weekly agent 2026-10-26: logged as new event #119 (sources in audit_sources.py)</t>
  </si>
  <si>
    <t xml:space="preserve">confirmed by weekly agent 2026-10-26: logged as new event #120 (sources in audit_sources.py)</t>
  </si>
  <si>
    <t xml:space="preserve">confirmed by weekly agent 2026-10-26: logged as new event #121 (sources in audit_sources.py)</t>
  </si>
  <si>
    <t xml:space="preserve">confirmed by weekly agent 2026-10-26: logged as new event #122, #123 and #125 (sources in audit_sources.py)</t>
  </si>
  <si>
    <t xml:space="preserve">confirmed by weekly agent 2026-10-26: logged as new event #124 (sources in audit_sources.py)</t>
  </si>
  <si>
    <t xml:space="preserve">Trump says he's weighing deal with Iran against action to finish them off</t>
  </si>
  <si>
    <t xml:space="preserve">confirmed by weekly agent 2026-10-26: logged as new event #126 and #127 (sources in audit_sources.py)</t>
  </si>
  <si>
    <t xml:space="preserve">confirmed by weekly agent 2026-10-26: logged as new event #128 (sources in audit_sources.py)</t>
  </si>
  <si>
    <t xml:space="preserve">POSSIBLE OVERLAP</t>
  </si>
  <si>
    <t xml:space="preserve">needs human check: the IRGC's claim of seven tankers hit overnight into Oct 22 (#121) may include the UKMTO-confirmed tanker hit off Bukha on Oct 21 (#118); duplicate_watch scores the pair 0.64. Both kept as separate rows; not merged.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</si>
</sst>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35.05" hidden="false" customHeight="false" outlineLevel="0" collapsed="false">
      <c r="A45" s="6" t="n">
        <v>44</v>
      </c>
      <c r="B45" s="7" t="n">
        <v>46181</v>
      </c>
      <c r="C45" s="6" t="s">
        <v>155</v>
      </c>
      <c r="D45" s="6" t="s">
        <v>298</v>
      </c>
      <c r="E45" s="6" t="s">
        <v>53</v>
      </c>
      <c r="F45" s="6" t="s">
        <v>299</v>
      </c>
      <c r="G45" s="6" t="n">
        <v>43</v>
      </c>
      <c r="H45" s="6" t="s">
        <v>300</v>
      </c>
      <c r="I45" s="8" t="s">
        <v>56</v>
      </c>
      <c r="J45" s="6" t="s">
        <v>301</v>
      </c>
      <c r="K45" s="8" t="s">
        <v>68</v>
      </c>
      <c r="L45" s="6" t="s">
        <v>302</v>
      </c>
      <c r="M45" s="6" t="s">
        <v>70</v>
      </c>
      <c r="N45" s="6" t="n">
        <v>1</v>
      </c>
      <c r="O45" s="6" t="n">
        <v>1</v>
      </c>
      <c r="P45" s="9" t="n">
        <v>0.8</v>
      </c>
      <c r="Q45" s="8" t="s">
        <v>60</v>
      </c>
      <c r="R45" s="6" t="s">
        <v>227</v>
      </c>
      <c r="S45" s="6" t="s">
        <v>296</v>
      </c>
      <c r="T45" s="6" t="s">
        <v>297</v>
      </c>
    </row>
    <row r="46" customFormat="false" ht="46.25" hidden="false" customHeight="false" outlineLevel="0" collapsed="false">
      <c r="A46" s="6" t="n">
        <v>45</v>
      </c>
      <c r="B46" s="7" t="n">
        <v>46181</v>
      </c>
      <c r="C46" s="6" t="s">
        <v>53</v>
      </c>
      <c r="D46" s="6" t="s">
        <v>303</v>
      </c>
      <c r="E46" s="6" t="s">
        <v>51</v>
      </c>
      <c r="F46" s="6" t="s">
        <v>304</v>
      </c>
      <c r="G46" s="6" t="n">
        <v>44</v>
      </c>
      <c r="H46" s="6" t="s">
        <v>305</v>
      </c>
      <c r="I46" s="8" t="s">
        <v>56</v>
      </c>
      <c r="J46" s="6" t="s">
        <v>306</v>
      </c>
      <c r="K46" s="8" t="s">
        <v>68</v>
      </c>
      <c r="L46" s="6" t="s">
        <v>307</v>
      </c>
      <c r="M46" s="6" t="s">
        <v>70</v>
      </c>
      <c r="N46" s="6" t="n">
        <v>1</v>
      </c>
      <c r="O46" s="6" t="n">
        <v>1</v>
      </c>
      <c r="P46" s="9" t="n">
        <v>0.8</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308</v>
      </c>
      <c r="G47" s="6" t="n">
        <v>45</v>
      </c>
      <c r="H47" s="6" t="s">
        <v>124</v>
      </c>
      <c r="I47" s="8" t="s">
        <v>56</v>
      </c>
      <c r="J47" s="6" t="s">
        <v>309</v>
      </c>
      <c r="K47" s="8" t="s">
        <v>68</v>
      </c>
      <c r="L47" s="6" t="s">
        <v>310</v>
      </c>
      <c r="M47" s="6" t="s">
        <v>70</v>
      </c>
      <c r="N47" s="6" t="n">
        <v>2</v>
      </c>
      <c r="O47" s="6" t="n">
        <v>2</v>
      </c>
      <c r="P47" s="9" t="n">
        <v>0.93</v>
      </c>
      <c r="Q47" s="8" t="s">
        <v>60</v>
      </c>
      <c r="R47" s="6" t="s">
        <v>227</v>
      </c>
      <c r="S47" s="6" t="s">
        <v>296</v>
      </c>
      <c r="T47" s="6" t="s">
        <v>180</v>
      </c>
    </row>
    <row r="48" customFormat="false" ht="57.45" hidden="false" customHeight="false" outlineLevel="0" collapsed="false">
      <c r="A48" s="6" t="n">
        <v>47</v>
      </c>
      <c r="B48" s="7" t="n">
        <v>46183</v>
      </c>
      <c r="C48" s="6" t="s">
        <v>53</v>
      </c>
      <c r="D48" s="6" t="s">
        <v>85</v>
      </c>
      <c r="E48" s="6" t="s">
        <v>311</v>
      </c>
      <c r="F48" s="6" t="s">
        <v>312</v>
      </c>
      <c r="G48" s="6" t="n">
        <v>46</v>
      </c>
      <c r="H48" s="6" t="s">
        <v>313</v>
      </c>
      <c r="I48" s="8" t="s">
        <v>56</v>
      </c>
      <c r="J48" s="6" t="s">
        <v>314</v>
      </c>
      <c r="K48" s="8" t="s">
        <v>58</v>
      </c>
      <c r="L48" s="6" t="s">
        <v>315</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316</v>
      </c>
      <c r="F49" s="6" t="s">
        <v>317</v>
      </c>
      <c r="G49" s="6" t="n">
        <v>47</v>
      </c>
      <c r="H49" s="6" t="s">
        <v>318</v>
      </c>
      <c r="I49" s="8" t="s">
        <v>56</v>
      </c>
      <c r="J49" s="6" t="s">
        <v>319</v>
      </c>
      <c r="K49" s="8" t="s">
        <v>68</v>
      </c>
      <c r="L49" s="6" t="s">
        <v>320</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321</v>
      </c>
      <c r="E50" s="6" t="s">
        <v>215</v>
      </c>
      <c r="F50" s="6" t="s">
        <v>322</v>
      </c>
      <c r="G50" s="6"/>
      <c r="H50" s="6" t="s">
        <v>323</v>
      </c>
      <c r="I50" s="6" t="s">
        <v>223</v>
      </c>
      <c r="J50" s="6" t="s">
        <v>324</v>
      </c>
      <c r="K50" s="8" t="s">
        <v>68</v>
      </c>
      <c r="L50" s="6" t="s">
        <v>325</v>
      </c>
      <c r="M50" s="6" t="s">
        <v>59</v>
      </c>
      <c r="N50" s="6" t="n">
        <v>0</v>
      </c>
      <c r="O50" s="6" t="n">
        <v>0</v>
      </c>
      <c r="P50" s="9"/>
      <c r="Q50" s="11" t="s">
        <v>226</v>
      </c>
      <c r="R50" s="6" t="s">
        <v>227</v>
      </c>
      <c r="S50" s="6"/>
      <c r="T50" s="6" t="s">
        <v>326</v>
      </c>
    </row>
    <row r="51" customFormat="false" ht="79.85" hidden="false" customHeight="false" outlineLevel="0" collapsed="false">
      <c r="A51" s="6" t="n">
        <v>50</v>
      </c>
      <c r="B51" s="7" t="n">
        <v>46190</v>
      </c>
      <c r="C51" s="6" t="s">
        <v>213</v>
      </c>
      <c r="D51" s="6" t="s">
        <v>321</v>
      </c>
      <c r="E51" s="6" t="s">
        <v>215</v>
      </c>
      <c r="F51" s="6" t="s">
        <v>327</v>
      </c>
      <c r="G51" s="6"/>
      <c r="H51" s="6" t="s">
        <v>55</v>
      </c>
      <c r="I51" s="8" t="s">
        <v>56</v>
      </c>
      <c r="J51" s="6" t="s">
        <v>328</v>
      </c>
      <c r="K51" s="8" t="s">
        <v>68</v>
      </c>
      <c r="L51" s="6" t="s">
        <v>329</v>
      </c>
      <c r="M51" s="6" t="s">
        <v>59</v>
      </c>
      <c r="N51" s="6" t="n">
        <v>7</v>
      </c>
      <c r="O51" s="6" t="n">
        <v>4</v>
      </c>
      <c r="P51" s="9" t="n">
        <v>0.99</v>
      </c>
      <c r="Q51" s="8" t="s">
        <v>60</v>
      </c>
      <c r="R51" s="6" t="s">
        <v>227</v>
      </c>
      <c r="S51" s="6" t="s">
        <v>330</v>
      </c>
      <c r="T51" s="6" t="s">
        <v>326</v>
      </c>
    </row>
    <row r="52" customFormat="false" ht="15" hidden="false" customHeight="false" outlineLevel="0" collapsed="false">
      <c r="A52" s="6" t="n">
        <v>51</v>
      </c>
      <c r="B52" s="7" t="n">
        <v>46191</v>
      </c>
      <c r="C52" s="6" t="s">
        <v>51</v>
      </c>
      <c r="D52" s="6" t="s">
        <v>331</v>
      </c>
      <c r="E52" s="6" t="s">
        <v>53</v>
      </c>
      <c r="F52" s="6" t="s">
        <v>332</v>
      </c>
      <c r="G52" s="6" t="n">
        <v>50</v>
      </c>
      <c r="H52" s="6" t="s">
        <v>55</v>
      </c>
      <c r="I52" s="8" t="s">
        <v>56</v>
      </c>
      <c r="J52" s="6" t="s">
        <v>333</v>
      </c>
      <c r="K52" s="8" t="s">
        <v>58</v>
      </c>
      <c r="L52" s="6"/>
      <c r="M52" s="6" t="s">
        <v>84</v>
      </c>
      <c r="N52" s="6" t="n">
        <v>1</v>
      </c>
      <c r="O52" s="6" t="n">
        <v>1</v>
      </c>
      <c r="P52" s="9" t="n">
        <v>0.8</v>
      </c>
      <c r="Q52" s="8" t="s">
        <v>60</v>
      </c>
      <c r="R52" s="6" t="s">
        <v>227</v>
      </c>
      <c r="S52" s="6" t="s">
        <v>330</v>
      </c>
      <c r="T52" s="6" t="s">
        <v>326</v>
      </c>
    </row>
    <row r="53" customFormat="false" ht="23.85" hidden="false" customHeight="false" outlineLevel="0" collapsed="false">
      <c r="A53" s="6" t="n">
        <v>52</v>
      </c>
      <c r="B53" s="7" t="n">
        <v>46193</v>
      </c>
      <c r="C53" s="6" t="s">
        <v>155</v>
      </c>
      <c r="D53" s="6" t="s">
        <v>228</v>
      </c>
      <c r="E53" s="6" t="s">
        <v>229</v>
      </c>
      <c r="F53" s="6" t="s">
        <v>334</v>
      </c>
      <c r="G53" s="6"/>
      <c r="H53" s="6" t="s">
        <v>335</v>
      </c>
      <c r="I53" s="8" t="s">
        <v>56</v>
      </c>
      <c r="J53" s="6" t="s">
        <v>336</v>
      </c>
      <c r="K53" s="8" t="s">
        <v>68</v>
      </c>
      <c r="L53" s="6" t="s">
        <v>337</v>
      </c>
      <c r="M53" s="6" t="s">
        <v>70</v>
      </c>
      <c r="N53" s="6" t="n">
        <v>3</v>
      </c>
      <c r="O53" s="6" t="n">
        <v>2</v>
      </c>
      <c r="P53" s="9" t="n">
        <v>0.96</v>
      </c>
      <c r="Q53" s="8" t="s">
        <v>60</v>
      </c>
      <c r="R53" s="6" t="s">
        <v>227</v>
      </c>
      <c r="S53" s="6" t="s">
        <v>338</v>
      </c>
      <c r="T53" s="6" t="s">
        <v>247</v>
      </c>
    </row>
    <row r="54" customFormat="false" ht="23.85" hidden="false" customHeight="false" outlineLevel="0" collapsed="false">
      <c r="A54" s="6" t="n">
        <v>53</v>
      </c>
      <c r="B54" s="7" t="n">
        <v>46193</v>
      </c>
      <c r="C54" s="6" t="s">
        <v>53</v>
      </c>
      <c r="D54" s="6" t="s">
        <v>234</v>
      </c>
      <c r="E54" s="6" t="s">
        <v>79</v>
      </c>
      <c r="F54" s="6" t="s">
        <v>339</v>
      </c>
      <c r="G54" s="6" t="n">
        <v>52</v>
      </c>
      <c r="H54" s="6" t="s">
        <v>55</v>
      </c>
      <c r="I54" s="8" t="s">
        <v>56</v>
      </c>
      <c r="J54" s="6" t="s">
        <v>340</v>
      </c>
      <c r="K54" s="8" t="s">
        <v>58</v>
      </c>
      <c r="L54" s="6"/>
      <c r="M54" s="6" t="s">
        <v>84</v>
      </c>
      <c r="N54" s="6" t="n">
        <v>2</v>
      </c>
      <c r="O54" s="6" t="n">
        <v>2</v>
      </c>
      <c r="P54" s="9" t="n">
        <v>0.93</v>
      </c>
      <c r="Q54" s="8" t="s">
        <v>60</v>
      </c>
      <c r="R54" s="6" t="s">
        <v>227</v>
      </c>
      <c r="S54" s="6" t="s">
        <v>338</v>
      </c>
      <c r="T54" s="6" t="s">
        <v>247</v>
      </c>
    </row>
    <row r="55" customFormat="false" ht="35.05" hidden="false" customHeight="false" outlineLevel="0" collapsed="false">
      <c r="A55" s="6" t="n">
        <v>54</v>
      </c>
      <c r="B55" s="7" t="n">
        <v>46198</v>
      </c>
      <c r="C55" s="6" t="s">
        <v>53</v>
      </c>
      <c r="D55" s="6" t="s">
        <v>341</v>
      </c>
      <c r="E55" s="6" t="s">
        <v>267</v>
      </c>
      <c r="F55" s="6" t="s">
        <v>342</v>
      </c>
      <c r="G55" s="6"/>
      <c r="H55" s="6" t="s">
        <v>343</v>
      </c>
      <c r="I55" s="8" t="s">
        <v>56</v>
      </c>
      <c r="J55" s="6" t="s">
        <v>344</v>
      </c>
      <c r="K55" s="8" t="s">
        <v>58</v>
      </c>
      <c r="L55" s="6" t="s">
        <v>345</v>
      </c>
      <c r="M55" s="6" t="s">
        <v>84</v>
      </c>
      <c r="N55" s="6" t="n">
        <v>1</v>
      </c>
      <c r="O55" s="6" t="n">
        <v>1</v>
      </c>
      <c r="P55" s="9" t="n">
        <v>0.8</v>
      </c>
      <c r="Q55" s="8" t="s">
        <v>60</v>
      </c>
      <c r="R55" s="6" t="s">
        <v>227</v>
      </c>
      <c r="S55" s="6" t="s">
        <v>346</v>
      </c>
      <c r="T55" s="6" t="s">
        <v>180</v>
      </c>
    </row>
    <row r="56" customFormat="false" ht="46.25" hidden="false" customHeight="false" outlineLevel="0" collapsed="false">
      <c r="A56" s="6" t="n">
        <v>55</v>
      </c>
      <c r="B56" s="7" t="n">
        <v>46199</v>
      </c>
      <c r="C56" s="6" t="s">
        <v>51</v>
      </c>
      <c r="D56" s="6" t="s">
        <v>85</v>
      </c>
      <c r="E56" s="6" t="s">
        <v>53</v>
      </c>
      <c r="F56" s="6" t="s">
        <v>347</v>
      </c>
      <c r="G56" s="6" t="n">
        <v>54</v>
      </c>
      <c r="H56" s="6" t="s">
        <v>55</v>
      </c>
      <c r="I56" s="8" t="s">
        <v>56</v>
      </c>
      <c r="J56" s="6" t="s">
        <v>348</v>
      </c>
      <c r="K56" s="8" t="s">
        <v>58</v>
      </c>
      <c r="L56" s="6" t="s">
        <v>349</v>
      </c>
      <c r="M56" s="6" t="s">
        <v>70</v>
      </c>
      <c r="N56" s="6" t="n">
        <v>3</v>
      </c>
      <c r="O56" s="6" t="n">
        <v>3</v>
      </c>
      <c r="P56" s="9" t="n">
        <v>0.99</v>
      </c>
      <c r="Q56" s="8" t="s">
        <v>60</v>
      </c>
      <c r="R56" s="6" t="s">
        <v>227</v>
      </c>
      <c r="S56" s="6" t="s">
        <v>346</v>
      </c>
      <c r="T56" s="6" t="s">
        <v>168</v>
      </c>
    </row>
    <row r="57" customFormat="false" ht="46.25" hidden="false" customHeight="false" outlineLevel="0" collapsed="false">
      <c r="A57" s="6" t="n">
        <v>56</v>
      </c>
      <c r="B57" s="7" t="n">
        <v>46200</v>
      </c>
      <c r="C57" s="6" t="s">
        <v>53</v>
      </c>
      <c r="D57" s="6" t="s">
        <v>85</v>
      </c>
      <c r="E57" s="6" t="s">
        <v>108</v>
      </c>
      <c r="F57" s="6" t="s">
        <v>350</v>
      </c>
      <c r="G57" s="6" t="n">
        <v>55</v>
      </c>
      <c r="H57" s="6" t="s">
        <v>351</v>
      </c>
      <c r="I57" s="8" t="s">
        <v>56</v>
      </c>
      <c r="J57" s="6" t="s">
        <v>352</v>
      </c>
      <c r="K57" s="8" t="s">
        <v>68</v>
      </c>
      <c r="L57" s="6" t="s">
        <v>353</v>
      </c>
      <c r="M57" s="6" t="s">
        <v>70</v>
      </c>
      <c r="N57" s="6" t="n">
        <v>4</v>
      </c>
      <c r="O57" s="6" t="n">
        <v>3</v>
      </c>
      <c r="P57" s="9" t="n">
        <v>0.99</v>
      </c>
      <c r="Q57" s="8" t="s">
        <v>60</v>
      </c>
      <c r="R57" s="6" t="s">
        <v>227</v>
      </c>
      <c r="S57" s="6" t="s">
        <v>346</v>
      </c>
      <c r="T57" s="6" t="s">
        <v>258</v>
      </c>
    </row>
    <row r="58" customFormat="false" ht="35.05" hidden="false" customHeight="false" outlineLevel="0" collapsed="false">
      <c r="A58" s="6" t="n">
        <v>57</v>
      </c>
      <c r="B58" s="7" t="n">
        <v>46210</v>
      </c>
      <c r="C58" s="6" t="s">
        <v>53</v>
      </c>
      <c r="D58" s="6" t="s">
        <v>354</v>
      </c>
      <c r="E58" s="6" t="s">
        <v>267</v>
      </c>
      <c r="F58" s="6" t="s">
        <v>355</v>
      </c>
      <c r="G58" s="6"/>
      <c r="H58" s="6" t="s">
        <v>356</v>
      </c>
      <c r="I58" s="8" t="s">
        <v>56</v>
      </c>
      <c r="J58" s="6" t="s">
        <v>357</v>
      </c>
      <c r="K58" s="8" t="s">
        <v>68</v>
      </c>
      <c r="L58" s="6" t="s">
        <v>358</v>
      </c>
      <c r="M58" s="6" t="s">
        <v>84</v>
      </c>
      <c r="N58" s="6" t="n">
        <v>2</v>
      </c>
      <c r="O58" s="6" t="n">
        <v>2</v>
      </c>
      <c r="P58" s="9" t="n">
        <v>0.96</v>
      </c>
      <c r="Q58" s="8" t="s">
        <v>60</v>
      </c>
      <c r="R58" s="6" t="s">
        <v>227</v>
      </c>
      <c r="S58" s="6" t="s">
        <v>359</v>
      </c>
      <c r="T58" s="6" t="s">
        <v>360</v>
      </c>
    </row>
    <row r="59" customFormat="false" ht="23.85" hidden="false" customHeight="false" outlineLevel="0" collapsed="false">
      <c r="A59" s="6" t="n">
        <v>58</v>
      </c>
      <c r="B59" s="7" t="n">
        <v>46210</v>
      </c>
      <c r="C59" s="6" t="s">
        <v>51</v>
      </c>
      <c r="D59" s="6" t="s">
        <v>361</v>
      </c>
      <c r="E59" s="6" t="s">
        <v>53</v>
      </c>
      <c r="F59" s="6" t="s">
        <v>362</v>
      </c>
      <c r="G59" s="6" t="n">
        <v>57</v>
      </c>
      <c r="H59" s="6" t="s">
        <v>55</v>
      </c>
      <c r="I59" s="8" t="s">
        <v>56</v>
      </c>
      <c r="J59" s="6" t="s">
        <v>363</v>
      </c>
      <c r="K59" s="8" t="s">
        <v>58</v>
      </c>
      <c r="L59" s="6" t="s">
        <v>364</v>
      </c>
      <c r="M59" s="6" t="s">
        <v>365</v>
      </c>
      <c r="N59" s="6" t="n">
        <v>1</v>
      </c>
      <c r="O59" s="6" t="n">
        <v>1</v>
      </c>
      <c r="P59" s="9" t="n">
        <v>0.8</v>
      </c>
      <c r="Q59" s="8" t="s">
        <v>60</v>
      </c>
      <c r="R59" s="6" t="s">
        <v>227</v>
      </c>
      <c r="S59" s="6" t="s">
        <v>359</v>
      </c>
      <c r="T59" s="6" t="s">
        <v>360</v>
      </c>
    </row>
    <row r="60" customFormat="false" ht="35.05" hidden="false" customHeight="false" outlineLevel="0" collapsed="false">
      <c r="A60" s="6" t="n">
        <v>59</v>
      </c>
      <c r="B60" s="7" t="n">
        <v>46210</v>
      </c>
      <c r="C60" s="6" t="s">
        <v>51</v>
      </c>
      <c r="D60" s="6" t="s">
        <v>366</v>
      </c>
      <c r="E60" s="6" t="s">
        <v>215</v>
      </c>
      <c r="F60" s="6" t="s">
        <v>367</v>
      </c>
      <c r="G60" s="6" t="n">
        <v>57</v>
      </c>
      <c r="H60" s="6" t="s">
        <v>55</v>
      </c>
      <c r="I60" s="8" t="s">
        <v>56</v>
      </c>
      <c r="J60" s="6" t="s">
        <v>368</v>
      </c>
      <c r="K60" s="8" t="s">
        <v>58</v>
      </c>
      <c r="L60" s="6" t="s">
        <v>369</v>
      </c>
      <c r="M60" s="6" t="s">
        <v>59</v>
      </c>
      <c r="N60" s="6" t="n">
        <v>1</v>
      </c>
      <c r="O60" s="6" t="n">
        <v>1</v>
      </c>
      <c r="P60" s="9" t="n">
        <v>0.8</v>
      </c>
      <c r="Q60" s="8" t="s">
        <v>60</v>
      </c>
      <c r="R60" s="6" t="s">
        <v>227</v>
      </c>
      <c r="S60" s="6" t="s">
        <v>359</v>
      </c>
      <c r="T60" s="6" t="s">
        <v>360</v>
      </c>
    </row>
    <row r="61" customFormat="false" ht="46.25" hidden="false" customHeight="false" outlineLevel="0" collapsed="false">
      <c r="A61" s="6" t="n">
        <v>60</v>
      </c>
      <c r="B61" s="7" t="n">
        <v>46211</v>
      </c>
      <c r="C61" s="6" t="s">
        <v>51</v>
      </c>
      <c r="D61" s="6" t="s">
        <v>370</v>
      </c>
      <c r="E61" s="6" t="s">
        <v>53</v>
      </c>
      <c r="F61" s="6" t="s">
        <v>371</v>
      </c>
      <c r="G61" s="6" t="n">
        <v>59</v>
      </c>
      <c r="H61" s="6" t="s">
        <v>55</v>
      </c>
      <c r="I61" s="8" t="s">
        <v>56</v>
      </c>
      <c r="J61" s="6" t="s">
        <v>372</v>
      </c>
      <c r="K61" s="8" t="s">
        <v>68</v>
      </c>
      <c r="L61" s="6" t="s">
        <v>373</v>
      </c>
      <c r="M61" s="6" t="s">
        <v>70</v>
      </c>
      <c r="N61" s="6" t="n">
        <v>2</v>
      </c>
      <c r="O61" s="6" t="n">
        <v>2</v>
      </c>
      <c r="P61" s="9" t="n">
        <v>0.96</v>
      </c>
      <c r="Q61" s="8" t="s">
        <v>60</v>
      </c>
      <c r="R61" s="6" t="s">
        <v>71</v>
      </c>
      <c r="S61" s="6" t="s">
        <v>359</v>
      </c>
      <c r="T61" s="6" t="s">
        <v>175</v>
      </c>
    </row>
    <row r="62" customFormat="false" ht="35.05" hidden="false" customHeight="false" outlineLevel="0" collapsed="false">
      <c r="A62" s="6" t="n">
        <v>61</v>
      </c>
      <c r="B62" s="7" t="n">
        <v>46212</v>
      </c>
      <c r="C62" s="6" t="s">
        <v>53</v>
      </c>
      <c r="D62" s="6" t="s">
        <v>85</v>
      </c>
      <c r="E62" s="6" t="s">
        <v>316</v>
      </c>
      <c r="F62" s="6" t="s">
        <v>374</v>
      </c>
      <c r="G62" s="6" t="n">
        <v>60</v>
      </c>
      <c r="H62" s="6" t="s">
        <v>375</v>
      </c>
      <c r="I62" s="8" t="s">
        <v>56</v>
      </c>
      <c r="J62" s="6" t="s">
        <v>376</v>
      </c>
      <c r="K62" s="8" t="s">
        <v>58</v>
      </c>
      <c r="L62" s="6" t="s">
        <v>377</v>
      </c>
      <c r="M62" s="6" t="s">
        <v>70</v>
      </c>
      <c r="N62" s="6" t="n">
        <v>2</v>
      </c>
      <c r="O62" s="6" t="n">
        <v>2</v>
      </c>
      <c r="P62" s="9" t="n">
        <v>0.96</v>
      </c>
      <c r="Q62" s="8" t="s">
        <v>60</v>
      </c>
      <c r="R62" s="6" t="s">
        <v>71</v>
      </c>
      <c r="S62" s="6" t="s">
        <v>359</v>
      </c>
      <c r="T62" s="6" t="s">
        <v>180</v>
      </c>
    </row>
    <row r="63" customFormat="false" ht="23.85" hidden="false" customHeight="false" outlineLevel="0" collapsed="false">
      <c r="A63" s="6" t="n">
        <v>62</v>
      </c>
      <c r="B63" s="7" t="n">
        <v>46215</v>
      </c>
      <c r="C63" s="6" t="s">
        <v>53</v>
      </c>
      <c r="D63" s="6" t="s">
        <v>378</v>
      </c>
      <c r="E63" s="6" t="s">
        <v>379</v>
      </c>
      <c r="F63" s="6" t="s">
        <v>380</v>
      </c>
      <c r="G63" s="6" t="n">
        <v>60</v>
      </c>
      <c r="H63" s="6" t="s">
        <v>381</v>
      </c>
      <c r="I63" s="8" t="s">
        <v>56</v>
      </c>
      <c r="J63" s="6" t="s">
        <v>382</v>
      </c>
      <c r="K63" s="8" t="s">
        <v>58</v>
      </c>
      <c r="L63" s="6"/>
      <c r="M63" s="6" t="s">
        <v>70</v>
      </c>
      <c r="N63" s="6" t="n">
        <v>1</v>
      </c>
      <c r="O63" s="6" t="n">
        <v>1</v>
      </c>
      <c r="P63" s="9" t="n">
        <v>0.8</v>
      </c>
      <c r="Q63" s="8" t="s">
        <v>60</v>
      </c>
      <c r="R63" s="6" t="s">
        <v>71</v>
      </c>
      <c r="S63" s="6" t="s">
        <v>359</v>
      </c>
      <c r="T63" s="6" t="s">
        <v>360</v>
      </c>
    </row>
    <row r="64" customFormat="false" ht="15" hidden="false" customHeight="false" outlineLevel="0" collapsed="false">
      <c r="A64" s="6" t="n">
        <v>63</v>
      </c>
      <c r="B64" s="7" t="n">
        <v>46215</v>
      </c>
      <c r="C64" s="6" t="s">
        <v>53</v>
      </c>
      <c r="D64" s="6" t="s">
        <v>234</v>
      </c>
      <c r="E64" s="6" t="s">
        <v>79</v>
      </c>
      <c r="F64" s="6" t="s">
        <v>383</v>
      </c>
      <c r="G64" s="6" t="n">
        <v>62</v>
      </c>
      <c r="H64" s="6" t="s">
        <v>55</v>
      </c>
      <c r="I64" s="8" t="s">
        <v>56</v>
      </c>
      <c r="J64" s="6" t="s">
        <v>382</v>
      </c>
      <c r="K64" s="8" t="s">
        <v>58</v>
      </c>
      <c r="L64" s="6"/>
      <c r="M64" s="6" t="s">
        <v>84</v>
      </c>
      <c r="N64" s="6" t="n">
        <v>1</v>
      </c>
      <c r="O64" s="6" t="n">
        <v>1</v>
      </c>
      <c r="P64" s="9" t="n">
        <v>0.8</v>
      </c>
      <c r="Q64" s="8" t="s">
        <v>60</v>
      </c>
      <c r="R64" s="6" t="s">
        <v>71</v>
      </c>
      <c r="S64" s="6" t="s">
        <v>359</v>
      </c>
      <c r="T64" s="6" t="s">
        <v>360</v>
      </c>
    </row>
    <row r="65" customFormat="false" ht="23.85" hidden="false" customHeight="false" outlineLevel="0" collapsed="false">
      <c r="A65" s="6" t="n">
        <v>64</v>
      </c>
      <c r="B65" s="7" t="n">
        <v>46217</v>
      </c>
      <c r="C65" s="6" t="s">
        <v>53</v>
      </c>
      <c r="D65" s="6" t="s">
        <v>85</v>
      </c>
      <c r="E65" s="6" t="s">
        <v>384</v>
      </c>
      <c r="F65" s="6" t="s">
        <v>385</v>
      </c>
      <c r="G65" s="6"/>
      <c r="H65" s="6" t="s">
        <v>386</v>
      </c>
      <c r="I65" s="11" t="s">
        <v>184</v>
      </c>
      <c r="J65" s="6" t="s">
        <v>387</v>
      </c>
      <c r="K65" s="10" t="s">
        <v>91</v>
      </c>
      <c r="L65" s="6" t="s">
        <v>388</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316</v>
      </c>
      <c r="F66" s="6" t="s">
        <v>389</v>
      </c>
      <c r="G66" s="6"/>
      <c r="H66" s="6" t="s">
        <v>390</v>
      </c>
      <c r="I66" s="8" t="s">
        <v>56</v>
      </c>
      <c r="J66" s="6" t="s">
        <v>391</v>
      </c>
      <c r="K66" s="8" t="s">
        <v>68</v>
      </c>
      <c r="L66" s="6" t="s">
        <v>392</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316</v>
      </c>
      <c r="F67" s="6" t="s">
        <v>393</v>
      </c>
      <c r="G67" s="6"/>
      <c r="H67" s="6" t="s">
        <v>394</v>
      </c>
      <c r="I67" s="10" t="s">
        <v>89</v>
      </c>
      <c r="J67" s="6" t="s">
        <v>395</v>
      </c>
      <c r="K67" s="10" t="s">
        <v>91</v>
      </c>
      <c r="L67" s="6" t="s">
        <v>396</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316</v>
      </c>
      <c r="F68" s="6" t="s">
        <v>397</v>
      </c>
      <c r="G68" s="6"/>
      <c r="H68" s="6" t="s">
        <v>398</v>
      </c>
      <c r="I68" s="11" t="s">
        <v>184</v>
      </c>
      <c r="J68" s="6" t="s">
        <v>399</v>
      </c>
      <c r="K68" s="11" t="s">
        <v>186</v>
      </c>
      <c r="L68" s="6" t="s">
        <v>400</v>
      </c>
      <c r="M68" s="6" t="s">
        <v>70</v>
      </c>
      <c r="N68" s="6" t="n">
        <v>0</v>
      </c>
      <c r="O68" s="6" t="n">
        <v>0</v>
      </c>
      <c r="P68" s="9" t="n">
        <v>0</v>
      </c>
      <c r="Q68" s="11" t="s">
        <v>188</v>
      </c>
      <c r="R68" s="6" t="s">
        <v>71</v>
      </c>
      <c r="S68" s="6"/>
      <c r="T68" s="6" t="s">
        <v>326</v>
      </c>
    </row>
    <row r="69" customFormat="false" ht="35.05" hidden="false" customHeight="false" outlineLevel="0" collapsed="false">
      <c r="A69" s="6" t="n">
        <v>68</v>
      </c>
      <c r="B69" s="7" t="n">
        <v>46253</v>
      </c>
      <c r="C69" s="6" t="s">
        <v>401</v>
      </c>
      <c r="D69" s="6" t="s">
        <v>402</v>
      </c>
      <c r="E69" s="6" t="s">
        <v>215</v>
      </c>
      <c r="F69" s="6" t="s">
        <v>403</v>
      </c>
      <c r="G69" s="6"/>
      <c r="H69" s="6" t="s">
        <v>404</v>
      </c>
      <c r="I69" s="8" t="s">
        <v>56</v>
      </c>
      <c r="J69" s="6" t="s">
        <v>405</v>
      </c>
      <c r="K69" s="8" t="s">
        <v>58</v>
      </c>
      <c r="L69" s="6" t="s">
        <v>406</v>
      </c>
      <c r="M69" s="6" t="s">
        <v>407</v>
      </c>
      <c r="N69" s="6" t="n">
        <v>1</v>
      </c>
      <c r="O69" s="6" t="n">
        <v>1</v>
      </c>
      <c r="P69" s="9" t="n">
        <v>0.8</v>
      </c>
      <c r="Q69" s="8" t="s">
        <v>60</v>
      </c>
      <c r="R69" s="6" t="s">
        <v>408</v>
      </c>
      <c r="S69" s="6"/>
      <c r="T69" s="6" t="s">
        <v>62</v>
      </c>
    </row>
    <row r="70" customFormat="false" ht="35.05" hidden="false" customHeight="false" outlineLevel="0" collapsed="false">
      <c r="A70" s="6" t="n">
        <v>69</v>
      </c>
      <c r="B70" s="7" t="n">
        <v>46259</v>
      </c>
      <c r="C70" s="6" t="s">
        <v>51</v>
      </c>
      <c r="D70" s="6" t="s">
        <v>409</v>
      </c>
      <c r="E70" s="6" t="s">
        <v>79</v>
      </c>
      <c r="F70" s="6" t="s">
        <v>410</v>
      </c>
      <c r="G70" s="6"/>
      <c r="H70" s="6" t="s">
        <v>55</v>
      </c>
      <c r="I70" s="8" t="s">
        <v>56</v>
      </c>
      <c r="J70" s="6" t="s">
        <v>411</v>
      </c>
      <c r="K70" s="8" t="s">
        <v>68</v>
      </c>
      <c r="L70" s="6" t="s">
        <v>412</v>
      </c>
      <c r="M70" s="6" t="s">
        <v>84</v>
      </c>
      <c r="N70" s="6" t="n">
        <v>1</v>
      </c>
      <c r="O70" s="6" t="n">
        <v>1</v>
      </c>
      <c r="P70" s="9" t="n">
        <v>0.8</v>
      </c>
      <c r="Q70" s="8" t="s">
        <v>60</v>
      </c>
      <c r="R70" s="6" t="s">
        <v>408</v>
      </c>
      <c r="S70" s="6"/>
      <c r="T70" s="6" t="s">
        <v>62</v>
      </c>
    </row>
    <row r="71" customFormat="false" ht="35.05" hidden="false" customHeight="false" outlineLevel="0" collapsed="false">
      <c r="A71" s="6" t="n">
        <v>70</v>
      </c>
      <c r="B71" s="7" t="n">
        <v>46264</v>
      </c>
      <c r="C71" s="6" t="s">
        <v>51</v>
      </c>
      <c r="D71" s="6" t="s">
        <v>73</v>
      </c>
      <c r="E71" s="6" t="s">
        <v>53</v>
      </c>
      <c r="F71" s="6" t="s">
        <v>413</v>
      </c>
      <c r="G71" s="6"/>
      <c r="H71" s="6" t="s">
        <v>414</v>
      </c>
      <c r="I71" s="8" t="s">
        <v>56</v>
      </c>
      <c r="J71" s="6" t="s">
        <v>415</v>
      </c>
      <c r="K71" s="8" t="s">
        <v>68</v>
      </c>
      <c r="L71" s="6" t="s">
        <v>416</v>
      </c>
      <c r="M71" s="6" t="s">
        <v>70</v>
      </c>
      <c r="N71" s="6" t="n">
        <v>1</v>
      </c>
      <c r="O71" s="6" t="n">
        <v>1</v>
      </c>
      <c r="P71" s="9" t="n">
        <v>0.8</v>
      </c>
      <c r="Q71" s="8" t="s">
        <v>60</v>
      </c>
      <c r="R71" s="6" t="s">
        <v>408</v>
      </c>
      <c r="S71" s="6" t="s">
        <v>417</v>
      </c>
      <c r="T71" s="6" t="s">
        <v>147</v>
      </c>
    </row>
    <row r="72" customFormat="false" ht="23.85" hidden="false" customHeight="false" outlineLevel="0" collapsed="false">
      <c r="A72" s="6" t="n">
        <v>71</v>
      </c>
      <c r="B72" s="7" t="n">
        <v>46265</v>
      </c>
      <c r="C72" s="6" t="s">
        <v>53</v>
      </c>
      <c r="D72" s="6" t="s">
        <v>85</v>
      </c>
      <c r="E72" s="6" t="s">
        <v>316</v>
      </c>
      <c r="F72" s="6" t="s">
        <v>418</v>
      </c>
      <c r="G72" s="6" t="n">
        <v>70</v>
      </c>
      <c r="H72" s="6" t="s">
        <v>419</v>
      </c>
      <c r="I72" s="8" t="s">
        <v>56</v>
      </c>
      <c r="J72" s="6" t="s">
        <v>420</v>
      </c>
      <c r="K72" s="8" t="s">
        <v>58</v>
      </c>
      <c r="L72" s="6"/>
      <c r="M72" s="6" t="s">
        <v>70</v>
      </c>
      <c r="N72" s="6" t="n">
        <v>2</v>
      </c>
      <c r="O72" s="6" t="n">
        <v>2</v>
      </c>
      <c r="P72" s="9" t="n">
        <v>0.96</v>
      </c>
      <c r="Q72" s="8" t="s">
        <v>60</v>
      </c>
      <c r="R72" s="6" t="s">
        <v>408</v>
      </c>
      <c r="S72" s="6" t="s">
        <v>417</v>
      </c>
      <c r="T72" s="6" t="s">
        <v>360</v>
      </c>
    </row>
    <row r="73" customFormat="false" ht="46.25" hidden="false" customHeight="false" outlineLevel="0" collapsed="false">
      <c r="A73" s="6" t="n">
        <v>72</v>
      </c>
      <c r="B73" s="7" t="n">
        <v>46265</v>
      </c>
      <c r="C73" s="6" t="s">
        <v>421</v>
      </c>
      <c r="D73" s="6" t="s">
        <v>422</v>
      </c>
      <c r="E73" s="6" t="s">
        <v>79</v>
      </c>
      <c r="F73" s="6" t="s">
        <v>423</v>
      </c>
      <c r="G73" s="6"/>
      <c r="H73" s="6" t="s">
        <v>424</v>
      </c>
      <c r="I73" s="8" t="s">
        <v>56</v>
      </c>
      <c r="J73" s="6" t="s">
        <v>425</v>
      </c>
      <c r="K73" s="8" t="s">
        <v>68</v>
      </c>
      <c r="L73" s="6" t="s">
        <v>426</v>
      </c>
      <c r="M73" s="6" t="s">
        <v>84</v>
      </c>
      <c r="N73" s="6" t="n">
        <v>3</v>
      </c>
      <c r="O73" s="6" t="n">
        <v>3</v>
      </c>
      <c r="P73" s="9" t="n">
        <v>0.99</v>
      </c>
      <c r="Q73" s="8" t="s">
        <v>60</v>
      </c>
      <c r="R73" s="6" t="s">
        <v>408</v>
      </c>
      <c r="S73" s="6"/>
      <c r="T73" s="6" t="s">
        <v>360</v>
      </c>
    </row>
    <row r="74" customFormat="false" ht="23.85" hidden="false" customHeight="false" outlineLevel="0" collapsed="false">
      <c r="A74" s="6" t="n">
        <v>73</v>
      </c>
      <c r="B74" s="7" t="n">
        <v>46266</v>
      </c>
      <c r="C74" s="6" t="s">
        <v>51</v>
      </c>
      <c r="D74" s="6" t="s">
        <v>73</v>
      </c>
      <c r="E74" s="6" t="s">
        <v>53</v>
      </c>
      <c r="F74" s="6" t="s">
        <v>427</v>
      </c>
      <c r="G74" s="6" t="n">
        <v>71</v>
      </c>
      <c r="H74" s="6" t="s">
        <v>428</v>
      </c>
      <c r="I74" s="8" t="s">
        <v>56</v>
      </c>
      <c r="J74" s="6" t="s">
        <v>429</v>
      </c>
      <c r="K74" s="8" t="s">
        <v>58</v>
      </c>
      <c r="L74" s="6"/>
      <c r="M74" s="6" t="s">
        <v>70</v>
      </c>
      <c r="N74" s="6" t="n">
        <v>3</v>
      </c>
      <c r="O74" s="6" t="n">
        <v>3</v>
      </c>
      <c r="P74" s="9" t="n">
        <v>0.99</v>
      </c>
      <c r="Q74" s="8" t="s">
        <v>60</v>
      </c>
      <c r="R74" s="6" t="s">
        <v>408</v>
      </c>
      <c r="S74" s="6" t="s">
        <v>417</v>
      </c>
      <c r="T74" s="6" t="s">
        <v>192</v>
      </c>
    </row>
    <row r="75" customFormat="false" ht="23.85" hidden="false" customHeight="false" outlineLevel="0" collapsed="false">
      <c r="A75" s="6" t="n">
        <v>74</v>
      </c>
      <c r="B75" s="7" t="n">
        <v>46266</v>
      </c>
      <c r="C75" s="6" t="s">
        <v>51</v>
      </c>
      <c r="D75" s="6" t="s">
        <v>430</v>
      </c>
      <c r="E75" s="6" t="s">
        <v>53</v>
      </c>
      <c r="F75" s="6" t="s">
        <v>431</v>
      </c>
      <c r="G75" s="6" t="n">
        <v>73</v>
      </c>
      <c r="H75" s="6" t="s">
        <v>432</v>
      </c>
      <c r="I75" s="8" t="s">
        <v>56</v>
      </c>
      <c r="J75" s="6" t="s">
        <v>433</v>
      </c>
      <c r="K75" s="8" t="s">
        <v>58</v>
      </c>
      <c r="L75" s="6"/>
      <c r="M75" s="6" t="s">
        <v>70</v>
      </c>
      <c r="N75" s="6" t="n">
        <v>3</v>
      </c>
      <c r="O75" s="6" t="n">
        <v>3</v>
      </c>
      <c r="P75" s="9" t="n">
        <v>0.99</v>
      </c>
      <c r="Q75" s="8" t="s">
        <v>60</v>
      </c>
      <c r="R75" s="6" t="s">
        <v>408</v>
      </c>
      <c r="S75" s="6" t="s">
        <v>417</v>
      </c>
      <c r="T75" s="6" t="s">
        <v>192</v>
      </c>
    </row>
    <row r="76" customFormat="false" ht="46.25" hidden="false" customHeight="false" outlineLevel="0" collapsed="false">
      <c r="A76" s="6" t="n">
        <v>75</v>
      </c>
      <c r="B76" s="7" t="n">
        <v>46266</v>
      </c>
      <c r="C76" s="6" t="s">
        <v>53</v>
      </c>
      <c r="D76" s="6" t="s">
        <v>85</v>
      </c>
      <c r="E76" s="6" t="s">
        <v>316</v>
      </c>
      <c r="F76" s="6" t="s">
        <v>434</v>
      </c>
      <c r="G76" s="6" t="n">
        <v>74</v>
      </c>
      <c r="H76" s="6" t="s">
        <v>435</v>
      </c>
      <c r="I76" s="8" t="s">
        <v>56</v>
      </c>
      <c r="J76" s="6" t="s">
        <v>436</v>
      </c>
      <c r="K76" s="8" t="s">
        <v>68</v>
      </c>
      <c r="L76" s="6" t="s">
        <v>437</v>
      </c>
      <c r="M76" s="6" t="s">
        <v>70</v>
      </c>
      <c r="N76" s="6" t="n">
        <v>6</v>
      </c>
      <c r="O76" s="6" t="n">
        <v>2</v>
      </c>
      <c r="P76" s="9" t="n">
        <v>0.96</v>
      </c>
      <c r="Q76" s="8" t="s">
        <v>60</v>
      </c>
      <c r="R76" s="6" t="s">
        <v>408</v>
      </c>
      <c r="S76" s="6" t="s">
        <v>417</v>
      </c>
      <c r="T76" s="6" t="s">
        <v>192</v>
      </c>
    </row>
    <row r="77" customFormat="false" ht="57.45" hidden="false" customHeight="false" outlineLevel="0" collapsed="false">
      <c r="A77" s="6" t="n">
        <v>76</v>
      </c>
      <c r="B77" s="7" t="n">
        <v>46267</v>
      </c>
      <c r="C77" s="6" t="s">
        <v>53</v>
      </c>
      <c r="D77" s="6" t="s">
        <v>438</v>
      </c>
      <c r="E77" s="6" t="s">
        <v>316</v>
      </c>
      <c r="F77" s="6" t="s">
        <v>439</v>
      </c>
      <c r="G77" s="6" t="n">
        <v>75</v>
      </c>
      <c r="H77" s="6" t="s">
        <v>55</v>
      </c>
      <c r="I77" s="6" t="s">
        <v>223</v>
      </c>
      <c r="J77" s="6" t="s">
        <v>436</v>
      </c>
      <c r="K77" s="11" t="s">
        <v>186</v>
      </c>
      <c r="L77" s="6" t="s">
        <v>440</v>
      </c>
      <c r="M77" s="6" t="s">
        <v>70</v>
      </c>
      <c r="N77" s="6" t="n">
        <v>0</v>
      </c>
      <c r="O77" s="6" t="n">
        <v>0</v>
      </c>
      <c r="P77" s="9"/>
      <c r="Q77" s="11" t="s">
        <v>226</v>
      </c>
      <c r="R77" s="6" t="s">
        <v>408</v>
      </c>
      <c r="S77" s="6"/>
      <c r="T77" s="6" t="s">
        <v>441</v>
      </c>
    </row>
    <row r="78" customFormat="false" ht="23.85" hidden="false" customHeight="false" outlineLevel="0" collapsed="false">
      <c r="A78" s="6" t="n">
        <v>77</v>
      </c>
      <c r="B78" s="7" t="n">
        <v>46270</v>
      </c>
      <c r="C78" s="6" t="s">
        <v>51</v>
      </c>
      <c r="D78" s="6" t="s">
        <v>73</v>
      </c>
      <c r="E78" s="6" t="s">
        <v>260</v>
      </c>
      <c r="F78" s="6" t="s">
        <v>442</v>
      </c>
      <c r="G78" s="6"/>
      <c r="H78" s="6" t="s">
        <v>443</v>
      </c>
      <c r="I78" s="8" t="s">
        <v>56</v>
      </c>
      <c r="J78" s="6" t="s">
        <v>444</v>
      </c>
      <c r="K78" s="8" t="s">
        <v>58</v>
      </c>
      <c r="L78" s="6"/>
      <c r="M78" s="6" t="s">
        <v>70</v>
      </c>
      <c r="N78" s="6" t="n">
        <v>1</v>
      </c>
      <c r="O78" s="6" t="n">
        <v>1</v>
      </c>
      <c r="P78" s="9" t="n">
        <v>0.8</v>
      </c>
      <c r="Q78" s="8" t="s">
        <v>60</v>
      </c>
      <c r="R78" s="6" t="s">
        <v>408</v>
      </c>
      <c r="S78" s="6"/>
      <c r="T78" s="6" t="s">
        <v>441</v>
      </c>
    </row>
    <row r="79" customFormat="false" ht="35.05" hidden="false" customHeight="false" outlineLevel="0" collapsed="false">
      <c r="A79" s="6" t="n">
        <v>78</v>
      </c>
      <c r="B79" s="7" t="n">
        <v>46273</v>
      </c>
      <c r="C79" s="6" t="s">
        <v>53</v>
      </c>
      <c r="D79" s="6" t="s">
        <v>73</v>
      </c>
      <c r="E79" s="6" t="s">
        <v>283</v>
      </c>
      <c r="F79" s="6" t="s">
        <v>445</v>
      </c>
      <c r="G79" s="6"/>
      <c r="H79" s="6" t="s">
        <v>446</v>
      </c>
      <c r="I79" s="8" t="s">
        <v>56</v>
      </c>
      <c r="J79" s="6" t="s">
        <v>447</v>
      </c>
      <c r="K79" s="8" t="s">
        <v>58</v>
      </c>
      <c r="L79" s="6" t="s">
        <v>448</v>
      </c>
      <c r="M79" s="6" t="s">
        <v>70</v>
      </c>
      <c r="N79" s="6" t="n">
        <v>3</v>
      </c>
      <c r="O79" s="6" t="n">
        <v>3</v>
      </c>
      <c r="P79" s="9" t="n">
        <v>0.99</v>
      </c>
      <c r="Q79" s="8" t="s">
        <v>60</v>
      </c>
      <c r="R79" s="6" t="s">
        <v>408</v>
      </c>
      <c r="S79" s="6" t="s">
        <v>449</v>
      </c>
      <c r="T79" s="6" t="s">
        <v>450</v>
      </c>
    </row>
    <row r="80" customFormat="false" ht="35.05" hidden="false" customHeight="false" outlineLevel="0" collapsed="false">
      <c r="A80" s="6" t="n">
        <v>79</v>
      </c>
      <c r="B80" s="7" t="n">
        <v>46273</v>
      </c>
      <c r="C80" s="6" t="s">
        <v>51</v>
      </c>
      <c r="D80" s="6" t="s">
        <v>85</v>
      </c>
      <c r="E80" s="6" t="s">
        <v>260</v>
      </c>
      <c r="F80" s="6" t="s">
        <v>451</v>
      </c>
      <c r="G80" s="6" t="n">
        <v>78</v>
      </c>
      <c r="H80" s="6" t="s">
        <v>452</v>
      </c>
      <c r="I80" s="8" t="s">
        <v>56</v>
      </c>
      <c r="J80" s="6" t="s">
        <v>453</v>
      </c>
      <c r="K80" s="8" t="s">
        <v>68</v>
      </c>
      <c r="L80" s="6" t="s">
        <v>454</v>
      </c>
      <c r="M80" s="6" t="s">
        <v>70</v>
      </c>
      <c r="N80" s="6" t="n">
        <v>4</v>
      </c>
      <c r="O80" s="6" t="n">
        <v>4</v>
      </c>
      <c r="P80" s="9" t="n">
        <v>0.99</v>
      </c>
      <c r="Q80" s="8" t="s">
        <v>60</v>
      </c>
      <c r="R80" s="6" t="s">
        <v>408</v>
      </c>
      <c r="S80" s="6" t="s">
        <v>449</v>
      </c>
      <c r="T80" s="6" t="s">
        <v>450</v>
      </c>
    </row>
    <row r="81" customFormat="false" ht="68.65" hidden="false" customHeight="false" outlineLevel="0" collapsed="false">
      <c r="A81" s="6" t="n">
        <v>80</v>
      </c>
      <c r="B81" s="7" t="n">
        <v>46274</v>
      </c>
      <c r="C81" s="6" t="s">
        <v>53</v>
      </c>
      <c r="D81" s="6" t="s">
        <v>85</v>
      </c>
      <c r="E81" s="6" t="s">
        <v>316</v>
      </c>
      <c r="F81" s="6" t="s">
        <v>455</v>
      </c>
      <c r="G81" s="6" t="n">
        <v>79</v>
      </c>
      <c r="H81" s="6" t="s">
        <v>456</v>
      </c>
      <c r="I81" s="8" t="s">
        <v>56</v>
      </c>
      <c r="J81" s="6" t="s">
        <v>457</v>
      </c>
      <c r="K81" s="8" t="s">
        <v>68</v>
      </c>
      <c r="L81" s="6" t="s">
        <v>458</v>
      </c>
      <c r="M81" s="6" t="s">
        <v>70</v>
      </c>
      <c r="N81" s="6" t="n">
        <v>5</v>
      </c>
      <c r="O81" s="6" t="n">
        <v>4</v>
      </c>
      <c r="P81" s="9" t="n">
        <v>0.99</v>
      </c>
      <c r="Q81" s="8" t="s">
        <v>60</v>
      </c>
      <c r="R81" s="6" t="s">
        <v>408</v>
      </c>
      <c r="S81" s="6" t="s">
        <v>449</v>
      </c>
      <c r="T81" s="6" t="s">
        <v>121</v>
      </c>
    </row>
    <row r="82" customFormat="false" ht="23.85" hidden="false" customHeight="false" outlineLevel="0" collapsed="false">
      <c r="A82" s="6" t="n">
        <v>81</v>
      </c>
      <c r="B82" s="7" t="n">
        <v>46288</v>
      </c>
      <c r="C82" s="6" t="s">
        <v>53</v>
      </c>
      <c r="D82" s="6" t="s">
        <v>163</v>
      </c>
      <c r="E82" s="6" t="s">
        <v>51</v>
      </c>
      <c r="F82" s="6" t="s">
        <v>459</v>
      </c>
      <c r="G82" s="6"/>
      <c r="H82" s="6" t="s">
        <v>460</v>
      </c>
      <c r="I82" s="8" t="s">
        <v>56</v>
      </c>
      <c r="J82" s="6" t="s">
        <v>461</v>
      </c>
      <c r="K82" s="8" t="s">
        <v>58</v>
      </c>
      <c r="L82" s="6"/>
      <c r="M82" s="6" t="s">
        <v>59</v>
      </c>
      <c r="N82" s="6" t="n">
        <v>1</v>
      </c>
      <c r="O82" s="6" t="n">
        <v>1</v>
      </c>
      <c r="P82" s="9" t="n">
        <v>0.8</v>
      </c>
      <c r="Q82" s="8" t="s">
        <v>60</v>
      </c>
      <c r="R82" s="6" t="s">
        <v>462</v>
      </c>
      <c r="S82" s="6" t="s">
        <v>463</v>
      </c>
      <c r="T82" s="6" t="s">
        <v>297</v>
      </c>
    </row>
    <row r="83" customFormat="false" ht="23.85" hidden="false" customHeight="false" outlineLevel="0" collapsed="false">
      <c r="A83" s="6" t="n">
        <v>82</v>
      </c>
      <c r="B83" s="7" t="n">
        <v>46291</v>
      </c>
      <c r="C83" s="6" t="s">
        <v>51</v>
      </c>
      <c r="D83" s="6" t="s">
        <v>464</v>
      </c>
      <c r="E83" s="6" t="s">
        <v>53</v>
      </c>
      <c r="F83" s="6" t="s">
        <v>465</v>
      </c>
      <c r="G83" s="6" t="n">
        <v>81</v>
      </c>
      <c r="H83" s="6" t="s">
        <v>55</v>
      </c>
      <c r="I83" s="8" t="s">
        <v>56</v>
      </c>
      <c r="J83" s="6" t="s">
        <v>466</v>
      </c>
      <c r="K83" s="8" t="s">
        <v>58</v>
      </c>
      <c r="L83" s="6"/>
      <c r="M83" s="6" t="s">
        <v>59</v>
      </c>
      <c r="N83" s="6" t="n">
        <v>2</v>
      </c>
      <c r="O83" s="6" t="n">
        <v>2</v>
      </c>
      <c r="P83" s="9" t="n">
        <v>0.96</v>
      </c>
      <c r="Q83" s="8" t="s">
        <v>60</v>
      </c>
      <c r="R83" s="6" t="s">
        <v>462</v>
      </c>
      <c r="S83" s="6" t="s">
        <v>463</v>
      </c>
      <c r="T83" s="6" t="s">
        <v>62</v>
      </c>
    </row>
    <row r="84" customFormat="false" ht="68.65" hidden="false" customHeight="false" outlineLevel="0" collapsed="false">
      <c r="A84" s="6" t="n">
        <v>83</v>
      </c>
      <c r="B84" s="7" t="n">
        <v>46292</v>
      </c>
      <c r="C84" s="6" t="s">
        <v>467</v>
      </c>
      <c r="D84" s="6" t="s">
        <v>468</v>
      </c>
      <c r="E84" s="6" t="s">
        <v>469</v>
      </c>
      <c r="F84" s="6" t="s">
        <v>470</v>
      </c>
      <c r="G84" s="6"/>
      <c r="H84" s="6" t="s">
        <v>471</v>
      </c>
      <c r="I84" s="8" t="s">
        <v>56</v>
      </c>
      <c r="J84" s="6" t="s">
        <v>472</v>
      </c>
      <c r="K84" s="8" t="s">
        <v>58</v>
      </c>
      <c r="L84" s="6" t="s">
        <v>473</v>
      </c>
      <c r="M84" s="6" t="s">
        <v>407</v>
      </c>
      <c r="N84" s="6" t="n">
        <v>1</v>
      </c>
      <c r="O84" s="6" t="n">
        <v>1</v>
      </c>
      <c r="P84" s="9" t="n">
        <v>0.8</v>
      </c>
      <c r="Q84" s="8" t="s">
        <v>60</v>
      </c>
      <c r="R84" s="6" t="s">
        <v>462</v>
      </c>
      <c r="S84" s="6" t="s">
        <v>474</v>
      </c>
      <c r="T84" s="6" t="s">
        <v>62</v>
      </c>
    </row>
    <row r="85" customFormat="false" ht="35.05" hidden="false" customHeight="false" outlineLevel="0" collapsed="false">
      <c r="A85" s="6" t="n">
        <v>84</v>
      </c>
      <c r="B85" s="7" t="n">
        <v>46293</v>
      </c>
      <c r="C85" s="6" t="s">
        <v>475</v>
      </c>
      <c r="D85" s="6" t="s">
        <v>476</v>
      </c>
      <c r="E85" s="6" t="s">
        <v>79</v>
      </c>
      <c r="F85" s="6" t="s">
        <v>477</v>
      </c>
      <c r="G85" s="6"/>
      <c r="H85" s="6" t="s">
        <v>124</v>
      </c>
      <c r="I85" s="11" t="s">
        <v>184</v>
      </c>
      <c r="J85" s="6" t="s">
        <v>478</v>
      </c>
      <c r="K85" s="12" t="s">
        <v>479</v>
      </c>
      <c r="L85" s="6" t="s">
        <v>480</v>
      </c>
      <c r="M85" s="6" t="s">
        <v>84</v>
      </c>
      <c r="N85" s="6" t="n">
        <v>1</v>
      </c>
      <c r="O85" s="6" t="n">
        <v>1</v>
      </c>
      <c r="P85" s="9" t="n">
        <v>0</v>
      </c>
      <c r="Q85" s="11" t="s">
        <v>188</v>
      </c>
      <c r="R85" s="6" t="s">
        <v>462</v>
      </c>
      <c r="S85" s="6"/>
      <c r="T85" s="6" t="s">
        <v>62</v>
      </c>
    </row>
    <row r="86" customFormat="false" ht="23.85" hidden="false" customHeight="false" outlineLevel="0" collapsed="false">
      <c r="A86" s="6" t="n">
        <v>85</v>
      </c>
      <c r="B86" s="7" t="n">
        <v>46294</v>
      </c>
      <c r="C86" s="6" t="s">
        <v>51</v>
      </c>
      <c r="D86" s="6" t="s">
        <v>361</v>
      </c>
      <c r="E86" s="6" t="s">
        <v>53</v>
      </c>
      <c r="F86" s="6" t="s">
        <v>481</v>
      </c>
      <c r="G86" s="6"/>
      <c r="H86" s="6" t="s">
        <v>55</v>
      </c>
      <c r="I86" s="8" t="s">
        <v>56</v>
      </c>
      <c r="J86" s="6" t="s">
        <v>482</v>
      </c>
      <c r="K86" s="8" t="s">
        <v>68</v>
      </c>
      <c r="L86" s="6" t="s">
        <v>483</v>
      </c>
      <c r="M86" s="6" t="s">
        <v>365</v>
      </c>
      <c r="N86" s="6" t="n">
        <v>2</v>
      </c>
      <c r="O86" s="6" t="n">
        <v>2</v>
      </c>
      <c r="P86" s="9" t="n">
        <v>0.96</v>
      </c>
      <c r="Q86" s="8" t="s">
        <v>60</v>
      </c>
      <c r="R86" s="6" t="s">
        <v>462</v>
      </c>
      <c r="S86" s="6"/>
      <c r="T86" s="6" t="s">
        <v>62</v>
      </c>
    </row>
    <row r="87" customFormat="false" ht="35.05" hidden="false" customHeight="false" outlineLevel="0" collapsed="false">
      <c r="A87" s="6" t="n">
        <v>86</v>
      </c>
      <c r="B87" s="7" t="n">
        <v>46294</v>
      </c>
      <c r="C87" s="6" t="s">
        <v>51</v>
      </c>
      <c r="D87" s="6" t="s">
        <v>484</v>
      </c>
      <c r="E87" s="6" t="s">
        <v>53</v>
      </c>
      <c r="F87" s="6" t="s">
        <v>485</v>
      </c>
      <c r="G87" s="6" t="n">
        <v>82</v>
      </c>
      <c r="H87" s="6" t="s">
        <v>486</v>
      </c>
      <c r="I87" s="11" t="s">
        <v>184</v>
      </c>
      <c r="J87" s="6" t="s">
        <v>487</v>
      </c>
      <c r="K87" s="12" t="s">
        <v>479</v>
      </c>
      <c r="L87" s="6"/>
      <c r="M87" s="6" t="s">
        <v>59</v>
      </c>
      <c r="N87" s="6" t="n">
        <v>2</v>
      </c>
      <c r="O87" s="6" t="n">
        <v>2</v>
      </c>
      <c r="P87" s="9" t="n">
        <v>0</v>
      </c>
      <c r="Q87" s="11" t="s">
        <v>188</v>
      </c>
      <c r="R87" s="6" t="s">
        <v>462</v>
      </c>
      <c r="S87" s="6" t="s">
        <v>463</v>
      </c>
      <c r="T87" s="6" t="s">
        <v>62</v>
      </c>
    </row>
    <row r="88" customFormat="false" ht="46.25" hidden="false" customHeight="false" outlineLevel="0" collapsed="false">
      <c r="A88" s="6" t="n">
        <v>87</v>
      </c>
      <c r="B88" s="7" t="n">
        <v>46296</v>
      </c>
      <c r="C88" s="6" t="s">
        <v>51</v>
      </c>
      <c r="D88" s="6" t="s">
        <v>361</v>
      </c>
      <c r="E88" s="6" t="s">
        <v>53</v>
      </c>
      <c r="F88" s="6" t="s">
        <v>488</v>
      </c>
      <c r="G88" s="6"/>
      <c r="H88" s="6" t="s">
        <v>55</v>
      </c>
      <c r="I88" s="8" t="s">
        <v>56</v>
      </c>
      <c r="J88" s="6" t="s">
        <v>489</v>
      </c>
      <c r="K88" s="8" t="s">
        <v>58</v>
      </c>
      <c r="L88" s="6" t="s">
        <v>490</v>
      </c>
      <c r="M88" s="6" t="s">
        <v>365</v>
      </c>
      <c r="N88" s="6" t="n">
        <v>1</v>
      </c>
      <c r="O88" s="6" t="n">
        <v>1</v>
      </c>
      <c r="P88" s="9" t="n">
        <v>0.8</v>
      </c>
      <c r="Q88" s="8" t="s">
        <v>60</v>
      </c>
      <c r="R88" s="6" t="s">
        <v>462</v>
      </c>
      <c r="S88" s="6"/>
      <c r="T88" s="6" t="s">
        <v>62</v>
      </c>
    </row>
    <row r="89" customFormat="false" ht="35.05" hidden="false" customHeight="false" outlineLevel="0" collapsed="false">
      <c r="A89" s="6" t="n">
        <v>88</v>
      </c>
      <c r="B89" s="7" t="n">
        <v>46296</v>
      </c>
      <c r="C89" s="6" t="s">
        <v>51</v>
      </c>
      <c r="D89" s="6" t="s">
        <v>491</v>
      </c>
      <c r="E89" s="6" t="s">
        <v>53</v>
      </c>
      <c r="F89" s="6" t="s">
        <v>492</v>
      </c>
      <c r="G89" s="6"/>
      <c r="H89" s="6" t="s">
        <v>493</v>
      </c>
      <c r="I89" s="11" t="s">
        <v>184</v>
      </c>
      <c r="J89" s="6" t="s">
        <v>494</v>
      </c>
      <c r="K89" s="12" t="s">
        <v>479</v>
      </c>
      <c r="L89" s="6"/>
      <c r="M89" s="6" t="s">
        <v>59</v>
      </c>
      <c r="N89" s="6" t="n">
        <v>2</v>
      </c>
      <c r="O89" s="6" t="n">
        <v>2</v>
      </c>
      <c r="P89" s="9" t="n">
        <v>0</v>
      </c>
      <c r="Q89" s="11" t="s">
        <v>188</v>
      </c>
      <c r="R89" s="6" t="s">
        <v>462</v>
      </c>
      <c r="S89" s="6"/>
      <c r="T89" s="6" t="s">
        <v>62</v>
      </c>
    </row>
    <row r="90" customFormat="false" ht="35.05" hidden="false" customHeight="false" outlineLevel="0" collapsed="false">
      <c r="A90" s="6" t="n">
        <v>89</v>
      </c>
      <c r="B90" s="7" t="n">
        <v>46296</v>
      </c>
      <c r="C90" s="6" t="s">
        <v>51</v>
      </c>
      <c r="D90" s="6" t="s">
        <v>495</v>
      </c>
      <c r="E90" s="6" t="s">
        <v>496</v>
      </c>
      <c r="F90" s="6" t="s">
        <v>497</v>
      </c>
      <c r="G90" s="6"/>
      <c r="H90" s="6" t="s">
        <v>498</v>
      </c>
      <c r="I90" s="11" t="s">
        <v>184</v>
      </c>
      <c r="J90" s="6" t="s">
        <v>499</v>
      </c>
      <c r="K90" s="12" t="s">
        <v>479</v>
      </c>
      <c r="L90" s="6"/>
      <c r="M90" s="6" t="s">
        <v>500</v>
      </c>
      <c r="N90" s="6" t="n">
        <v>1</v>
      </c>
      <c r="O90" s="6" t="n">
        <v>1</v>
      </c>
      <c r="P90" s="9" t="n">
        <v>0</v>
      </c>
      <c r="Q90" s="11" t="s">
        <v>188</v>
      </c>
      <c r="R90" s="6" t="s">
        <v>462</v>
      </c>
      <c r="S90" s="6"/>
      <c r="T90" s="6" t="s">
        <v>62</v>
      </c>
    </row>
    <row r="91" customFormat="false" ht="46.25" hidden="false" customHeight="false" outlineLevel="0" collapsed="false">
      <c r="A91" s="6" t="n">
        <v>90</v>
      </c>
      <c r="B91" s="7" t="n">
        <v>46297</v>
      </c>
      <c r="C91" s="6" t="s">
        <v>501</v>
      </c>
      <c r="D91" s="6" t="s">
        <v>476</v>
      </c>
      <c r="E91" s="6" t="s">
        <v>79</v>
      </c>
      <c r="F91" s="6" t="s">
        <v>502</v>
      </c>
      <c r="G91" s="6"/>
      <c r="H91" s="6" t="s">
        <v>503</v>
      </c>
      <c r="I91" s="8" t="s">
        <v>56</v>
      </c>
      <c r="J91" s="6" t="s">
        <v>504</v>
      </c>
      <c r="K91" s="8" t="s">
        <v>58</v>
      </c>
      <c r="L91" s="6"/>
      <c r="M91" s="6" t="s">
        <v>84</v>
      </c>
      <c r="N91" s="6" t="n">
        <v>2</v>
      </c>
      <c r="O91" s="6" t="n">
        <v>2</v>
      </c>
      <c r="P91" s="9" t="n">
        <v>0.96</v>
      </c>
      <c r="Q91" s="8" t="s">
        <v>60</v>
      </c>
      <c r="R91" s="6" t="s">
        <v>462</v>
      </c>
      <c r="S91" s="6"/>
      <c r="T91" s="6" t="s">
        <v>62</v>
      </c>
    </row>
    <row r="92" customFormat="false" ht="35.05" hidden="false" customHeight="false" outlineLevel="0" collapsed="false">
      <c r="A92" s="6" t="n">
        <v>91</v>
      </c>
      <c r="B92" s="7" t="n">
        <v>46299</v>
      </c>
      <c r="C92" s="6" t="s">
        <v>51</v>
      </c>
      <c r="D92" s="6" t="s">
        <v>505</v>
      </c>
      <c r="E92" s="6" t="s">
        <v>506</v>
      </c>
      <c r="F92" s="6" t="s">
        <v>507</v>
      </c>
      <c r="G92" s="6" t="n">
        <v>83</v>
      </c>
      <c r="H92" s="6" t="s">
        <v>55</v>
      </c>
      <c r="I92" s="8" t="s">
        <v>56</v>
      </c>
      <c r="J92" s="6" t="s">
        <v>508</v>
      </c>
      <c r="K92" s="8" t="s">
        <v>58</v>
      </c>
      <c r="L92" s="6"/>
      <c r="M92" s="6" t="s">
        <v>500</v>
      </c>
      <c r="N92" s="6" t="n">
        <v>1</v>
      </c>
      <c r="O92" s="6" t="n">
        <v>1</v>
      </c>
      <c r="P92" s="9" t="n">
        <v>0.8</v>
      </c>
      <c r="Q92" s="8" t="s">
        <v>60</v>
      </c>
      <c r="R92" s="6" t="s">
        <v>462</v>
      </c>
      <c r="S92" s="6" t="s">
        <v>474</v>
      </c>
      <c r="T92" s="6" t="s">
        <v>147</v>
      </c>
    </row>
    <row r="93" customFormat="false" ht="35.05" hidden="false" customHeight="false" outlineLevel="0" collapsed="false">
      <c r="A93" s="6" t="n">
        <v>92</v>
      </c>
      <c r="B93" s="7" t="n">
        <v>46299</v>
      </c>
      <c r="C93" s="6" t="s">
        <v>51</v>
      </c>
      <c r="D93" s="6" t="s">
        <v>505</v>
      </c>
      <c r="E93" s="6" t="s">
        <v>496</v>
      </c>
      <c r="F93" s="6" t="s">
        <v>509</v>
      </c>
      <c r="G93" s="6"/>
      <c r="H93" s="6" t="s">
        <v>55</v>
      </c>
      <c r="I93" s="8" t="s">
        <v>56</v>
      </c>
      <c r="J93" s="6" t="s">
        <v>510</v>
      </c>
      <c r="K93" s="8" t="s">
        <v>58</v>
      </c>
      <c r="L93" s="6"/>
      <c r="M93" s="6" t="s">
        <v>500</v>
      </c>
      <c r="N93" s="6" t="n">
        <v>1</v>
      </c>
      <c r="O93" s="6" t="n">
        <v>1</v>
      </c>
      <c r="P93" s="9" t="n">
        <v>0.8</v>
      </c>
      <c r="Q93" s="8" t="s">
        <v>60</v>
      </c>
      <c r="R93" s="6" t="s">
        <v>462</v>
      </c>
      <c r="S93" s="6"/>
      <c r="T93" s="6" t="s">
        <v>147</v>
      </c>
    </row>
    <row r="94" customFormat="false" ht="23.85" hidden="false" customHeight="false" outlineLevel="0" collapsed="false">
      <c r="A94" s="6" t="n">
        <v>93</v>
      </c>
      <c r="B94" s="7" t="n">
        <v>46300</v>
      </c>
      <c r="C94" s="6" t="s">
        <v>53</v>
      </c>
      <c r="D94" s="6" t="s">
        <v>464</v>
      </c>
      <c r="E94" s="6" t="s">
        <v>51</v>
      </c>
      <c r="F94" s="6" t="s">
        <v>511</v>
      </c>
      <c r="G94" s="6" t="n">
        <v>86</v>
      </c>
      <c r="H94" s="6" t="s">
        <v>55</v>
      </c>
      <c r="I94" s="8" t="s">
        <v>56</v>
      </c>
      <c r="J94" s="6" t="s">
        <v>512</v>
      </c>
      <c r="K94" s="8" t="s">
        <v>58</v>
      </c>
      <c r="L94" s="6"/>
      <c r="M94" s="6" t="s">
        <v>59</v>
      </c>
      <c r="N94" s="6" t="n">
        <v>2</v>
      </c>
      <c r="O94" s="6" t="n">
        <v>1</v>
      </c>
      <c r="P94" s="9" t="n">
        <v>0.8</v>
      </c>
      <c r="Q94" s="8" t="s">
        <v>60</v>
      </c>
      <c r="R94" s="6" t="s">
        <v>462</v>
      </c>
      <c r="S94" s="6" t="s">
        <v>463</v>
      </c>
      <c r="T94" s="6" t="s">
        <v>147</v>
      </c>
    </row>
    <row r="95" customFormat="false" ht="23.85" hidden="false" customHeight="false" outlineLevel="0" collapsed="false">
      <c r="A95" s="6" t="n">
        <v>94</v>
      </c>
      <c r="B95" s="7" t="n">
        <v>46301</v>
      </c>
      <c r="C95" s="6" t="s">
        <v>513</v>
      </c>
      <c r="D95" s="6" t="s">
        <v>476</v>
      </c>
      <c r="E95" s="6" t="s">
        <v>79</v>
      </c>
      <c r="F95" s="6" t="s">
        <v>514</v>
      </c>
      <c r="G95" s="6"/>
      <c r="H95" s="6" t="s">
        <v>515</v>
      </c>
      <c r="I95" s="8" t="s">
        <v>56</v>
      </c>
      <c r="J95" s="6" t="s">
        <v>516</v>
      </c>
      <c r="K95" s="8" t="s">
        <v>58</v>
      </c>
      <c r="L95" s="6"/>
      <c r="M95" s="6" t="s">
        <v>84</v>
      </c>
      <c r="N95" s="6" t="n">
        <v>3</v>
      </c>
      <c r="O95" s="6" t="n">
        <v>3</v>
      </c>
      <c r="P95" s="9" t="n">
        <v>0.99</v>
      </c>
      <c r="Q95" s="8" t="s">
        <v>60</v>
      </c>
      <c r="R95" s="6" t="s">
        <v>462</v>
      </c>
      <c r="S95" s="6"/>
      <c r="T95" s="6" t="s">
        <v>147</v>
      </c>
    </row>
    <row r="96" customFormat="false" ht="35.05" hidden="false" customHeight="false" outlineLevel="0" collapsed="false">
      <c r="A96" s="6" t="n">
        <v>95</v>
      </c>
      <c r="B96" s="7" t="n">
        <v>46301</v>
      </c>
      <c r="C96" s="6" t="s">
        <v>51</v>
      </c>
      <c r="D96" s="6" t="s">
        <v>517</v>
      </c>
      <c r="E96" s="6" t="s">
        <v>53</v>
      </c>
      <c r="F96" s="6" t="s">
        <v>518</v>
      </c>
      <c r="G96" s="6"/>
      <c r="H96" s="6" t="s">
        <v>55</v>
      </c>
      <c r="I96" s="8" t="s">
        <v>56</v>
      </c>
      <c r="J96" s="6" t="s">
        <v>512</v>
      </c>
      <c r="K96" s="8" t="s">
        <v>58</v>
      </c>
      <c r="L96" s="6"/>
      <c r="M96" s="6" t="s">
        <v>59</v>
      </c>
      <c r="N96" s="6" t="n">
        <v>2</v>
      </c>
      <c r="O96" s="6" t="n">
        <v>1</v>
      </c>
      <c r="P96" s="9" t="n">
        <v>0.8</v>
      </c>
      <c r="Q96" s="8" t="s">
        <v>60</v>
      </c>
      <c r="R96" s="6" t="s">
        <v>462</v>
      </c>
      <c r="S96" s="6"/>
      <c r="T96" s="6" t="s">
        <v>147</v>
      </c>
    </row>
    <row r="97" customFormat="false" ht="23.85" hidden="false" customHeight="false" outlineLevel="0" collapsed="false">
      <c r="A97" s="6" t="n">
        <v>96</v>
      </c>
      <c r="B97" s="7" t="n">
        <v>46302</v>
      </c>
      <c r="C97" s="6" t="s">
        <v>519</v>
      </c>
      <c r="D97" s="6" t="s">
        <v>476</v>
      </c>
      <c r="E97" s="6" t="s">
        <v>520</v>
      </c>
      <c r="F97" s="6" t="s">
        <v>521</v>
      </c>
      <c r="G97" s="6"/>
      <c r="H97" s="6" t="s">
        <v>522</v>
      </c>
      <c r="I97" s="8" t="s">
        <v>56</v>
      </c>
      <c r="J97" s="6" t="s">
        <v>523</v>
      </c>
      <c r="K97" s="8" t="s">
        <v>58</v>
      </c>
      <c r="L97" s="6"/>
      <c r="M97" s="6" t="s">
        <v>84</v>
      </c>
      <c r="N97" s="6" t="n">
        <v>2</v>
      </c>
      <c r="O97" s="6" t="n">
        <v>2</v>
      </c>
      <c r="P97" s="9" t="n">
        <v>0.96</v>
      </c>
      <c r="Q97" s="8" t="s">
        <v>60</v>
      </c>
      <c r="R97" s="6" t="s">
        <v>462</v>
      </c>
      <c r="S97" s="6"/>
      <c r="T97" s="6" t="s">
        <v>289</v>
      </c>
    </row>
    <row r="98" customFormat="false" ht="35.05" hidden="false" customHeight="false" outlineLevel="0" collapsed="false">
      <c r="A98" s="6" t="n">
        <v>97</v>
      </c>
      <c r="B98" s="7" t="n">
        <v>46303</v>
      </c>
      <c r="C98" s="6" t="s">
        <v>51</v>
      </c>
      <c r="D98" s="6" t="s">
        <v>524</v>
      </c>
      <c r="E98" s="6" t="s">
        <v>53</v>
      </c>
      <c r="F98" s="6" t="s">
        <v>525</v>
      </c>
      <c r="G98" s="6"/>
      <c r="H98" s="6" t="s">
        <v>55</v>
      </c>
      <c r="I98" s="8" t="s">
        <v>56</v>
      </c>
      <c r="J98" s="6" t="s">
        <v>526</v>
      </c>
      <c r="K98" s="8" t="s">
        <v>58</v>
      </c>
      <c r="L98" s="6"/>
      <c r="M98" s="6" t="s">
        <v>59</v>
      </c>
      <c r="N98" s="6" t="n">
        <v>2</v>
      </c>
      <c r="O98" s="6" t="n">
        <v>2</v>
      </c>
      <c r="P98" s="9" t="n">
        <v>0.96</v>
      </c>
      <c r="Q98" s="8" t="s">
        <v>60</v>
      </c>
      <c r="R98" s="6" t="s">
        <v>462</v>
      </c>
      <c r="S98" s="6" t="s">
        <v>527</v>
      </c>
      <c r="T98" s="6" t="s">
        <v>360</v>
      </c>
    </row>
    <row r="99" customFormat="false" ht="35.05" hidden="false" customHeight="false" outlineLevel="0" collapsed="false">
      <c r="A99" s="6" t="n">
        <v>98</v>
      </c>
      <c r="B99" s="7" t="n">
        <v>46303</v>
      </c>
      <c r="C99" s="6" t="s">
        <v>528</v>
      </c>
      <c r="D99" s="6" t="s">
        <v>529</v>
      </c>
      <c r="E99" s="6" t="s">
        <v>122</v>
      </c>
      <c r="F99" s="6" t="s">
        <v>530</v>
      </c>
      <c r="G99" s="6"/>
      <c r="H99" s="6" t="s">
        <v>531</v>
      </c>
      <c r="I99" s="8" t="s">
        <v>56</v>
      </c>
      <c r="J99" s="6" t="s">
        <v>532</v>
      </c>
      <c r="K99" s="8" t="s">
        <v>58</v>
      </c>
      <c r="L99" s="6" t="s">
        <v>533</v>
      </c>
      <c r="M99" s="6" t="s">
        <v>70</v>
      </c>
      <c r="N99" s="6" t="n">
        <v>1</v>
      </c>
      <c r="O99" s="6" t="n">
        <v>1</v>
      </c>
      <c r="P99" s="9" t="n">
        <v>0.8</v>
      </c>
      <c r="Q99" s="8" t="s">
        <v>60</v>
      </c>
      <c r="R99" s="6" t="s">
        <v>462</v>
      </c>
      <c r="S99" s="6" t="s">
        <v>534</v>
      </c>
      <c r="T99" s="6" t="s">
        <v>360</v>
      </c>
    </row>
    <row r="100" customFormat="false" ht="35.05" hidden="false" customHeight="false" outlineLevel="0" collapsed="false">
      <c r="A100" s="6" t="n">
        <v>99</v>
      </c>
      <c r="B100" s="7" t="n">
        <v>46304</v>
      </c>
      <c r="C100" s="6" t="s">
        <v>53</v>
      </c>
      <c r="D100" s="6" t="s">
        <v>535</v>
      </c>
      <c r="E100" s="6" t="s">
        <v>51</v>
      </c>
      <c r="F100" s="6" t="s">
        <v>536</v>
      </c>
      <c r="G100" s="6" t="n">
        <v>86</v>
      </c>
      <c r="H100" s="6" t="s">
        <v>55</v>
      </c>
      <c r="I100" s="8" t="s">
        <v>56</v>
      </c>
      <c r="J100" s="6" t="s">
        <v>537</v>
      </c>
      <c r="K100" s="8" t="s">
        <v>58</v>
      </c>
      <c r="L100" s="6"/>
      <c r="M100" s="6" t="s">
        <v>59</v>
      </c>
      <c r="N100" s="6" t="n">
        <v>2</v>
      </c>
      <c r="O100" s="6" t="n">
        <v>2</v>
      </c>
      <c r="P100" s="9" t="n">
        <v>0.96</v>
      </c>
      <c r="Q100" s="8" t="s">
        <v>60</v>
      </c>
      <c r="R100" s="6" t="s">
        <v>462</v>
      </c>
      <c r="S100" s="6" t="s">
        <v>463</v>
      </c>
      <c r="T100" s="6" t="s">
        <v>360</v>
      </c>
    </row>
    <row r="101" customFormat="false" ht="23.85" hidden="false" customHeight="false" outlineLevel="0" collapsed="false">
      <c r="A101" s="6" t="n">
        <v>100</v>
      </c>
      <c r="B101" s="7" t="n">
        <v>46304</v>
      </c>
      <c r="C101" s="6" t="s">
        <v>538</v>
      </c>
      <c r="D101" s="6" t="s">
        <v>476</v>
      </c>
      <c r="E101" s="6" t="s">
        <v>237</v>
      </c>
      <c r="F101" s="6" t="s">
        <v>539</v>
      </c>
      <c r="G101" s="6"/>
      <c r="H101" s="6" t="s">
        <v>540</v>
      </c>
      <c r="I101" s="8" t="s">
        <v>56</v>
      </c>
      <c r="J101" s="6" t="s">
        <v>541</v>
      </c>
      <c r="K101" s="8" t="s">
        <v>58</v>
      </c>
      <c r="L101" s="6"/>
      <c r="M101" s="6" t="s">
        <v>84</v>
      </c>
      <c r="N101" s="6" t="n">
        <v>2</v>
      </c>
      <c r="O101" s="6" t="n">
        <v>2</v>
      </c>
      <c r="P101" s="9" t="n">
        <v>0.96</v>
      </c>
      <c r="Q101" s="8" t="s">
        <v>60</v>
      </c>
      <c r="R101" s="6" t="s">
        <v>462</v>
      </c>
      <c r="S101" s="6"/>
      <c r="T101" s="6" t="s">
        <v>360</v>
      </c>
    </row>
    <row r="102" customFormat="false" ht="23.85" hidden="false" customHeight="false" outlineLevel="0" collapsed="false">
      <c r="A102" s="6" t="n">
        <v>101</v>
      </c>
      <c r="B102" s="7" t="n">
        <v>46304</v>
      </c>
      <c r="C102" s="6" t="s">
        <v>542</v>
      </c>
      <c r="D102" s="6" t="s">
        <v>543</v>
      </c>
      <c r="E102" s="6" t="s">
        <v>79</v>
      </c>
      <c r="F102" s="6" t="s">
        <v>544</v>
      </c>
      <c r="G102" s="6"/>
      <c r="H102" s="6" t="s">
        <v>545</v>
      </c>
      <c r="I102" s="11" t="s">
        <v>184</v>
      </c>
      <c r="J102" s="6" t="s">
        <v>546</v>
      </c>
      <c r="K102" s="10" t="s">
        <v>91</v>
      </c>
      <c r="L102" s="6" t="s">
        <v>547</v>
      </c>
      <c r="M102" s="6" t="s">
        <v>84</v>
      </c>
      <c r="N102" s="6" t="n">
        <v>1</v>
      </c>
      <c r="O102" s="6" t="n">
        <v>0</v>
      </c>
      <c r="P102" s="9" t="n">
        <v>0.24</v>
      </c>
      <c r="Q102" s="11" t="s">
        <v>188</v>
      </c>
      <c r="R102" s="6" t="s">
        <v>462</v>
      </c>
      <c r="S102" s="6"/>
      <c r="T102" s="6" t="s">
        <v>360</v>
      </c>
    </row>
    <row r="103" customFormat="false" ht="35.05" hidden="false" customHeight="false" outlineLevel="0" collapsed="false">
      <c r="A103" s="6" t="n">
        <v>102</v>
      </c>
      <c r="B103" s="7" t="n">
        <v>46305</v>
      </c>
      <c r="C103" s="6" t="s">
        <v>528</v>
      </c>
      <c r="D103" s="6" t="s">
        <v>529</v>
      </c>
      <c r="E103" s="6" t="s">
        <v>122</v>
      </c>
      <c r="F103" s="6" t="s">
        <v>548</v>
      </c>
      <c r="G103" s="6" t="n">
        <v>98</v>
      </c>
      <c r="H103" s="6" t="s">
        <v>549</v>
      </c>
      <c r="I103" s="8" t="s">
        <v>56</v>
      </c>
      <c r="J103" s="6" t="s">
        <v>550</v>
      </c>
      <c r="K103" s="8" t="s">
        <v>58</v>
      </c>
      <c r="L103" s="6" t="s">
        <v>551</v>
      </c>
      <c r="M103" s="6" t="s">
        <v>70</v>
      </c>
      <c r="N103" s="6" t="n">
        <v>2</v>
      </c>
      <c r="O103" s="6" t="n">
        <v>2</v>
      </c>
      <c r="P103" s="9" t="n">
        <v>0.93</v>
      </c>
      <c r="Q103" s="8" t="s">
        <v>60</v>
      </c>
      <c r="R103" s="6" t="s">
        <v>462</v>
      </c>
      <c r="S103" s="6" t="s">
        <v>534</v>
      </c>
      <c r="T103" s="6" t="s">
        <v>175</v>
      </c>
    </row>
    <row r="104" customFormat="false" ht="23.85" hidden="false" customHeight="false" outlineLevel="0" collapsed="false">
      <c r="A104" s="6" t="n">
        <v>103</v>
      </c>
      <c r="B104" s="7" t="n">
        <v>46305</v>
      </c>
      <c r="C104" s="6" t="s">
        <v>542</v>
      </c>
      <c r="D104" s="6" t="s">
        <v>552</v>
      </c>
      <c r="E104" s="6" t="s">
        <v>79</v>
      </c>
      <c r="F104" s="6" t="s">
        <v>553</v>
      </c>
      <c r="G104" s="6"/>
      <c r="H104" s="6" t="s">
        <v>554</v>
      </c>
      <c r="I104" s="10" t="s">
        <v>89</v>
      </c>
      <c r="J104" s="6" t="s">
        <v>555</v>
      </c>
      <c r="K104" s="10" t="s">
        <v>91</v>
      </c>
      <c r="L104" s="6" t="s">
        <v>556</v>
      </c>
      <c r="M104" s="6" t="s">
        <v>84</v>
      </c>
      <c r="N104" s="6" t="n">
        <v>1</v>
      </c>
      <c r="O104" s="6" t="n">
        <v>1</v>
      </c>
      <c r="P104" s="9" t="n">
        <v>0.64</v>
      </c>
      <c r="Q104" s="10" t="s">
        <v>119</v>
      </c>
      <c r="R104" s="6" t="s">
        <v>462</v>
      </c>
      <c r="S104" s="6"/>
      <c r="T104" s="6" t="s">
        <v>175</v>
      </c>
    </row>
    <row r="105" customFormat="false" ht="35.05" hidden="false" customHeight="false" outlineLevel="0" collapsed="false">
      <c r="A105" s="6" t="n">
        <v>104</v>
      </c>
      <c r="B105" s="7" t="n">
        <v>46306</v>
      </c>
      <c r="C105" s="6" t="s">
        <v>51</v>
      </c>
      <c r="D105" s="6" t="s">
        <v>557</v>
      </c>
      <c r="E105" s="6" t="s">
        <v>260</v>
      </c>
      <c r="F105" s="6" t="s">
        <v>558</v>
      </c>
      <c r="G105" s="6"/>
      <c r="H105" s="6" t="s">
        <v>559</v>
      </c>
      <c r="I105" s="8" t="s">
        <v>56</v>
      </c>
      <c r="J105" s="6" t="s">
        <v>555</v>
      </c>
      <c r="K105" s="8" t="s">
        <v>58</v>
      </c>
      <c r="L105" s="6"/>
      <c r="M105" s="6" t="s">
        <v>84</v>
      </c>
      <c r="N105" s="6" t="n">
        <v>1</v>
      </c>
      <c r="O105" s="6" t="n">
        <v>1</v>
      </c>
      <c r="P105" s="9" t="n">
        <v>0.8</v>
      </c>
      <c r="Q105" s="8" t="s">
        <v>60</v>
      </c>
      <c r="R105" s="6" t="s">
        <v>462</v>
      </c>
      <c r="S105" s="6"/>
      <c r="T105" s="6" t="s">
        <v>168</v>
      </c>
    </row>
    <row r="106" customFormat="false" ht="35.05" hidden="false" customHeight="false" outlineLevel="0" collapsed="false">
      <c r="A106" s="6" t="n">
        <v>105</v>
      </c>
      <c r="B106" s="7" t="n">
        <v>46306</v>
      </c>
      <c r="C106" s="6" t="s">
        <v>519</v>
      </c>
      <c r="D106" s="6" t="s">
        <v>476</v>
      </c>
      <c r="E106" s="6" t="s">
        <v>79</v>
      </c>
      <c r="F106" s="6" t="s">
        <v>560</v>
      </c>
      <c r="G106" s="6"/>
      <c r="H106" s="6" t="s">
        <v>561</v>
      </c>
      <c r="I106" s="8" t="s">
        <v>56</v>
      </c>
      <c r="J106" s="6" t="s">
        <v>555</v>
      </c>
      <c r="K106" s="8" t="s">
        <v>58</v>
      </c>
      <c r="L106" s="6"/>
      <c r="M106" s="6" t="s">
        <v>84</v>
      </c>
      <c r="N106" s="6" t="n">
        <v>1</v>
      </c>
      <c r="O106" s="6" t="n">
        <v>1</v>
      </c>
      <c r="P106" s="9" t="n">
        <v>0.8</v>
      </c>
      <c r="Q106" s="8" t="s">
        <v>60</v>
      </c>
      <c r="R106" s="6" t="s">
        <v>462</v>
      </c>
      <c r="S106" s="6"/>
      <c r="T106" s="6" t="s">
        <v>168</v>
      </c>
    </row>
    <row r="107" customFormat="false" ht="35.05" hidden="false" customHeight="false" outlineLevel="0" collapsed="false">
      <c r="A107" s="6" t="n">
        <v>106</v>
      </c>
      <c r="B107" s="7" t="n">
        <v>46301</v>
      </c>
      <c r="C107" s="6" t="s">
        <v>51</v>
      </c>
      <c r="D107" s="6" t="s">
        <v>562</v>
      </c>
      <c r="E107" s="6" t="s">
        <v>563</v>
      </c>
      <c r="F107" s="6" t="s">
        <v>564</v>
      </c>
      <c r="G107" s="6"/>
      <c r="H107" s="6" t="s">
        <v>565</v>
      </c>
      <c r="I107" s="8" t="s">
        <v>56</v>
      </c>
      <c r="J107" s="6" t="s">
        <v>566</v>
      </c>
      <c r="K107" s="8" t="s">
        <v>58</v>
      </c>
      <c r="L107" s="6" t="s">
        <v>567</v>
      </c>
      <c r="M107" s="6" t="s">
        <v>70</v>
      </c>
      <c r="N107" s="6" t="n">
        <v>2</v>
      </c>
      <c r="O107" s="6" t="n">
        <v>2</v>
      </c>
      <c r="P107" s="9" t="n">
        <v>0.96</v>
      </c>
      <c r="Q107" s="8" t="s">
        <v>60</v>
      </c>
      <c r="R107" s="6" t="s">
        <v>462</v>
      </c>
      <c r="S107" s="6"/>
      <c r="T107" s="6" t="s">
        <v>147</v>
      </c>
    </row>
    <row r="108" customFormat="false" ht="23.85" hidden="false" customHeight="false" outlineLevel="0" collapsed="false">
      <c r="A108" s="6" t="n">
        <v>107</v>
      </c>
      <c r="B108" s="7" t="n">
        <v>46303</v>
      </c>
      <c r="C108" s="6" t="s">
        <v>51</v>
      </c>
      <c r="D108" s="6" t="s">
        <v>361</v>
      </c>
      <c r="E108" s="6" t="s">
        <v>53</v>
      </c>
      <c r="F108" s="6" t="s">
        <v>568</v>
      </c>
      <c r="G108" s="6"/>
      <c r="H108" s="6" t="s">
        <v>55</v>
      </c>
      <c r="I108" s="8" t="s">
        <v>56</v>
      </c>
      <c r="J108" s="6" t="s">
        <v>569</v>
      </c>
      <c r="K108" s="8" t="s">
        <v>58</v>
      </c>
      <c r="L108" s="6"/>
      <c r="M108" s="6" t="s">
        <v>365</v>
      </c>
      <c r="N108" s="6" t="n">
        <v>1</v>
      </c>
      <c r="O108" s="6" t="n">
        <v>1</v>
      </c>
      <c r="P108" s="9" t="n">
        <v>0.8</v>
      </c>
      <c r="Q108" s="8" t="s">
        <v>60</v>
      </c>
      <c r="R108" s="6" t="s">
        <v>462</v>
      </c>
      <c r="S108" s="6"/>
      <c r="T108" s="6" t="s">
        <v>360</v>
      </c>
    </row>
    <row r="109" customFormat="false" ht="35.05" hidden="false" customHeight="false" outlineLevel="0" collapsed="false">
      <c r="A109" s="6" t="n">
        <v>108</v>
      </c>
      <c r="B109" s="7" t="n">
        <v>46306</v>
      </c>
      <c r="C109" s="6" t="s">
        <v>53</v>
      </c>
      <c r="D109" s="6" t="s">
        <v>464</v>
      </c>
      <c r="E109" s="6" t="s">
        <v>51</v>
      </c>
      <c r="F109" s="6" t="s">
        <v>570</v>
      </c>
      <c r="G109" s="6" t="n">
        <v>86</v>
      </c>
      <c r="H109" s="6" t="s">
        <v>55</v>
      </c>
      <c r="I109" s="8" t="s">
        <v>56</v>
      </c>
      <c r="J109" s="6" t="s">
        <v>571</v>
      </c>
      <c r="K109" s="8" t="s">
        <v>58</v>
      </c>
      <c r="L109" s="6"/>
      <c r="M109" s="6" t="s">
        <v>59</v>
      </c>
      <c r="N109" s="6" t="n">
        <v>2</v>
      </c>
      <c r="O109" s="6" t="n">
        <v>2</v>
      </c>
      <c r="P109" s="9" t="n">
        <v>0.93</v>
      </c>
      <c r="Q109" s="8" t="s">
        <v>60</v>
      </c>
      <c r="R109" s="6" t="s">
        <v>462</v>
      </c>
      <c r="S109" s="6" t="s">
        <v>463</v>
      </c>
      <c r="T109" s="6" t="s">
        <v>168</v>
      </c>
    </row>
    <row r="110" customFormat="false" ht="35.05" hidden="false" customHeight="false" outlineLevel="0" collapsed="false">
      <c r="A110" s="6" t="n">
        <v>109</v>
      </c>
      <c r="B110" s="7" t="n">
        <v>46308</v>
      </c>
      <c r="C110" s="6" t="s">
        <v>572</v>
      </c>
      <c r="D110" s="6" t="s">
        <v>476</v>
      </c>
      <c r="E110" s="6" t="s">
        <v>79</v>
      </c>
      <c r="F110" s="6" t="s">
        <v>573</v>
      </c>
      <c r="G110" s="6"/>
      <c r="H110" s="6" t="s">
        <v>574</v>
      </c>
      <c r="I110" s="8" t="s">
        <v>56</v>
      </c>
      <c r="J110" s="6" t="s">
        <v>575</v>
      </c>
      <c r="K110" s="8" t="s">
        <v>58</v>
      </c>
      <c r="L110" s="6" t="s">
        <v>576</v>
      </c>
      <c r="M110" s="6" t="s">
        <v>84</v>
      </c>
      <c r="N110" s="6" t="n">
        <v>4</v>
      </c>
      <c r="O110" s="6" t="n">
        <v>3</v>
      </c>
      <c r="P110" s="9" t="n">
        <v>0.99</v>
      </c>
      <c r="Q110" s="8" t="s">
        <v>60</v>
      </c>
      <c r="R110" s="6" t="s">
        <v>462</v>
      </c>
      <c r="S110" s="6"/>
      <c r="T110" s="6" t="s">
        <v>258</v>
      </c>
    </row>
    <row r="111" customFormat="false" ht="35.05" hidden="false" customHeight="false" outlineLevel="0" collapsed="false">
      <c r="A111" s="6" t="n">
        <v>110</v>
      </c>
      <c r="B111" s="7" t="n">
        <v>46310</v>
      </c>
      <c r="C111" s="6" t="s">
        <v>51</v>
      </c>
      <c r="D111" s="6" t="s">
        <v>361</v>
      </c>
      <c r="E111" s="6" t="s">
        <v>53</v>
      </c>
      <c r="F111" s="6" t="s">
        <v>577</v>
      </c>
      <c r="G111" s="6"/>
      <c r="H111" s="6" t="s">
        <v>55</v>
      </c>
      <c r="I111" s="8" t="s">
        <v>56</v>
      </c>
      <c r="J111" s="6" t="s">
        <v>578</v>
      </c>
      <c r="K111" s="8" t="s">
        <v>58</v>
      </c>
      <c r="L111" s="6"/>
      <c r="M111" s="6" t="s">
        <v>365</v>
      </c>
      <c r="N111" s="6" t="n">
        <v>2</v>
      </c>
      <c r="O111" s="6" t="n">
        <v>1</v>
      </c>
      <c r="P111" s="9" t="n">
        <v>0.8</v>
      </c>
      <c r="Q111" s="8" t="s">
        <v>60</v>
      </c>
      <c r="R111" s="6" t="s">
        <v>462</v>
      </c>
      <c r="S111" s="6"/>
      <c r="T111" s="6" t="s">
        <v>192</v>
      </c>
    </row>
    <row r="112" customFormat="false" ht="57.45" hidden="false" customHeight="false" outlineLevel="0" collapsed="false">
      <c r="A112" s="6" t="n">
        <v>111</v>
      </c>
      <c r="B112" s="7" t="n">
        <v>46311</v>
      </c>
      <c r="C112" s="6" t="s">
        <v>51</v>
      </c>
      <c r="D112" s="6" t="s">
        <v>579</v>
      </c>
      <c r="E112" s="6" t="s">
        <v>53</v>
      </c>
      <c r="F112" s="6" t="s">
        <v>580</v>
      </c>
      <c r="G112" s="6" t="n">
        <v>97</v>
      </c>
      <c r="H112" s="6" t="s">
        <v>55</v>
      </c>
      <c r="I112" s="8" t="s">
        <v>56</v>
      </c>
      <c r="J112" s="6" t="s">
        <v>581</v>
      </c>
      <c r="K112" s="8" t="s">
        <v>58</v>
      </c>
      <c r="L112" s="6" t="s">
        <v>582</v>
      </c>
      <c r="M112" s="6" t="s">
        <v>59</v>
      </c>
      <c r="N112" s="6" t="n">
        <v>4</v>
      </c>
      <c r="O112" s="6" t="n">
        <v>3</v>
      </c>
      <c r="P112" s="9" t="n">
        <v>0.99</v>
      </c>
      <c r="Q112" s="8" t="s">
        <v>60</v>
      </c>
      <c r="R112" s="6" t="s">
        <v>462</v>
      </c>
      <c r="S112" s="6" t="s">
        <v>527</v>
      </c>
      <c r="T112" s="6" t="s">
        <v>192</v>
      </c>
    </row>
    <row r="113" customFormat="false" ht="35.05" hidden="false" customHeight="false" outlineLevel="0" collapsed="false">
      <c r="A113" s="6" t="n">
        <v>112</v>
      </c>
      <c r="B113" s="7" t="n">
        <v>46311</v>
      </c>
      <c r="C113" s="6" t="s">
        <v>519</v>
      </c>
      <c r="D113" s="6" t="s">
        <v>476</v>
      </c>
      <c r="E113" s="6" t="s">
        <v>583</v>
      </c>
      <c r="F113" s="6" t="s">
        <v>584</v>
      </c>
      <c r="G113" s="6"/>
      <c r="H113" s="6" t="s">
        <v>585</v>
      </c>
      <c r="I113" s="8" t="s">
        <v>56</v>
      </c>
      <c r="J113" s="6" t="s">
        <v>586</v>
      </c>
      <c r="K113" s="8" t="s">
        <v>58</v>
      </c>
      <c r="L113" s="6"/>
      <c r="M113" s="6" t="s">
        <v>84</v>
      </c>
      <c r="N113" s="6" t="n">
        <v>3</v>
      </c>
      <c r="O113" s="6" t="n">
        <v>2</v>
      </c>
      <c r="P113" s="9" t="n">
        <v>0.96</v>
      </c>
      <c r="Q113" s="8" t="s">
        <v>60</v>
      </c>
      <c r="R113" s="6" t="s">
        <v>462</v>
      </c>
      <c r="S113" s="6"/>
      <c r="T113" s="6" t="s">
        <v>192</v>
      </c>
    </row>
    <row r="114" customFormat="false" ht="46.25" hidden="false" customHeight="false" outlineLevel="0" collapsed="false">
      <c r="A114" s="6" t="n">
        <v>113</v>
      </c>
      <c r="B114" s="7" t="n">
        <v>46312</v>
      </c>
      <c r="C114" s="6" t="s">
        <v>542</v>
      </c>
      <c r="D114" s="6" t="s">
        <v>552</v>
      </c>
      <c r="E114" s="6" t="s">
        <v>79</v>
      </c>
      <c r="F114" s="6" t="s">
        <v>587</v>
      </c>
      <c r="G114" s="6"/>
      <c r="H114" s="6" t="s">
        <v>588</v>
      </c>
      <c r="I114" s="10" t="s">
        <v>89</v>
      </c>
      <c r="J114" s="6" t="s">
        <v>589</v>
      </c>
      <c r="K114" s="10" t="s">
        <v>91</v>
      </c>
      <c r="L114" s="6" t="s">
        <v>590</v>
      </c>
      <c r="M114" s="6" t="s">
        <v>84</v>
      </c>
      <c r="N114" s="6" t="n">
        <v>2</v>
      </c>
      <c r="O114" s="6" t="n">
        <v>1</v>
      </c>
      <c r="P114" s="9" t="n">
        <v>0.64</v>
      </c>
      <c r="Q114" s="10" t="s">
        <v>119</v>
      </c>
      <c r="R114" s="6" t="s">
        <v>462</v>
      </c>
      <c r="S114" s="6"/>
      <c r="T114" s="6" t="s">
        <v>192</v>
      </c>
    </row>
    <row r="115" customFormat="false" ht="23.85" hidden="false" customHeight="false" outlineLevel="0" collapsed="false">
      <c r="A115" s="6" t="n">
        <v>114</v>
      </c>
      <c r="B115" s="7" t="n">
        <v>46313</v>
      </c>
      <c r="C115" s="6" t="s">
        <v>519</v>
      </c>
      <c r="D115" s="6" t="s">
        <v>476</v>
      </c>
      <c r="E115" s="6" t="s">
        <v>237</v>
      </c>
      <c r="F115" s="6" t="s">
        <v>591</v>
      </c>
      <c r="G115" s="6"/>
      <c r="H115" s="6" t="s">
        <v>592</v>
      </c>
      <c r="I115" s="8" t="s">
        <v>56</v>
      </c>
      <c r="J115" s="6" t="s">
        <v>593</v>
      </c>
      <c r="K115" s="8" t="s">
        <v>58</v>
      </c>
      <c r="L115" s="6"/>
      <c r="M115" s="6" t="s">
        <v>84</v>
      </c>
      <c r="N115" s="6" t="n">
        <v>1</v>
      </c>
      <c r="O115" s="6" t="n">
        <v>1</v>
      </c>
      <c r="P115" s="9" t="n">
        <v>0.8</v>
      </c>
      <c r="Q115" s="8" t="s">
        <v>60</v>
      </c>
      <c r="R115" s="6" t="s">
        <v>462</v>
      </c>
      <c r="S115" s="6"/>
      <c r="T115" s="6" t="s">
        <v>272</v>
      </c>
    </row>
    <row r="116" customFormat="false" ht="35.05" hidden="false" customHeight="false" outlineLevel="0" collapsed="false">
      <c r="A116" s="6" t="n">
        <v>115</v>
      </c>
      <c r="B116" s="7" t="n">
        <v>46313</v>
      </c>
      <c r="C116" s="6" t="s">
        <v>53</v>
      </c>
      <c r="D116" s="6" t="s">
        <v>535</v>
      </c>
      <c r="E116" s="6" t="s">
        <v>51</v>
      </c>
      <c r="F116" s="6" t="s">
        <v>594</v>
      </c>
      <c r="G116" s="6" t="n">
        <v>86</v>
      </c>
      <c r="H116" s="6" t="s">
        <v>55</v>
      </c>
      <c r="I116" s="8" t="s">
        <v>56</v>
      </c>
      <c r="J116" s="6" t="s">
        <v>593</v>
      </c>
      <c r="K116" s="8" t="s">
        <v>58</v>
      </c>
      <c r="L116" s="6"/>
      <c r="M116" s="6" t="s">
        <v>59</v>
      </c>
      <c r="N116" s="6" t="n">
        <v>1</v>
      </c>
      <c r="O116" s="6" t="n">
        <v>1</v>
      </c>
      <c r="P116" s="9" t="n">
        <v>0.8</v>
      </c>
      <c r="Q116" s="8" t="s">
        <v>60</v>
      </c>
      <c r="R116" s="6" t="s">
        <v>462</v>
      </c>
      <c r="S116" s="6" t="s">
        <v>463</v>
      </c>
      <c r="T116" s="6" t="s">
        <v>272</v>
      </c>
    </row>
    <row r="117" customFormat="false" ht="35.05" hidden="false" customHeight="false" outlineLevel="0" collapsed="false">
      <c r="A117" s="6" t="n">
        <v>116</v>
      </c>
      <c r="B117" s="7" t="n">
        <v>46180</v>
      </c>
      <c r="C117" s="6" t="s">
        <v>53</v>
      </c>
      <c r="D117" s="6" t="s">
        <v>595</v>
      </c>
      <c r="E117" s="6" t="s">
        <v>155</v>
      </c>
      <c r="F117" s="6" t="s">
        <v>596</v>
      </c>
      <c r="G117" s="6"/>
      <c r="H117" s="6" t="s">
        <v>597</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117</v>
      </c>
      <c r="B118" s="7" t="n">
        <v>46315</v>
      </c>
      <c r="C118" s="6" t="s">
        <v>519</v>
      </c>
      <c r="D118" s="6" t="s">
        <v>476</v>
      </c>
      <c r="E118" s="6" t="s">
        <v>598</v>
      </c>
      <c r="F118" s="6" t="s">
        <v>599</v>
      </c>
      <c r="G118" s="6"/>
      <c r="H118" s="6" t="s">
        <v>600</v>
      </c>
      <c r="I118" s="8" t="s">
        <v>56</v>
      </c>
      <c r="J118" s="6" t="s">
        <v>601</v>
      </c>
      <c r="K118" s="8" t="s">
        <v>58</v>
      </c>
      <c r="L118" s="6"/>
      <c r="M118" s="6" t="s">
        <v>84</v>
      </c>
      <c r="N118" s="6" t="n">
        <v>1</v>
      </c>
      <c r="O118" s="6" t="n">
        <v>1</v>
      </c>
      <c r="P118" s="9" t="n">
        <v>0.8</v>
      </c>
      <c r="Q118" s="8" t="s">
        <v>60</v>
      </c>
      <c r="R118" s="6" t="s">
        <v>462</v>
      </c>
      <c r="S118" s="6"/>
      <c r="T118" s="6" t="s">
        <v>201</v>
      </c>
    </row>
    <row r="119" customFormat="false" ht="35.05" hidden="false" customHeight="false" outlineLevel="0" collapsed="false">
      <c r="A119" s="6" t="n">
        <v>118</v>
      </c>
      <c r="B119" s="7" t="n">
        <v>46316</v>
      </c>
      <c r="C119" s="6" t="s">
        <v>519</v>
      </c>
      <c r="D119" s="6" t="s">
        <v>476</v>
      </c>
      <c r="E119" s="6" t="s">
        <v>79</v>
      </c>
      <c r="F119" s="6" t="s">
        <v>602</v>
      </c>
      <c r="G119" s="6"/>
      <c r="H119" s="6" t="s">
        <v>603</v>
      </c>
      <c r="I119" s="8" t="s">
        <v>56</v>
      </c>
      <c r="J119" s="6" t="s">
        <v>604</v>
      </c>
      <c r="K119" s="8" t="s">
        <v>58</v>
      </c>
      <c r="L119" s="6"/>
      <c r="M119" s="6" t="s">
        <v>84</v>
      </c>
      <c r="N119" s="6" t="n">
        <v>1</v>
      </c>
      <c r="O119" s="6" t="n">
        <v>1</v>
      </c>
      <c r="P119" s="9" t="n">
        <v>0.8</v>
      </c>
      <c r="Q119" s="8" t="s">
        <v>60</v>
      </c>
      <c r="R119" s="6" t="s">
        <v>462</v>
      </c>
      <c r="S119" s="6"/>
      <c r="T119" s="6" t="s">
        <v>192</v>
      </c>
    </row>
    <row r="120" customFormat="false" ht="23.85" hidden="false" customHeight="false" outlineLevel="0" collapsed="false">
      <c r="A120" s="6" t="n">
        <v>119</v>
      </c>
      <c r="B120" s="7" t="n">
        <v>46316</v>
      </c>
      <c r="C120" s="6" t="s">
        <v>51</v>
      </c>
      <c r="D120" s="6" t="s">
        <v>361</v>
      </c>
      <c r="E120" s="6" t="s">
        <v>53</v>
      </c>
      <c r="F120" s="6" t="s">
        <v>605</v>
      </c>
      <c r="G120" s="6"/>
      <c r="H120" s="6" t="s">
        <v>55</v>
      </c>
      <c r="I120" s="8" t="s">
        <v>56</v>
      </c>
      <c r="J120" s="6" t="s">
        <v>606</v>
      </c>
      <c r="K120" s="8" t="s">
        <v>58</v>
      </c>
      <c r="L120" s="6"/>
      <c r="M120" s="6" t="s">
        <v>365</v>
      </c>
      <c r="N120" s="6" t="n">
        <v>2</v>
      </c>
      <c r="O120" s="6" t="n">
        <v>1</v>
      </c>
      <c r="P120" s="9" t="n">
        <v>0.8</v>
      </c>
      <c r="Q120" s="8" t="s">
        <v>60</v>
      </c>
      <c r="R120" s="6" t="s">
        <v>462</v>
      </c>
      <c r="S120" s="6"/>
      <c r="T120" s="6" t="s">
        <v>192</v>
      </c>
    </row>
    <row r="121" customFormat="false" ht="57.45" hidden="false" customHeight="false" outlineLevel="0" collapsed="false">
      <c r="A121" s="6" t="n">
        <v>120</v>
      </c>
      <c r="B121" s="7" t="n">
        <v>46316</v>
      </c>
      <c r="C121" s="6" t="s">
        <v>51</v>
      </c>
      <c r="D121" s="6" t="s">
        <v>607</v>
      </c>
      <c r="E121" s="6" t="s">
        <v>496</v>
      </c>
      <c r="F121" s="6" t="s">
        <v>608</v>
      </c>
      <c r="G121" s="6"/>
      <c r="H121" s="6" t="s">
        <v>55</v>
      </c>
      <c r="I121" s="8" t="s">
        <v>56</v>
      </c>
      <c r="J121" s="6" t="s">
        <v>609</v>
      </c>
      <c r="K121" s="8" t="s">
        <v>58</v>
      </c>
      <c r="L121" s="6"/>
      <c r="M121" s="6" t="s">
        <v>500</v>
      </c>
      <c r="N121" s="6" t="n">
        <v>3</v>
      </c>
      <c r="O121" s="6" t="n">
        <v>2</v>
      </c>
      <c r="P121" s="9" t="n">
        <v>0.96</v>
      </c>
      <c r="Q121" s="8" t="s">
        <v>60</v>
      </c>
      <c r="R121" s="6" t="s">
        <v>462</v>
      </c>
      <c r="S121" s="6"/>
      <c r="T121" s="6" t="s">
        <v>192</v>
      </c>
    </row>
    <row r="122" customFormat="false" ht="57.45" hidden="false" customHeight="false" outlineLevel="0" collapsed="false">
      <c r="A122" s="6" t="n">
        <v>121</v>
      </c>
      <c r="B122" s="7" t="n">
        <v>46317</v>
      </c>
      <c r="C122" s="6" t="s">
        <v>542</v>
      </c>
      <c r="D122" s="6" t="s">
        <v>610</v>
      </c>
      <c r="E122" s="6" t="s">
        <v>79</v>
      </c>
      <c r="F122" s="6" t="s">
        <v>611</v>
      </c>
      <c r="G122" s="6"/>
      <c r="H122" s="6" t="s">
        <v>612</v>
      </c>
      <c r="I122" s="8" t="s">
        <v>56</v>
      </c>
      <c r="J122" s="6" t="s">
        <v>613</v>
      </c>
      <c r="K122" s="11" t="s">
        <v>614</v>
      </c>
      <c r="L122" s="6"/>
      <c r="M122" s="6" t="s">
        <v>84</v>
      </c>
      <c r="N122" s="6" t="n">
        <v>2</v>
      </c>
      <c r="O122" s="6" t="n">
        <v>2</v>
      </c>
      <c r="P122" s="9" t="n">
        <v>0.96</v>
      </c>
      <c r="Q122" s="8" t="s">
        <v>60</v>
      </c>
      <c r="R122" s="6" t="s">
        <v>462</v>
      </c>
      <c r="S122" s="6"/>
      <c r="T122" s="6" t="s">
        <v>192</v>
      </c>
    </row>
    <row r="123" customFormat="false" ht="46.25" hidden="false" customHeight="false" outlineLevel="0" collapsed="false">
      <c r="A123" s="6" t="n">
        <v>122</v>
      </c>
      <c r="B123" s="7" t="n">
        <v>46318</v>
      </c>
      <c r="C123" s="6" t="s">
        <v>51</v>
      </c>
      <c r="D123" s="6" t="s">
        <v>615</v>
      </c>
      <c r="E123" s="6" t="s">
        <v>53</v>
      </c>
      <c r="F123" s="6" t="s">
        <v>616</v>
      </c>
      <c r="G123" s="6" t="n">
        <v>97</v>
      </c>
      <c r="H123" s="6" t="s">
        <v>55</v>
      </c>
      <c r="I123" s="8" t="s">
        <v>56</v>
      </c>
      <c r="J123" s="6" t="s">
        <v>617</v>
      </c>
      <c r="K123" s="8" t="s">
        <v>58</v>
      </c>
      <c r="L123" s="6"/>
      <c r="M123" s="6" t="s">
        <v>59</v>
      </c>
      <c r="N123" s="6" t="n">
        <v>3</v>
      </c>
      <c r="O123" s="6" t="n">
        <v>2</v>
      </c>
      <c r="P123" s="9" t="n">
        <v>0.96</v>
      </c>
      <c r="Q123" s="8" t="s">
        <v>60</v>
      </c>
      <c r="R123" s="6" t="s">
        <v>462</v>
      </c>
      <c r="S123" s="6" t="s">
        <v>527</v>
      </c>
      <c r="T123" s="6" t="s">
        <v>272</v>
      </c>
    </row>
    <row r="124" customFormat="false" ht="46.25" hidden="false" customHeight="false" outlineLevel="0" collapsed="false">
      <c r="A124" s="6" t="n">
        <v>123</v>
      </c>
      <c r="B124" s="7" t="n">
        <v>46318</v>
      </c>
      <c r="C124" s="6" t="s">
        <v>542</v>
      </c>
      <c r="D124" s="6" t="s">
        <v>618</v>
      </c>
      <c r="E124" s="6" t="s">
        <v>79</v>
      </c>
      <c r="F124" s="6" t="s">
        <v>619</v>
      </c>
      <c r="G124" s="6"/>
      <c r="H124" s="6" t="s">
        <v>620</v>
      </c>
      <c r="I124" s="8" t="s">
        <v>56</v>
      </c>
      <c r="J124" s="6" t="s">
        <v>613</v>
      </c>
      <c r="K124" s="11" t="s">
        <v>614</v>
      </c>
      <c r="L124" s="6"/>
      <c r="M124" s="6" t="s">
        <v>84</v>
      </c>
      <c r="N124" s="6" t="n">
        <v>2</v>
      </c>
      <c r="O124" s="6" t="n">
        <v>2</v>
      </c>
      <c r="P124" s="9" t="n">
        <v>0.96</v>
      </c>
      <c r="Q124" s="8" t="s">
        <v>60</v>
      </c>
      <c r="R124" s="6" t="s">
        <v>462</v>
      </c>
      <c r="S124" s="6"/>
      <c r="T124" s="6" t="s">
        <v>272</v>
      </c>
    </row>
    <row r="125" customFormat="false" ht="46.25" hidden="false" customHeight="false" outlineLevel="0" collapsed="false">
      <c r="A125" s="6" t="n">
        <v>124</v>
      </c>
      <c r="B125" s="7" t="n">
        <v>46319</v>
      </c>
      <c r="C125" s="6" t="s">
        <v>51</v>
      </c>
      <c r="D125" s="6" t="s">
        <v>621</v>
      </c>
      <c r="E125" s="6" t="s">
        <v>53</v>
      </c>
      <c r="F125" s="6" t="s">
        <v>622</v>
      </c>
      <c r="G125" s="6"/>
      <c r="H125" s="6" t="s">
        <v>55</v>
      </c>
      <c r="I125" s="8" t="s">
        <v>56</v>
      </c>
      <c r="J125" s="6" t="s">
        <v>623</v>
      </c>
      <c r="K125" s="8" t="s">
        <v>58</v>
      </c>
      <c r="L125" s="6"/>
      <c r="M125" s="6" t="s">
        <v>59</v>
      </c>
      <c r="N125" s="6" t="n">
        <v>3</v>
      </c>
      <c r="O125" s="6" t="n">
        <v>2</v>
      </c>
      <c r="P125" s="9" t="n">
        <v>0.96</v>
      </c>
      <c r="Q125" s="8" t="s">
        <v>60</v>
      </c>
      <c r="R125" s="6" t="s">
        <v>462</v>
      </c>
      <c r="S125" s="6"/>
      <c r="T125" s="6" t="s">
        <v>272</v>
      </c>
    </row>
    <row r="126" customFormat="false" ht="46.25" hidden="false" customHeight="false" outlineLevel="0" collapsed="false">
      <c r="A126" s="6" t="n">
        <v>125</v>
      </c>
      <c r="B126" s="7" t="n">
        <v>46319</v>
      </c>
      <c r="C126" s="6" t="s">
        <v>53</v>
      </c>
      <c r="D126" s="6" t="s">
        <v>491</v>
      </c>
      <c r="E126" s="6" t="s">
        <v>51</v>
      </c>
      <c r="F126" s="6" t="s">
        <v>624</v>
      </c>
      <c r="G126" s="6"/>
      <c r="H126" s="6" t="s">
        <v>55</v>
      </c>
      <c r="I126" s="8" t="s">
        <v>56</v>
      </c>
      <c r="J126" s="6" t="s">
        <v>617</v>
      </c>
      <c r="K126" s="8" t="s">
        <v>58</v>
      </c>
      <c r="L126" s="6"/>
      <c r="M126" s="6" t="s">
        <v>59</v>
      </c>
      <c r="N126" s="6" t="n">
        <v>2</v>
      </c>
      <c r="O126" s="6" t="n">
        <v>2</v>
      </c>
      <c r="P126" s="9" t="n">
        <v>0.96</v>
      </c>
      <c r="Q126" s="8" t="s">
        <v>60</v>
      </c>
      <c r="R126" s="6" t="s">
        <v>462</v>
      </c>
      <c r="S126" s="6"/>
      <c r="T126" s="6" t="s">
        <v>272</v>
      </c>
    </row>
    <row r="127" customFormat="false" ht="23.85" hidden="false" customHeight="false" outlineLevel="0" collapsed="false">
      <c r="A127" s="6" t="n">
        <v>126</v>
      </c>
      <c r="B127" s="7" t="n">
        <v>46320</v>
      </c>
      <c r="C127" s="6" t="s">
        <v>51</v>
      </c>
      <c r="D127" s="6" t="s">
        <v>491</v>
      </c>
      <c r="E127" s="6" t="s">
        <v>53</v>
      </c>
      <c r="F127" s="6" t="s">
        <v>625</v>
      </c>
      <c r="G127" s="6" t="n">
        <v>97</v>
      </c>
      <c r="H127" s="6" t="s">
        <v>55</v>
      </c>
      <c r="I127" s="8" t="s">
        <v>56</v>
      </c>
      <c r="J127" s="6" t="s">
        <v>626</v>
      </c>
      <c r="K127" s="8" t="s">
        <v>58</v>
      </c>
      <c r="L127" s="6"/>
      <c r="M127" s="6" t="s">
        <v>59</v>
      </c>
      <c r="N127" s="6" t="n">
        <v>1</v>
      </c>
      <c r="O127" s="6" t="n">
        <v>1</v>
      </c>
      <c r="P127" s="9" t="n">
        <v>0.8</v>
      </c>
      <c r="Q127" s="8" t="s">
        <v>60</v>
      </c>
      <c r="R127" s="6" t="s">
        <v>462</v>
      </c>
      <c r="S127" s="6" t="s">
        <v>527</v>
      </c>
      <c r="T127" s="6" t="s">
        <v>192</v>
      </c>
    </row>
    <row r="128" customFormat="false" ht="35.05" hidden="false" customHeight="false" outlineLevel="0" collapsed="false">
      <c r="A128" s="6" t="n">
        <v>127</v>
      </c>
      <c r="B128" s="7" t="n">
        <v>46320</v>
      </c>
      <c r="C128" s="6" t="s">
        <v>53</v>
      </c>
      <c r="D128" s="6" t="s">
        <v>627</v>
      </c>
      <c r="E128" s="6" t="s">
        <v>51</v>
      </c>
      <c r="F128" s="6" t="s">
        <v>628</v>
      </c>
      <c r="G128" s="6" t="n">
        <v>86</v>
      </c>
      <c r="H128" s="6" t="s">
        <v>55</v>
      </c>
      <c r="I128" s="8" t="s">
        <v>56</v>
      </c>
      <c r="J128" s="6" t="s">
        <v>626</v>
      </c>
      <c r="K128" s="8" t="s">
        <v>58</v>
      </c>
      <c r="L128" s="6"/>
      <c r="M128" s="6" t="s">
        <v>59</v>
      </c>
      <c r="N128" s="6" t="n">
        <v>1</v>
      </c>
      <c r="O128" s="6" t="n">
        <v>1</v>
      </c>
      <c r="P128" s="9" t="n">
        <v>0.8</v>
      </c>
      <c r="Q128" s="8" t="s">
        <v>60</v>
      </c>
      <c r="R128" s="6" t="s">
        <v>462</v>
      </c>
      <c r="S128" s="6" t="s">
        <v>463</v>
      </c>
      <c r="T128" s="6" t="s">
        <v>192</v>
      </c>
    </row>
    <row r="129" customFormat="false" ht="57.45" hidden="false" customHeight="false" outlineLevel="0" collapsed="false">
      <c r="A129" s="6" t="n">
        <v>128</v>
      </c>
      <c r="B129" s="7" t="n">
        <v>46321</v>
      </c>
      <c r="C129" s="6" t="s">
        <v>629</v>
      </c>
      <c r="D129" s="6" t="s">
        <v>630</v>
      </c>
      <c r="E129" s="6" t="s">
        <v>53</v>
      </c>
      <c r="F129" s="6" t="s">
        <v>631</v>
      </c>
      <c r="G129" s="6"/>
      <c r="H129" s="6" t="s">
        <v>55</v>
      </c>
      <c r="I129" s="8" t="s">
        <v>56</v>
      </c>
      <c r="J129" s="6" t="s">
        <v>632</v>
      </c>
      <c r="K129" s="8" t="s">
        <v>58</v>
      </c>
      <c r="L129" s="6"/>
      <c r="M129" s="6" t="s">
        <v>59</v>
      </c>
      <c r="N129" s="6" t="n">
        <v>2</v>
      </c>
      <c r="O129" s="6" t="n">
        <v>1</v>
      </c>
      <c r="P129" s="9" t="n">
        <v>0.8</v>
      </c>
      <c r="Q129" s="8" t="s">
        <v>60</v>
      </c>
      <c r="R129" s="6" t="s">
        <v>462</v>
      </c>
      <c r="S129" s="6"/>
      <c r="T129" s="6" t="s">
        <v>180</v>
      </c>
    </row>
    <row r="130" customFormat="false" ht="35.05" hidden="false" customHeight="false" outlineLevel="0" collapsed="false">
      <c r="A130" s="6" t="n">
        <v>300</v>
      </c>
      <c r="B130" s="7" t="n">
        <v>29163</v>
      </c>
      <c r="C130" s="6" t="s">
        <v>633</v>
      </c>
      <c r="D130" s="6" t="s">
        <v>634</v>
      </c>
      <c r="E130" s="6" t="s">
        <v>635</v>
      </c>
      <c r="F130" s="6" t="s">
        <v>636</v>
      </c>
      <c r="G130" s="6"/>
      <c r="H130" s="6" t="s">
        <v>637</v>
      </c>
      <c r="I130" s="8" t="s">
        <v>56</v>
      </c>
      <c r="J130" s="6" t="s">
        <v>638</v>
      </c>
      <c r="K130" s="8" t="s">
        <v>58</v>
      </c>
      <c r="L130" s="6"/>
      <c r="M130" s="6" t="s">
        <v>70</v>
      </c>
      <c r="N130" s="6" t="n">
        <v>2</v>
      </c>
      <c r="O130" s="6" t="n">
        <v>2</v>
      </c>
      <c r="P130" s="9" t="n">
        <v>0.96</v>
      </c>
      <c r="Q130" s="8" t="s">
        <v>60</v>
      </c>
      <c r="R130" s="6" t="s">
        <v>639</v>
      </c>
      <c r="S130" s="6" t="s">
        <v>640</v>
      </c>
      <c r="T130" s="6" t="s">
        <v>62</v>
      </c>
    </row>
    <row r="131" customFormat="false" ht="23.85" hidden="false" customHeight="false" outlineLevel="0" collapsed="false">
      <c r="A131" s="6" t="n">
        <v>301</v>
      </c>
      <c r="B131" s="7" t="n">
        <v>29171</v>
      </c>
      <c r="C131" s="6" t="s">
        <v>51</v>
      </c>
      <c r="D131" s="6" t="s">
        <v>641</v>
      </c>
      <c r="E131" s="6" t="s">
        <v>53</v>
      </c>
      <c r="F131" s="6" t="s">
        <v>642</v>
      </c>
      <c r="G131" s="6" t="n">
        <v>300</v>
      </c>
      <c r="H131" s="6" t="s">
        <v>55</v>
      </c>
      <c r="I131" s="8" t="s">
        <v>56</v>
      </c>
      <c r="J131" s="6" t="s">
        <v>643</v>
      </c>
      <c r="K131" s="8" t="s">
        <v>58</v>
      </c>
      <c r="L131" s="6"/>
      <c r="M131" s="6" t="s">
        <v>365</v>
      </c>
      <c r="N131" s="6" t="n">
        <v>1</v>
      </c>
      <c r="O131" s="6" t="n">
        <v>1</v>
      </c>
      <c r="P131" s="9" t="n">
        <v>0.8</v>
      </c>
      <c r="Q131" s="8" t="s">
        <v>60</v>
      </c>
      <c r="R131" s="6" t="s">
        <v>639</v>
      </c>
      <c r="S131" s="6" t="s">
        <v>640</v>
      </c>
      <c r="T131" s="6" t="s">
        <v>297</v>
      </c>
    </row>
    <row r="132" customFormat="false" ht="23.85" hidden="false" customHeight="false" outlineLevel="0" collapsed="false">
      <c r="A132" s="6" t="n">
        <v>302</v>
      </c>
      <c r="B132" s="7" t="n">
        <v>29173</v>
      </c>
      <c r="C132" s="6" t="s">
        <v>51</v>
      </c>
      <c r="D132" s="6" t="s">
        <v>644</v>
      </c>
      <c r="E132" s="6" t="s">
        <v>53</v>
      </c>
      <c r="F132" s="6" t="s">
        <v>645</v>
      </c>
      <c r="G132" s="6" t="n">
        <v>300</v>
      </c>
      <c r="H132" s="6" t="s">
        <v>55</v>
      </c>
      <c r="I132" s="8" t="s">
        <v>56</v>
      </c>
      <c r="J132" s="6" t="s">
        <v>646</v>
      </c>
      <c r="K132" s="8" t="s">
        <v>58</v>
      </c>
      <c r="L132" s="6"/>
      <c r="M132" s="6" t="s">
        <v>365</v>
      </c>
      <c r="N132" s="6" t="n">
        <v>1</v>
      </c>
      <c r="O132" s="6" t="n">
        <v>1</v>
      </c>
      <c r="P132" s="9" t="n">
        <v>0.8</v>
      </c>
      <c r="Q132" s="8" t="s">
        <v>60</v>
      </c>
      <c r="R132" s="6" t="s">
        <v>639</v>
      </c>
      <c r="S132" s="6" t="s">
        <v>640</v>
      </c>
      <c r="T132" s="6" t="s">
        <v>297</v>
      </c>
    </row>
    <row r="133" customFormat="false" ht="23.85" hidden="false" customHeight="false" outlineLevel="0" collapsed="false">
      <c r="A133" s="6" t="n">
        <v>303</v>
      </c>
      <c r="B133" s="7" t="n">
        <v>29318</v>
      </c>
      <c r="C133" s="6" t="s">
        <v>51</v>
      </c>
      <c r="D133" s="6" t="s">
        <v>647</v>
      </c>
      <c r="E133" s="6" t="s">
        <v>53</v>
      </c>
      <c r="F133" s="6" t="s">
        <v>648</v>
      </c>
      <c r="G133" s="6" t="n">
        <v>300</v>
      </c>
      <c r="H133" s="6" t="s">
        <v>55</v>
      </c>
      <c r="I133" s="8" t="s">
        <v>56</v>
      </c>
      <c r="J133" s="6" t="s">
        <v>649</v>
      </c>
      <c r="K133" s="8" t="s">
        <v>58</v>
      </c>
      <c r="L133" s="6"/>
      <c r="M133" s="6" t="s">
        <v>365</v>
      </c>
      <c r="N133" s="6" t="n">
        <v>1</v>
      </c>
      <c r="O133" s="6" t="n">
        <v>1</v>
      </c>
      <c r="P133" s="9" t="n">
        <v>0.8</v>
      </c>
      <c r="Q133" s="8" t="s">
        <v>60</v>
      </c>
      <c r="R133" s="6" t="s">
        <v>639</v>
      </c>
      <c r="S133" s="6" t="s">
        <v>640</v>
      </c>
      <c r="T133" s="6" t="s">
        <v>62</v>
      </c>
    </row>
    <row r="134" customFormat="false" ht="23.85" hidden="false" customHeight="false" outlineLevel="0" collapsed="false">
      <c r="A134" s="6" t="n">
        <v>304</v>
      </c>
      <c r="B134" s="7" t="n">
        <v>29335</v>
      </c>
      <c r="C134" s="6" t="s">
        <v>51</v>
      </c>
      <c r="D134" s="6" t="s">
        <v>650</v>
      </c>
      <c r="E134" s="6" t="s">
        <v>53</v>
      </c>
      <c r="F134" s="6" t="s">
        <v>651</v>
      </c>
      <c r="G134" s="6" t="n">
        <v>300</v>
      </c>
      <c r="H134" s="6" t="s">
        <v>652</v>
      </c>
      <c r="I134" s="8" t="s">
        <v>56</v>
      </c>
      <c r="J134" s="6" t="s">
        <v>653</v>
      </c>
      <c r="K134" s="8" t="s">
        <v>58</v>
      </c>
      <c r="L134" s="6"/>
      <c r="M134" s="6" t="s">
        <v>70</v>
      </c>
      <c r="N134" s="6" t="n">
        <v>1</v>
      </c>
      <c r="O134" s="6" t="n">
        <v>1</v>
      </c>
      <c r="P134" s="9" t="n">
        <v>0.8</v>
      </c>
      <c r="Q134" s="8" t="s">
        <v>60</v>
      </c>
      <c r="R134" s="6" t="s">
        <v>639</v>
      </c>
      <c r="S134" s="6" t="s">
        <v>640</v>
      </c>
      <c r="T134" s="6" t="s">
        <v>62</v>
      </c>
    </row>
    <row r="135" customFormat="false" ht="35.05" hidden="false" customHeight="false" outlineLevel="0" collapsed="false">
      <c r="A135" s="6" t="n">
        <v>305</v>
      </c>
      <c r="B135" s="7" t="n">
        <v>29527</v>
      </c>
      <c r="C135" s="6" t="s">
        <v>53</v>
      </c>
      <c r="D135" s="6" t="s">
        <v>654</v>
      </c>
      <c r="E135" s="6" t="s">
        <v>51</v>
      </c>
      <c r="F135" s="6" t="s">
        <v>655</v>
      </c>
      <c r="G135" s="6"/>
      <c r="H135" s="6" t="s">
        <v>55</v>
      </c>
      <c r="I135" s="8" t="s">
        <v>56</v>
      </c>
      <c r="J135" s="6" t="s">
        <v>656</v>
      </c>
      <c r="K135" s="8" t="s">
        <v>58</v>
      </c>
      <c r="L135" s="6"/>
      <c r="M135" s="6" t="s">
        <v>59</v>
      </c>
      <c r="N135" s="6" t="n">
        <v>1</v>
      </c>
      <c r="O135" s="6" t="n">
        <v>1</v>
      </c>
      <c r="P135" s="9" t="n">
        <v>0.8</v>
      </c>
      <c r="Q135" s="8" t="s">
        <v>60</v>
      </c>
      <c r="R135" s="6" t="s">
        <v>639</v>
      </c>
      <c r="S135" s="6" t="s">
        <v>657</v>
      </c>
      <c r="T135" s="6" t="s">
        <v>62</v>
      </c>
    </row>
    <row r="136" customFormat="false" ht="35.05" hidden="false" customHeight="false" outlineLevel="0" collapsed="false">
      <c r="A136" s="6" t="n">
        <v>306</v>
      </c>
      <c r="B136" s="7" t="n">
        <v>29605</v>
      </c>
      <c r="C136" s="6" t="s">
        <v>658</v>
      </c>
      <c r="D136" s="6" t="s">
        <v>659</v>
      </c>
      <c r="E136" s="6" t="s">
        <v>53</v>
      </c>
      <c r="F136" s="6" t="s">
        <v>660</v>
      </c>
      <c r="G136" s="6" t="n">
        <v>305</v>
      </c>
      <c r="H136" s="6" t="s">
        <v>55</v>
      </c>
      <c r="I136" s="8" t="s">
        <v>56</v>
      </c>
      <c r="J136" s="6" t="s">
        <v>661</v>
      </c>
      <c r="K136" s="8" t="s">
        <v>58</v>
      </c>
      <c r="L136" s="6"/>
      <c r="M136" s="6" t="s">
        <v>59</v>
      </c>
      <c r="N136" s="6" t="n">
        <v>1</v>
      </c>
      <c r="O136" s="6" t="n">
        <v>1</v>
      </c>
      <c r="P136" s="9" t="n">
        <v>0.8</v>
      </c>
      <c r="Q136" s="8" t="s">
        <v>60</v>
      </c>
      <c r="R136" s="6" t="s">
        <v>639</v>
      </c>
      <c r="S136" s="6" t="s">
        <v>657</v>
      </c>
      <c r="T136" s="6" t="s">
        <v>62</v>
      </c>
    </row>
    <row r="137" customFormat="false" ht="23.85" hidden="false" customHeight="false" outlineLevel="0" collapsed="false">
      <c r="A137" s="6" t="n">
        <v>307</v>
      </c>
      <c r="B137" s="7" t="n">
        <v>29606</v>
      </c>
      <c r="C137" s="6" t="s">
        <v>53</v>
      </c>
      <c r="D137" s="6" t="s">
        <v>662</v>
      </c>
      <c r="E137" s="6" t="s">
        <v>51</v>
      </c>
      <c r="F137" s="6" t="s">
        <v>663</v>
      </c>
      <c r="G137" s="6" t="n">
        <v>306</v>
      </c>
      <c r="H137" s="6" t="s">
        <v>55</v>
      </c>
      <c r="I137" s="8" t="s">
        <v>56</v>
      </c>
      <c r="J137" s="6" t="s">
        <v>661</v>
      </c>
      <c r="K137" s="8" t="s">
        <v>58</v>
      </c>
      <c r="L137" s="6"/>
      <c r="M137" s="6" t="s">
        <v>407</v>
      </c>
      <c r="N137" s="6" t="n">
        <v>1</v>
      </c>
      <c r="O137" s="6" t="n">
        <v>1</v>
      </c>
      <c r="P137" s="9" t="n">
        <v>0.8</v>
      </c>
      <c r="Q137" s="8" t="s">
        <v>60</v>
      </c>
      <c r="R137" s="6" t="s">
        <v>639</v>
      </c>
      <c r="S137" s="6" t="s">
        <v>657</v>
      </c>
      <c r="T137" s="6" t="s">
        <v>62</v>
      </c>
    </row>
    <row r="138" customFormat="false" ht="46.25" hidden="false" customHeight="false" outlineLevel="0" collapsed="false">
      <c r="A138" s="6" t="n">
        <v>308</v>
      </c>
      <c r="B138" s="7" t="n">
        <v>30612</v>
      </c>
      <c r="C138" s="6" t="s">
        <v>664</v>
      </c>
      <c r="D138" s="6" t="s">
        <v>665</v>
      </c>
      <c r="E138" s="6" t="s">
        <v>666</v>
      </c>
      <c r="F138" s="6" t="s">
        <v>667</v>
      </c>
      <c r="G138" s="6"/>
      <c r="H138" s="6" t="s">
        <v>668</v>
      </c>
      <c r="I138" s="8" t="s">
        <v>56</v>
      </c>
      <c r="J138" s="6" t="s">
        <v>669</v>
      </c>
      <c r="K138" s="8" t="s">
        <v>58</v>
      </c>
      <c r="L138" s="6"/>
      <c r="M138" s="6" t="s">
        <v>70</v>
      </c>
      <c r="N138" s="6" t="n">
        <v>1</v>
      </c>
      <c r="O138" s="6" t="n">
        <v>1</v>
      </c>
      <c r="P138" s="9" t="n">
        <v>0.8</v>
      </c>
      <c r="Q138" s="8" t="s">
        <v>60</v>
      </c>
      <c r="R138" s="6" t="s">
        <v>670</v>
      </c>
      <c r="S138" s="6"/>
      <c r="T138" s="6" t="s">
        <v>62</v>
      </c>
    </row>
    <row r="139" customFormat="false" ht="23.85" hidden="false" customHeight="false" outlineLevel="0" collapsed="false">
      <c r="A139" s="6" t="n">
        <v>309</v>
      </c>
      <c r="B139" s="7" t="n">
        <v>31376</v>
      </c>
      <c r="C139" s="6" t="s">
        <v>671</v>
      </c>
      <c r="D139" s="6" t="s">
        <v>672</v>
      </c>
      <c r="E139" s="6" t="s">
        <v>53</v>
      </c>
      <c r="F139" s="6" t="s">
        <v>673</v>
      </c>
      <c r="G139" s="6"/>
      <c r="H139" s="6" t="s">
        <v>55</v>
      </c>
      <c r="I139" s="8" t="s">
        <v>56</v>
      </c>
      <c r="J139" s="6" t="s">
        <v>674</v>
      </c>
      <c r="K139" s="8" t="s">
        <v>58</v>
      </c>
      <c r="L139" s="6"/>
      <c r="M139" s="6" t="s">
        <v>407</v>
      </c>
      <c r="N139" s="6" t="n">
        <v>1</v>
      </c>
      <c r="O139" s="6" t="n">
        <v>1</v>
      </c>
      <c r="P139" s="9" t="n">
        <v>0.8</v>
      </c>
      <c r="Q139" s="8" t="s">
        <v>60</v>
      </c>
      <c r="R139" s="6" t="s">
        <v>670</v>
      </c>
      <c r="S139" s="6"/>
      <c r="T139" s="6" t="s">
        <v>62</v>
      </c>
    </row>
    <row r="140" customFormat="false" ht="23.85" hidden="false" customHeight="false" outlineLevel="0" collapsed="false">
      <c r="A140" s="6" t="n">
        <v>310</v>
      </c>
      <c r="B140" s="7" t="n">
        <v>31460</v>
      </c>
      <c r="C140" s="6" t="s">
        <v>675</v>
      </c>
      <c r="D140" s="6" t="s">
        <v>676</v>
      </c>
      <c r="E140" s="6" t="s">
        <v>53</v>
      </c>
      <c r="F140" s="6" t="s">
        <v>677</v>
      </c>
      <c r="G140" s="6"/>
      <c r="H140" s="6" t="s">
        <v>55</v>
      </c>
      <c r="I140" s="8" t="s">
        <v>56</v>
      </c>
      <c r="J140" s="6" t="s">
        <v>674</v>
      </c>
      <c r="K140" s="8" t="s">
        <v>58</v>
      </c>
      <c r="L140" s="6"/>
      <c r="M140" s="6" t="s">
        <v>407</v>
      </c>
      <c r="N140" s="6" t="n">
        <v>1</v>
      </c>
      <c r="O140" s="6" t="n">
        <v>1</v>
      </c>
      <c r="P140" s="9" t="n">
        <v>0.8</v>
      </c>
      <c r="Q140" s="8" t="s">
        <v>60</v>
      </c>
      <c r="R140" s="6" t="s">
        <v>670</v>
      </c>
      <c r="S140" s="6"/>
      <c r="T140" s="6" t="s">
        <v>62</v>
      </c>
    </row>
    <row r="141" customFormat="false" ht="23.85" hidden="false" customHeight="false" outlineLevel="0" collapsed="false">
      <c r="A141" s="6" t="n">
        <v>311</v>
      </c>
      <c r="B141" s="7" t="n">
        <v>31557</v>
      </c>
      <c r="C141" s="6" t="s">
        <v>678</v>
      </c>
      <c r="D141" s="6" t="s">
        <v>679</v>
      </c>
      <c r="E141" s="6" t="s">
        <v>53</v>
      </c>
      <c r="F141" s="6" t="s">
        <v>680</v>
      </c>
      <c r="G141" s="6"/>
      <c r="H141" s="6" t="s">
        <v>55</v>
      </c>
      <c r="I141" s="8" t="s">
        <v>56</v>
      </c>
      <c r="J141" s="6" t="s">
        <v>674</v>
      </c>
      <c r="K141" s="8" t="s">
        <v>58</v>
      </c>
      <c r="L141" s="6"/>
      <c r="M141" s="6" t="s">
        <v>59</v>
      </c>
      <c r="N141" s="6" t="n">
        <v>1</v>
      </c>
      <c r="O141" s="6" t="n">
        <v>1</v>
      </c>
      <c r="P141" s="9" t="n">
        <v>0.8</v>
      </c>
      <c r="Q141" s="8" t="s">
        <v>60</v>
      </c>
      <c r="R141" s="6" t="s">
        <v>670</v>
      </c>
      <c r="S141" s="6"/>
      <c r="T141" s="6" t="s">
        <v>62</v>
      </c>
    </row>
    <row r="142" customFormat="false" ht="35.05" hidden="false" customHeight="false" outlineLevel="0" collapsed="false">
      <c r="A142" s="6" t="n">
        <v>312</v>
      </c>
      <c r="B142" s="7" t="n">
        <v>31729</v>
      </c>
      <c r="C142" s="6" t="s">
        <v>51</v>
      </c>
      <c r="D142" s="6" t="s">
        <v>681</v>
      </c>
      <c r="E142" s="6" t="s">
        <v>53</v>
      </c>
      <c r="F142" s="6" t="s">
        <v>682</v>
      </c>
      <c r="G142" s="6"/>
      <c r="H142" s="6" t="s">
        <v>55</v>
      </c>
      <c r="I142" s="8" t="s">
        <v>56</v>
      </c>
      <c r="J142" s="6" t="s">
        <v>683</v>
      </c>
      <c r="K142" s="8" t="s">
        <v>58</v>
      </c>
      <c r="L142" s="6"/>
      <c r="M142" s="6" t="s">
        <v>59</v>
      </c>
      <c r="N142" s="6" t="n">
        <v>1</v>
      </c>
      <c r="O142" s="6" t="n">
        <v>1</v>
      </c>
      <c r="P142" s="9" t="n">
        <v>0.8</v>
      </c>
      <c r="Q142" s="8" t="s">
        <v>60</v>
      </c>
      <c r="R142" s="6" t="s">
        <v>670</v>
      </c>
      <c r="S142" s="6"/>
      <c r="T142" s="6" t="s">
        <v>62</v>
      </c>
    </row>
    <row r="143" customFormat="false" ht="23.85" hidden="false" customHeight="false" outlineLevel="0" collapsed="false">
      <c r="A143" s="6" t="n">
        <v>313</v>
      </c>
      <c r="B143" s="7" t="n">
        <v>31978</v>
      </c>
      <c r="C143" s="6" t="s">
        <v>684</v>
      </c>
      <c r="D143" s="6" t="s">
        <v>685</v>
      </c>
      <c r="E143" s="6" t="s">
        <v>686</v>
      </c>
      <c r="F143" s="6" t="s">
        <v>687</v>
      </c>
      <c r="G143" s="6"/>
      <c r="H143" s="6" t="s">
        <v>55</v>
      </c>
      <c r="I143" s="8" t="s">
        <v>56</v>
      </c>
      <c r="J143" s="6" t="s">
        <v>688</v>
      </c>
      <c r="K143" s="8" t="s">
        <v>58</v>
      </c>
      <c r="L143" s="6"/>
      <c r="M143" s="6" t="s">
        <v>59</v>
      </c>
      <c r="N143" s="6" t="n">
        <v>1</v>
      </c>
      <c r="O143" s="6" t="n">
        <v>1</v>
      </c>
      <c r="P143" s="9" t="n">
        <v>0.8</v>
      </c>
      <c r="Q143" s="8" t="s">
        <v>60</v>
      </c>
      <c r="R143" s="6" t="s">
        <v>670</v>
      </c>
      <c r="S143" s="6"/>
      <c r="T143" s="6" t="s">
        <v>62</v>
      </c>
    </row>
    <row r="144" customFormat="false" ht="23.85" hidden="false" customHeight="false" outlineLevel="0" collapsed="false">
      <c r="A144" s="6" t="n">
        <v>314</v>
      </c>
      <c r="B144" s="7" t="n">
        <v>31980</v>
      </c>
      <c r="C144" s="6" t="s">
        <v>51</v>
      </c>
      <c r="D144" s="6" t="s">
        <v>689</v>
      </c>
      <c r="E144" s="6" t="s">
        <v>690</v>
      </c>
      <c r="F144" s="6" t="s">
        <v>691</v>
      </c>
      <c r="G144" s="6"/>
      <c r="H144" s="6" t="s">
        <v>55</v>
      </c>
      <c r="I144" s="8" t="s">
        <v>56</v>
      </c>
      <c r="J144" s="6" t="s">
        <v>692</v>
      </c>
      <c r="K144" s="8" t="s">
        <v>58</v>
      </c>
      <c r="L144" s="6"/>
      <c r="M144" s="6" t="s">
        <v>500</v>
      </c>
      <c r="N144" s="6" t="n">
        <v>1</v>
      </c>
      <c r="O144" s="6" t="n">
        <v>1</v>
      </c>
      <c r="P144" s="9" t="n">
        <v>0.8</v>
      </c>
      <c r="Q144" s="8" t="s">
        <v>60</v>
      </c>
      <c r="R144" s="6" t="s">
        <v>693</v>
      </c>
      <c r="S144" s="6" t="s">
        <v>694</v>
      </c>
      <c r="T144" s="6" t="s">
        <v>62</v>
      </c>
    </row>
    <row r="145" customFormat="false" ht="23.85" hidden="false" customHeight="false" outlineLevel="0" collapsed="false">
      <c r="A145" s="6" t="n">
        <v>315</v>
      </c>
      <c r="B145" s="7" t="n">
        <v>31982</v>
      </c>
      <c r="C145" s="6" t="s">
        <v>695</v>
      </c>
      <c r="D145" s="6" t="s">
        <v>696</v>
      </c>
      <c r="E145" s="6" t="s">
        <v>697</v>
      </c>
      <c r="F145" s="6" t="s">
        <v>698</v>
      </c>
      <c r="G145" s="6" t="n">
        <v>314</v>
      </c>
      <c r="H145" s="6" t="s">
        <v>699</v>
      </c>
      <c r="I145" s="8" t="s">
        <v>56</v>
      </c>
      <c r="J145" s="6" t="s">
        <v>700</v>
      </c>
      <c r="K145" s="8" t="s">
        <v>58</v>
      </c>
      <c r="L145" s="6"/>
      <c r="M145" s="6" t="s">
        <v>84</v>
      </c>
      <c r="N145" s="6" t="n">
        <v>2</v>
      </c>
      <c r="O145" s="6" t="n">
        <v>2</v>
      </c>
      <c r="P145" s="9" t="n">
        <v>0.96</v>
      </c>
      <c r="Q145" s="8" t="s">
        <v>60</v>
      </c>
      <c r="R145" s="6" t="s">
        <v>693</v>
      </c>
      <c r="S145" s="6" t="s">
        <v>694</v>
      </c>
      <c r="T145" s="6" t="s">
        <v>62</v>
      </c>
    </row>
    <row r="146" customFormat="false" ht="23.85" hidden="false" customHeight="false" outlineLevel="0" collapsed="false">
      <c r="A146" s="6" t="n">
        <v>316</v>
      </c>
      <c r="B146" s="7" t="n">
        <v>32041</v>
      </c>
      <c r="C146" s="6" t="s">
        <v>51</v>
      </c>
      <c r="D146" s="6" t="s">
        <v>701</v>
      </c>
      <c r="E146" s="6" t="s">
        <v>702</v>
      </c>
      <c r="F146" s="6" t="s">
        <v>703</v>
      </c>
      <c r="G146" s="6"/>
      <c r="H146" s="6" t="s">
        <v>704</v>
      </c>
      <c r="I146" s="8" t="s">
        <v>56</v>
      </c>
      <c r="J146" s="6" t="s">
        <v>705</v>
      </c>
      <c r="K146" s="8" t="s">
        <v>58</v>
      </c>
      <c r="L146" s="6"/>
      <c r="M146" s="6" t="s">
        <v>84</v>
      </c>
      <c r="N146" s="6" t="n">
        <v>2</v>
      </c>
      <c r="O146" s="6" t="n">
        <v>2</v>
      </c>
      <c r="P146" s="9" t="n">
        <v>0.96</v>
      </c>
      <c r="Q146" s="8" t="s">
        <v>60</v>
      </c>
      <c r="R146" s="6" t="s">
        <v>693</v>
      </c>
      <c r="S146" s="6"/>
      <c r="T146" s="6" t="s">
        <v>62</v>
      </c>
    </row>
    <row r="147" customFormat="false" ht="35.05" hidden="false" customHeight="false" outlineLevel="0" collapsed="false">
      <c r="A147" s="6" t="n">
        <v>317</v>
      </c>
      <c r="B147" s="7" t="n">
        <v>32058</v>
      </c>
      <c r="C147" s="6" t="s">
        <v>51</v>
      </c>
      <c r="D147" s="6" t="s">
        <v>706</v>
      </c>
      <c r="E147" s="6" t="s">
        <v>707</v>
      </c>
      <c r="F147" s="6" t="s">
        <v>708</v>
      </c>
      <c r="G147" s="6"/>
      <c r="H147" s="6" t="s">
        <v>709</v>
      </c>
      <c r="I147" s="8" t="s">
        <v>56</v>
      </c>
      <c r="J147" s="6" t="s">
        <v>710</v>
      </c>
      <c r="K147" s="8" t="s">
        <v>58</v>
      </c>
      <c r="L147" s="6"/>
      <c r="M147" s="6" t="s">
        <v>70</v>
      </c>
      <c r="N147" s="6" t="n">
        <v>2</v>
      </c>
      <c r="O147" s="6" t="n">
        <v>2</v>
      </c>
      <c r="P147" s="9" t="n">
        <v>0.96</v>
      </c>
      <c r="Q147" s="8" t="s">
        <v>60</v>
      </c>
      <c r="R147" s="6" t="s">
        <v>693</v>
      </c>
      <c r="S147" s="6"/>
      <c r="T147" s="6" t="s">
        <v>62</v>
      </c>
    </row>
    <row r="148" customFormat="false" ht="23.85" hidden="false" customHeight="false" outlineLevel="0" collapsed="false">
      <c r="A148" s="6" t="n">
        <v>318</v>
      </c>
      <c r="B148" s="7" t="n">
        <v>32065</v>
      </c>
      <c r="C148" s="6" t="s">
        <v>53</v>
      </c>
      <c r="D148" s="6" t="s">
        <v>711</v>
      </c>
      <c r="E148" s="6" t="s">
        <v>712</v>
      </c>
      <c r="F148" s="6" t="s">
        <v>713</v>
      </c>
      <c r="G148" s="6"/>
      <c r="H148" s="6" t="s">
        <v>714</v>
      </c>
      <c r="I148" s="8" t="s">
        <v>56</v>
      </c>
      <c r="J148" s="6" t="s">
        <v>715</v>
      </c>
      <c r="K148" s="8" t="s">
        <v>58</v>
      </c>
      <c r="L148" s="6"/>
      <c r="M148" s="6" t="s">
        <v>84</v>
      </c>
      <c r="N148" s="6" t="n">
        <v>2</v>
      </c>
      <c r="O148" s="6" t="n">
        <v>2</v>
      </c>
      <c r="P148" s="9" t="n">
        <v>0.96</v>
      </c>
      <c r="Q148" s="8" t="s">
        <v>60</v>
      </c>
      <c r="R148" s="6" t="s">
        <v>693</v>
      </c>
      <c r="S148" s="6"/>
      <c r="T148" s="6" t="s">
        <v>297</v>
      </c>
    </row>
    <row r="149" customFormat="false" ht="23.85" hidden="false" customHeight="false" outlineLevel="0" collapsed="false">
      <c r="A149" s="6" t="n">
        <v>319</v>
      </c>
      <c r="B149" s="7" t="n">
        <v>32066</v>
      </c>
      <c r="C149" s="6" t="s">
        <v>53</v>
      </c>
      <c r="D149" s="6" t="s">
        <v>716</v>
      </c>
      <c r="E149" s="6" t="s">
        <v>717</v>
      </c>
      <c r="F149" s="6" t="s">
        <v>718</v>
      </c>
      <c r="G149" s="6"/>
      <c r="H149" s="6" t="s">
        <v>719</v>
      </c>
      <c r="I149" s="8" t="s">
        <v>56</v>
      </c>
      <c r="J149" s="6" t="s">
        <v>720</v>
      </c>
      <c r="K149" s="8" t="s">
        <v>58</v>
      </c>
      <c r="L149" s="6"/>
      <c r="M149" s="6" t="s">
        <v>70</v>
      </c>
      <c r="N149" s="6" t="n">
        <v>3</v>
      </c>
      <c r="O149" s="6" t="n">
        <v>3</v>
      </c>
      <c r="P149" s="9" t="n">
        <v>0.99</v>
      </c>
      <c r="Q149" s="8" t="s">
        <v>60</v>
      </c>
      <c r="R149" s="6" t="s">
        <v>693</v>
      </c>
      <c r="S149" s="6" t="s">
        <v>721</v>
      </c>
      <c r="T149" s="6" t="s">
        <v>278</v>
      </c>
    </row>
    <row r="150" customFormat="false" ht="35.05" hidden="false" customHeight="false" outlineLevel="0" collapsed="false">
      <c r="A150" s="6" t="n">
        <v>320</v>
      </c>
      <c r="B150" s="7" t="n">
        <v>32069</v>
      </c>
      <c r="C150" s="6" t="s">
        <v>51</v>
      </c>
      <c r="D150" s="6" t="s">
        <v>722</v>
      </c>
      <c r="E150" s="6" t="s">
        <v>723</v>
      </c>
      <c r="F150" s="6" t="s">
        <v>724</v>
      </c>
      <c r="G150" s="6" t="n">
        <v>319</v>
      </c>
      <c r="H150" s="6" t="s">
        <v>725</v>
      </c>
      <c r="I150" s="8" t="s">
        <v>56</v>
      </c>
      <c r="J150" s="6" t="s">
        <v>726</v>
      </c>
      <c r="K150" s="8" t="s">
        <v>58</v>
      </c>
      <c r="L150" s="6"/>
      <c r="M150" s="6" t="s">
        <v>70</v>
      </c>
      <c r="N150" s="6" t="n">
        <v>2</v>
      </c>
      <c r="O150" s="6" t="n">
        <v>2</v>
      </c>
      <c r="P150" s="9" t="n">
        <v>0.96</v>
      </c>
      <c r="Q150" s="8" t="s">
        <v>60</v>
      </c>
      <c r="R150" s="6" t="s">
        <v>693</v>
      </c>
      <c r="S150" s="6" t="s">
        <v>721</v>
      </c>
      <c r="T150" s="6" t="s">
        <v>360</v>
      </c>
    </row>
    <row r="151" customFormat="false" ht="23.85" hidden="false" customHeight="false" outlineLevel="0" collapsed="false">
      <c r="A151" s="6" t="n">
        <v>321</v>
      </c>
      <c r="B151" s="7" t="n">
        <v>32072</v>
      </c>
      <c r="C151" s="6" t="s">
        <v>53</v>
      </c>
      <c r="D151" s="6" t="s">
        <v>727</v>
      </c>
      <c r="E151" s="6" t="s">
        <v>728</v>
      </c>
      <c r="F151" s="6" t="s">
        <v>729</v>
      </c>
      <c r="G151" s="6" t="n">
        <v>320</v>
      </c>
      <c r="H151" s="6" t="s">
        <v>730</v>
      </c>
      <c r="I151" s="8" t="s">
        <v>56</v>
      </c>
      <c r="J151" s="6" t="s">
        <v>731</v>
      </c>
      <c r="K151" s="8" t="s">
        <v>58</v>
      </c>
      <c r="L151" s="6"/>
      <c r="M151" s="6" t="s">
        <v>70</v>
      </c>
      <c r="N151" s="6" t="n">
        <v>1</v>
      </c>
      <c r="O151" s="6" t="n">
        <v>1</v>
      </c>
      <c r="P151" s="9" t="n">
        <v>0.8</v>
      </c>
      <c r="Q151" s="8" t="s">
        <v>60</v>
      </c>
      <c r="R151" s="6" t="s">
        <v>693</v>
      </c>
      <c r="S151" s="6" t="s">
        <v>721</v>
      </c>
      <c r="T151" s="6" t="s">
        <v>168</v>
      </c>
    </row>
    <row r="152" customFormat="false" ht="23.85" hidden="false" customHeight="false" outlineLevel="0" collapsed="false">
      <c r="A152" s="6" t="n">
        <v>322</v>
      </c>
      <c r="B152" s="7" t="n">
        <v>32247</v>
      </c>
      <c r="C152" s="6" t="s">
        <v>695</v>
      </c>
      <c r="D152" s="6" t="s">
        <v>732</v>
      </c>
      <c r="E152" s="6" t="s">
        <v>690</v>
      </c>
      <c r="F152" s="6" t="s">
        <v>733</v>
      </c>
      <c r="G152" s="6"/>
      <c r="H152" s="6" t="s">
        <v>734</v>
      </c>
      <c r="I152" s="8" t="s">
        <v>56</v>
      </c>
      <c r="J152" s="6" t="s">
        <v>735</v>
      </c>
      <c r="K152" s="8" t="s">
        <v>58</v>
      </c>
      <c r="L152" s="6"/>
      <c r="M152" s="6" t="s">
        <v>84</v>
      </c>
      <c r="N152" s="6" t="n">
        <v>2</v>
      </c>
      <c r="O152" s="6" t="n">
        <v>1</v>
      </c>
      <c r="P152" s="9" t="n">
        <v>0.8</v>
      </c>
      <c r="Q152" s="8" t="s">
        <v>60</v>
      </c>
      <c r="R152" s="6" t="s">
        <v>693</v>
      </c>
      <c r="S152" s="6" t="s">
        <v>736</v>
      </c>
      <c r="T152" s="6" t="s">
        <v>62</v>
      </c>
    </row>
    <row r="153" customFormat="false" ht="23.85" hidden="false" customHeight="false" outlineLevel="0" collapsed="false">
      <c r="A153" s="6" t="n">
        <v>323</v>
      </c>
      <c r="B153" s="7" t="n">
        <v>32251</v>
      </c>
      <c r="C153" s="6" t="s">
        <v>51</v>
      </c>
      <c r="D153" s="6" t="s">
        <v>737</v>
      </c>
      <c r="E153" s="6" t="s">
        <v>738</v>
      </c>
      <c r="F153" s="6" t="s">
        <v>739</v>
      </c>
      <c r="G153" s="6" t="n">
        <v>322</v>
      </c>
      <c r="H153" s="6" t="s">
        <v>740</v>
      </c>
      <c r="I153" s="8" t="s">
        <v>56</v>
      </c>
      <c r="J153" s="6" t="s">
        <v>741</v>
      </c>
      <c r="K153" s="8" t="s">
        <v>58</v>
      </c>
      <c r="L153" s="6"/>
      <c r="M153" s="6" t="s">
        <v>70</v>
      </c>
      <c r="N153" s="6" t="n">
        <v>2</v>
      </c>
      <c r="O153" s="6" t="n">
        <v>2</v>
      </c>
      <c r="P153" s="9" t="n">
        <v>0.96</v>
      </c>
      <c r="Q153" s="8" t="s">
        <v>60</v>
      </c>
      <c r="R153" s="6" t="s">
        <v>693</v>
      </c>
      <c r="S153" s="6" t="s">
        <v>736</v>
      </c>
      <c r="T153" s="6" t="s">
        <v>147</v>
      </c>
    </row>
    <row r="154" customFormat="false" ht="23.85" hidden="false" customHeight="false" outlineLevel="0" collapsed="false">
      <c r="A154" s="6" t="n">
        <v>324</v>
      </c>
      <c r="B154" s="7" t="n">
        <v>32251</v>
      </c>
      <c r="C154" s="6" t="s">
        <v>53</v>
      </c>
      <c r="D154" s="6" t="s">
        <v>742</v>
      </c>
      <c r="E154" s="6" t="s">
        <v>743</v>
      </c>
      <c r="F154" s="6" t="s">
        <v>744</v>
      </c>
      <c r="G154" s="6" t="n">
        <v>323</v>
      </c>
      <c r="H154" s="6" t="s">
        <v>745</v>
      </c>
      <c r="I154" s="8" t="s">
        <v>56</v>
      </c>
      <c r="J154" s="6" t="s">
        <v>692</v>
      </c>
      <c r="K154" s="8" t="s">
        <v>58</v>
      </c>
      <c r="L154" s="6"/>
      <c r="M154" s="6" t="s">
        <v>70</v>
      </c>
      <c r="N154" s="6" t="n">
        <v>1</v>
      </c>
      <c r="O154" s="6" t="n">
        <v>1</v>
      </c>
      <c r="P154" s="9" t="n">
        <v>0.8</v>
      </c>
      <c r="Q154" s="8" t="s">
        <v>60</v>
      </c>
      <c r="R154" s="6" t="s">
        <v>693</v>
      </c>
      <c r="S154" s="6" t="s">
        <v>736</v>
      </c>
      <c r="T154" s="6" t="s">
        <v>147</v>
      </c>
    </row>
    <row r="155" customFormat="false" ht="35.05" hidden="false" customHeight="false" outlineLevel="0" collapsed="false">
      <c r="A155" s="6" t="n">
        <v>325</v>
      </c>
      <c r="B155" s="7" t="n">
        <v>32327</v>
      </c>
      <c r="C155" s="6" t="s">
        <v>51</v>
      </c>
      <c r="D155" s="6" t="s">
        <v>746</v>
      </c>
      <c r="E155" s="6" t="s">
        <v>747</v>
      </c>
      <c r="F155" s="6" t="s">
        <v>748</v>
      </c>
      <c r="G155" s="6"/>
      <c r="H155" s="6" t="s">
        <v>749</v>
      </c>
      <c r="I155" s="8" t="s">
        <v>56</v>
      </c>
      <c r="J155" s="6" t="s">
        <v>750</v>
      </c>
      <c r="K155" s="8" t="s">
        <v>58</v>
      </c>
      <c r="L155" s="6"/>
      <c r="M155" s="6" t="s">
        <v>70</v>
      </c>
      <c r="N155" s="6" t="n">
        <v>2</v>
      </c>
      <c r="O155" s="6" t="n">
        <v>2</v>
      </c>
      <c r="P155" s="9" t="n">
        <v>0.96</v>
      </c>
      <c r="Q155" s="8" t="s">
        <v>60</v>
      </c>
      <c r="R155" s="6" t="s">
        <v>693</v>
      </c>
      <c r="S155" s="6"/>
      <c r="T155" s="6" t="s">
        <v>62</v>
      </c>
    </row>
    <row r="156" customFormat="false" ht="23.85" hidden="false" customHeight="false" outlineLevel="0" collapsed="false">
      <c r="A156" s="6" t="n">
        <v>326</v>
      </c>
      <c r="B156" s="7" t="n">
        <v>34773</v>
      </c>
      <c r="C156" s="6" t="s">
        <v>51</v>
      </c>
      <c r="D156" s="6" t="s">
        <v>751</v>
      </c>
      <c r="E156" s="6" t="s">
        <v>53</v>
      </c>
      <c r="F156" s="6" t="s">
        <v>752</v>
      </c>
      <c r="G156" s="6"/>
      <c r="H156" s="6" t="s">
        <v>55</v>
      </c>
      <c r="I156" s="8" t="s">
        <v>56</v>
      </c>
      <c r="J156" s="6" t="s">
        <v>753</v>
      </c>
      <c r="K156" s="8" t="s">
        <v>58</v>
      </c>
      <c r="L156" s="6"/>
      <c r="M156" s="6" t="s">
        <v>365</v>
      </c>
      <c r="N156" s="6" t="n">
        <v>1</v>
      </c>
      <c r="O156" s="6" t="n">
        <v>1</v>
      </c>
      <c r="P156" s="9" t="n">
        <v>0.8</v>
      </c>
      <c r="Q156" s="8" t="s">
        <v>60</v>
      </c>
      <c r="R156" s="6" t="s">
        <v>754</v>
      </c>
      <c r="S156" s="6"/>
      <c r="T156" s="6" t="s">
        <v>62</v>
      </c>
    </row>
    <row r="157" customFormat="false" ht="35.05" hidden="false" customHeight="false" outlineLevel="0" collapsed="false">
      <c r="A157" s="6" t="n">
        <v>327</v>
      </c>
      <c r="B157" s="7" t="n">
        <v>34825</v>
      </c>
      <c r="C157" s="6" t="s">
        <v>51</v>
      </c>
      <c r="D157" s="6" t="s">
        <v>755</v>
      </c>
      <c r="E157" s="6" t="s">
        <v>53</v>
      </c>
      <c r="F157" s="6" t="s">
        <v>756</v>
      </c>
      <c r="G157" s="6"/>
      <c r="H157" s="6" t="s">
        <v>55</v>
      </c>
      <c r="I157" s="8" t="s">
        <v>56</v>
      </c>
      <c r="J157" s="6" t="s">
        <v>757</v>
      </c>
      <c r="K157" s="8" t="s">
        <v>58</v>
      </c>
      <c r="L157" s="6"/>
      <c r="M157" s="6" t="s">
        <v>365</v>
      </c>
      <c r="N157" s="6" t="n">
        <v>1</v>
      </c>
      <c r="O157" s="6" t="n">
        <v>1</v>
      </c>
      <c r="P157" s="9" t="n">
        <v>0.8</v>
      </c>
      <c r="Q157" s="8" t="s">
        <v>60</v>
      </c>
      <c r="R157" s="6" t="s">
        <v>754</v>
      </c>
      <c r="S157" s="6"/>
      <c r="T157" s="6" t="s">
        <v>62</v>
      </c>
    </row>
    <row r="158" customFormat="false" ht="35.05" hidden="false" customHeight="false" outlineLevel="0" collapsed="false">
      <c r="A158" s="6" t="n">
        <v>328</v>
      </c>
      <c r="B158" s="7" t="n">
        <v>35241</v>
      </c>
      <c r="C158" s="6" t="s">
        <v>758</v>
      </c>
      <c r="D158" s="6" t="s">
        <v>759</v>
      </c>
      <c r="E158" s="6" t="s">
        <v>760</v>
      </c>
      <c r="F158" s="6" t="s">
        <v>761</v>
      </c>
      <c r="G158" s="6"/>
      <c r="H158" s="6" t="s">
        <v>762</v>
      </c>
      <c r="I158" s="10" t="s">
        <v>89</v>
      </c>
      <c r="J158" s="6" t="s">
        <v>763</v>
      </c>
      <c r="K158" s="8" t="s">
        <v>58</v>
      </c>
      <c r="L158" s="6"/>
      <c r="M158" s="6" t="s">
        <v>70</v>
      </c>
      <c r="N158" s="6" t="n">
        <v>1</v>
      </c>
      <c r="O158" s="6" t="n">
        <v>1</v>
      </c>
      <c r="P158" s="9" t="n">
        <v>0.6</v>
      </c>
      <c r="Q158" s="10" t="s">
        <v>119</v>
      </c>
      <c r="R158" s="6" t="s">
        <v>754</v>
      </c>
      <c r="S158" s="6"/>
      <c r="T158" s="6" t="s">
        <v>62</v>
      </c>
    </row>
    <row r="159" customFormat="false" ht="23.85" hidden="false" customHeight="false" outlineLevel="0" collapsed="false">
      <c r="A159" s="6" t="n">
        <v>329</v>
      </c>
      <c r="B159" s="7" t="n">
        <v>35282</v>
      </c>
      <c r="C159" s="6" t="s">
        <v>51</v>
      </c>
      <c r="D159" s="6" t="s">
        <v>764</v>
      </c>
      <c r="E159" s="6" t="s">
        <v>765</v>
      </c>
      <c r="F159" s="6" t="s">
        <v>766</v>
      </c>
      <c r="G159" s="6"/>
      <c r="H159" s="6" t="s">
        <v>55</v>
      </c>
      <c r="I159" s="8" t="s">
        <v>56</v>
      </c>
      <c r="J159" s="6" t="s">
        <v>767</v>
      </c>
      <c r="K159" s="8" t="s">
        <v>58</v>
      </c>
      <c r="L159" s="6"/>
      <c r="M159" s="6" t="s">
        <v>365</v>
      </c>
      <c r="N159" s="6" t="n">
        <v>1</v>
      </c>
      <c r="O159" s="6" t="n">
        <v>1</v>
      </c>
      <c r="P159" s="9" t="n">
        <v>0.8</v>
      </c>
      <c r="Q159" s="8" t="s">
        <v>60</v>
      </c>
      <c r="R159" s="6" t="s">
        <v>754</v>
      </c>
      <c r="S159" s="6"/>
      <c r="T159" s="6" t="s">
        <v>62</v>
      </c>
    </row>
    <row r="160" customFormat="false" ht="35.05" hidden="false" customHeight="false" outlineLevel="0" collapsed="false">
      <c r="A160" s="6" t="n">
        <v>330</v>
      </c>
      <c r="B160" s="7" t="n">
        <v>35963</v>
      </c>
      <c r="C160" s="6" t="s">
        <v>51</v>
      </c>
      <c r="D160" s="6" t="s">
        <v>768</v>
      </c>
      <c r="E160" s="6" t="s">
        <v>53</v>
      </c>
      <c r="F160" s="6" t="s">
        <v>769</v>
      </c>
      <c r="G160" s="6"/>
      <c r="H160" s="6" t="s">
        <v>55</v>
      </c>
      <c r="I160" s="8" t="s">
        <v>56</v>
      </c>
      <c r="J160" s="6" t="s">
        <v>770</v>
      </c>
      <c r="K160" s="8" t="s">
        <v>58</v>
      </c>
      <c r="L160" s="6"/>
      <c r="M160" s="6" t="s">
        <v>59</v>
      </c>
      <c r="N160" s="6" t="n">
        <v>1</v>
      </c>
      <c r="O160" s="6" t="n">
        <v>1</v>
      </c>
      <c r="P160" s="9" t="n">
        <v>0.8</v>
      </c>
      <c r="Q160" s="8" t="s">
        <v>60</v>
      </c>
      <c r="R160" s="6" t="s">
        <v>754</v>
      </c>
      <c r="S160" s="6"/>
      <c r="T160" s="6" t="s">
        <v>62</v>
      </c>
    </row>
    <row r="161" customFormat="false" ht="35.05" hidden="false" customHeight="false" outlineLevel="0" collapsed="false">
      <c r="A161" s="6" t="n">
        <v>331</v>
      </c>
      <c r="B161" s="7" t="n">
        <v>37063</v>
      </c>
      <c r="C161" s="6" t="s">
        <v>51</v>
      </c>
      <c r="D161" s="6" t="s">
        <v>771</v>
      </c>
      <c r="E161" s="6" t="s">
        <v>772</v>
      </c>
      <c r="F161" s="6" t="s">
        <v>773</v>
      </c>
      <c r="G161" s="6"/>
      <c r="H161" s="6" t="s">
        <v>55</v>
      </c>
      <c r="I161" s="10" t="s">
        <v>89</v>
      </c>
      <c r="J161" s="6" t="s">
        <v>763</v>
      </c>
      <c r="K161" s="8" t="s">
        <v>58</v>
      </c>
      <c r="L161" s="6"/>
      <c r="M161" s="6" t="s">
        <v>407</v>
      </c>
      <c r="N161" s="6" t="n">
        <v>1</v>
      </c>
      <c r="O161" s="6" t="n">
        <v>1</v>
      </c>
      <c r="P161" s="9" t="n">
        <v>0.6</v>
      </c>
      <c r="Q161" s="10" t="s">
        <v>119</v>
      </c>
      <c r="R161" s="6" t="s">
        <v>754</v>
      </c>
      <c r="S161" s="6"/>
      <c r="T161" s="6" t="s">
        <v>62</v>
      </c>
    </row>
    <row r="162" customFormat="false" ht="35.05" hidden="false" customHeight="false" outlineLevel="0" collapsed="false">
      <c r="A162" s="6" t="n">
        <v>332</v>
      </c>
      <c r="B162" s="7" t="n">
        <v>37285</v>
      </c>
      <c r="C162" s="6" t="s">
        <v>51</v>
      </c>
      <c r="D162" s="6" t="s">
        <v>774</v>
      </c>
      <c r="E162" s="6" t="s">
        <v>53</v>
      </c>
      <c r="F162" s="6" t="s">
        <v>775</v>
      </c>
      <c r="G162" s="6"/>
      <c r="H162" s="6" t="s">
        <v>55</v>
      </c>
      <c r="I162" s="8" t="s">
        <v>56</v>
      </c>
      <c r="J162" s="6" t="s">
        <v>776</v>
      </c>
      <c r="K162" s="8" t="s">
        <v>58</v>
      </c>
      <c r="L162" s="6"/>
      <c r="M162" s="6" t="s">
        <v>59</v>
      </c>
      <c r="N162" s="6" t="n">
        <v>1</v>
      </c>
      <c r="O162" s="6" t="n">
        <v>1</v>
      </c>
      <c r="P162" s="9" t="n">
        <v>0.8</v>
      </c>
      <c r="Q162" s="8" t="s">
        <v>60</v>
      </c>
      <c r="R162" s="6" t="s">
        <v>777</v>
      </c>
      <c r="S162" s="6"/>
      <c r="T162" s="6" t="s">
        <v>62</v>
      </c>
    </row>
    <row r="163" customFormat="false" ht="35.05" hidden="false" customHeight="false" outlineLevel="0" collapsed="false">
      <c r="A163" s="6" t="n">
        <v>333</v>
      </c>
      <c r="B163" s="7" t="n">
        <v>37915</v>
      </c>
      <c r="C163" s="6" t="s">
        <v>51</v>
      </c>
      <c r="D163" s="6" t="s">
        <v>778</v>
      </c>
      <c r="E163" s="6" t="s">
        <v>53</v>
      </c>
      <c r="F163" s="6" t="s">
        <v>779</v>
      </c>
      <c r="G163" s="6"/>
      <c r="H163" s="6" t="s">
        <v>55</v>
      </c>
      <c r="I163" s="8" t="s">
        <v>56</v>
      </c>
      <c r="J163" s="6" t="s">
        <v>780</v>
      </c>
      <c r="K163" s="8" t="s">
        <v>58</v>
      </c>
      <c r="L163" s="6"/>
      <c r="M163" s="6" t="s">
        <v>59</v>
      </c>
      <c r="N163" s="6" t="n">
        <v>1</v>
      </c>
      <c r="O163" s="6" t="n">
        <v>1</v>
      </c>
      <c r="P163" s="9" t="n">
        <v>0.8</v>
      </c>
      <c r="Q163" s="8" t="s">
        <v>60</v>
      </c>
      <c r="R163" s="6" t="s">
        <v>777</v>
      </c>
      <c r="S163" s="6"/>
      <c r="T163" s="6" t="s">
        <v>62</v>
      </c>
    </row>
    <row r="164" customFormat="false" ht="23.85" hidden="false" customHeight="false" outlineLevel="0" collapsed="false">
      <c r="A164" s="6" t="n">
        <v>334</v>
      </c>
      <c r="B164" s="7" t="n">
        <v>38619</v>
      </c>
      <c r="C164" s="6" t="s">
        <v>781</v>
      </c>
      <c r="D164" s="6" t="s">
        <v>782</v>
      </c>
      <c r="E164" s="6" t="s">
        <v>53</v>
      </c>
      <c r="F164" s="6" t="s">
        <v>783</v>
      </c>
      <c r="G164" s="6"/>
      <c r="H164" s="6" t="s">
        <v>55</v>
      </c>
      <c r="I164" s="8" t="s">
        <v>56</v>
      </c>
      <c r="J164" s="6" t="s">
        <v>784</v>
      </c>
      <c r="K164" s="8" t="s">
        <v>58</v>
      </c>
      <c r="L164" s="6"/>
      <c r="M164" s="6" t="s">
        <v>59</v>
      </c>
      <c r="N164" s="6" t="n">
        <v>1</v>
      </c>
      <c r="O164" s="6" t="n">
        <v>1</v>
      </c>
      <c r="P164" s="9" t="n">
        <v>0.8</v>
      </c>
      <c r="Q164" s="8" t="s">
        <v>60</v>
      </c>
      <c r="R164" s="6" t="s">
        <v>777</v>
      </c>
      <c r="S164" s="6"/>
      <c r="T164" s="6" t="s">
        <v>62</v>
      </c>
    </row>
    <row r="165" customFormat="false" ht="35.05" hidden="false" customHeight="false" outlineLevel="0" collapsed="false">
      <c r="A165" s="6" t="n">
        <v>335</v>
      </c>
      <c r="B165" s="7" t="n">
        <v>38752</v>
      </c>
      <c r="C165" s="6" t="s">
        <v>781</v>
      </c>
      <c r="D165" s="6" t="s">
        <v>785</v>
      </c>
      <c r="E165" s="6" t="s">
        <v>53</v>
      </c>
      <c r="F165" s="6" t="s">
        <v>786</v>
      </c>
      <c r="G165" s="6"/>
      <c r="H165" s="6" t="s">
        <v>55</v>
      </c>
      <c r="I165" s="8" t="s">
        <v>56</v>
      </c>
      <c r="J165" s="6" t="s">
        <v>784</v>
      </c>
      <c r="K165" s="8" t="s">
        <v>58</v>
      </c>
      <c r="L165" s="6"/>
      <c r="M165" s="6" t="s">
        <v>59</v>
      </c>
      <c r="N165" s="6" t="n">
        <v>1</v>
      </c>
      <c r="O165" s="6" t="n">
        <v>1</v>
      </c>
      <c r="P165" s="9" t="n">
        <v>0.8</v>
      </c>
      <c r="Q165" s="8" t="s">
        <v>60</v>
      </c>
      <c r="R165" s="6" t="s">
        <v>777</v>
      </c>
      <c r="S165" s="6"/>
      <c r="T165" s="6" t="s">
        <v>62</v>
      </c>
    </row>
    <row r="166" customFormat="false" ht="35.05" hidden="false" customHeight="false" outlineLevel="0" collapsed="false">
      <c r="A166" s="6" t="n">
        <v>336</v>
      </c>
      <c r="B166" s="7" t="n">
        <v>38868</v>
      </c>
      <c r="C166" s="6" t="s">
        <v>51</v>
      </c>
      <c r="D166" s="6" t="s">
        <v>787</v>
      </c>
      <c r="E166" s="6" t="s">
        <v>53</v>
      </c>
      <c r="F166" s="6" t="s">
        <v>788</v>
      </c>
      <c r="G166" s="6"/>
      <c r="H166" s="6" t="s">
        <v>55</v>
      </c>
      <c r="I166" s="8" t="s">
        <v>56</v>
      </c>
      <c r="J166" s="6" t="s">
        <v>789</v>
      </c>
      <c r="K166" s="8" t="s">
        <v>58</v>
      </c>
      <c r="L166" s="6"/>
      <c r="M166" s="6" t="s">
        <v>59</v>
      </c>
      <c r="N166" s="6" t="n">
        <v>1</v>
      </c>
      <c r="O166" s="6" t="n">
        <v>1</v>
      </c>
      <c r="P166" s="9" t="n">
        <v>0.8</v>
      </c>
      <c r="Q166" s="8" t="s">
        <v>60</v>
      </c>
      <c r="R166" s="6" t="s">
        <v>777</v>
      </c>
      <c r="S166" s="6"/>
      <c r="T166" s="6" t="s">
        <v>62</v>
      </c>
    </row>
    <row r="167" customFormat="false" ht="23.85" hidden="false" customHeight="false" outlineLevel="0" collapsed="false">
      <c r="A167" s="6" t="n">
        <v>337</v>
      </c>
      <c r="B167" s="7" t="n">
        <v>38929</v>
      </c>
      <c r="C167" s="6" t="s">
        <v>684</v>
      </c>
      <c r="D167" s="6" t="s">
        <v>790</v>
      </c>
      <c r="E167" s="6" t="s">
        <v>53</v>
      </c>
      <c r="F167" s="6" t="s">
        <v>791</v>
      </c>
      <c r="G167" s="6"/>
      <c r="H167" s="6" t="s">
        <v>55</v>
      </c>
      <c r="I167" s="8" t="s">
        <v>56</v>
      </c>
      <c r="J167" s="6" t="s">
        <v>792</v>
      </c>
      <c r="K167" s="8" t="s">
        <v>58</v>
      </c>
      <c r="L167" s="6"/>
      <c r="M167" s="6" t="s">
        <v>59</v>
      </c>
      <c r="N167" s="6" t="n">
        <v>1</v>
      </c>
      <c r="O167" s="6" t="n">
        <v>1</v>
      </c>
      <c r="P167" s="9" t="n">
        <v>0.8</v>
      </c>
      <c r="Q167" s="8" t="s">
        <v>60</v>
      </c>
      <c r="R167" s="6" t="s">
        <v>777</v>
      </c>
      <c r="S167" s="6"/>
      <c r="T167" s="6" t="s">
        <v>62</v>
      </c>
    </row>
    <row r="168" customFormat="false" ht="23.85" hidden="false" customHeight="false" outlineLevel="0" collapsed="false">
      <c r="A168" s="6" t="n">
        <v>338</v>
      </c>
      <c r="B168" s="7" t="n">
        <v>39074</v>
      </c>
      <c r="C168" s="6" t="s">
        <v>684</v>
      </c>
      <c r="D168" s="6" t="s">
        <v>793</v>
      </c>
      <c r="E168" s="6" t="s">
        <v>53</v>
      </c>
      <c r="F168" s="6" t="s">
        <v>794</v>
      </c>
      <c r="G168" s="6"/>
      <c r="H168" s="6" t="s">
        <v>55</v>
      </c>
      <c r="I168" s="8" t="s">
        <v>56</v>
      </c>
      <c r="J168" s="6" t="s">
        <v>795</v>
      </c>
      <c r="K168" s="8" t="s">
        <v>58</v>
      </c>
      <c r="L168" s="6"/>
      <c r="M168" s="6" t="s">
        <v>365</v>
      </c>
      <c r="N168" s="6" t="n">
        <v>1</v>
      </c>
      <c r="O168" s="6" t="n">
        <v>1</v>
      </c>
      <c r="P168" s="9" t="n">
        <v>0.8</v>
      </c>
      <c r="Q168" s="8" t="s">
        <v>60</v>
      </c>
      <c r="R168" s="6" t="s">
        <v>777</v>
      </c>
      <c r="S168" s="6"/>
      <c r="T168" s="6" t="s">
        <v>62</v>
      </c>
    </row>
    <row r="169" customFormat="false" ht="35.05" hidden="false" customHeight="false" outlineLevel="0" collapsed="false">
      <c r="A169" s="6" t="n">
        <v>339</v>
      </c>
      <c r="B169" s="7" t="n">
        <v>39127</v>
      </c>
      <c r="C169" s="6" t="s">
        <v>51</v>
      </c>
      <c r="D169" s="6" t="s">
        <v>796</v>
      </c>
      <c r="E169" s="6" t="s">
        <v>53</v>
      </c>
      <c r="F169" s="6" t="s">
        <v>797</v>
      </c>
      <c r="G169" s="6"/>
      <c r="H169" s="6" t="s">
        <v>55</v>
      </c>
      <c r="I169" s="8" t="s">
        <v>56</v>
      </c>
      <c r="J169" s="6" t="s">
        <v>798</v>
      </c>
      <c r="K169" s="8" t="s">
        <v>58</v>
      </c>
      <c r="L169" s="6"/>
      <c r="M169" s="6" t="s">
        <v>59</v>
      </c>
      <c r="N169" s="6" t="n">
        <v>1</v>
      </c>
      <c r="O169" s="6" t="n">
        <v>1</v>
      </c>
      <c r="P169" s="9" t="n">
        <v>0.8</v>
      </c>
      <c r="Q169" s="8" t="s">
        <v>60</v>
      </c>
      <c r="R169" s="6" t="s">
        <v>777</v>
      </c>
      <c r="S169" s="6"/>
      <c r="T169" s="6" t="s">
        <v>62</v>
      </c>
    </row>
    <row r="170" customFormat="false" ht="35.05" hidden="false" customHeight="false" outlineLevel="0" collapsed="false">
      <c r="A170" s="6" t="n">
        <v>340</v>
      </c>
      <c r="B170" s="7" t="n">
        <v>39129</v>
      </c>
      <c r="C170" s="6" t="s">
        <v>51</v>
      </c>
      <c r="D170" s="6" t="s">
        <v>799</v>
      </c>
      <c r="E170" s="6" t="s">
        <v>53</v>
      </c>
      <c r="F170" s="6" t="s">
        <v>800</v>
      </c>
      <c r="G170" s="6"/>
      <c r="H170" s="6" t="s">
        <v>55</v>
      </c>
      <c r="I170" s="8" t="s">
        <v>56</v>
      </c>
      <c r="J170" s="6" t="s">
        <v>801</v>
      </c>
      <c r="K170" s="8" t="s">
        <v>58</v>
      </c>
      <c r="L170" s="6"/>
      <c r="M170" s="6" t="s">
        <v>365</v>
      </c>
      <c r="N170" s="6" t="n">
        <v>1</v>
      </c>
      <c r="O170" s="6" t="n">
        <v>1</v>
      </c>
      <c r="P170" s="9" t="n">
        <v>0.8</v>
      </c>
      <c r="Q170" s="8" t="s">
        <v>60</v>
      </c>
      <c r="R170" s="6" t="s">
        <v>777</v>
      </c>
      <c r="S170" s="6"/>
      <c r="T170" s="6" t="s">
        <v>62</v>
      </c>
    </row>
    <row r="171" customFormat="false" ht="23.85" hidden="false" customHeight="false" outlineLevel="0" collapsed="false">
      <c r="A171" s="6" t="n">
        <v>341</v>
      </c>
      <c r="B171" s="7" t="n">
        <v>39165</v>
      </c>
      <c r="C171" s="6" t="s">
        <v>684</v>
      </c>
      <c r="D171" s="6" t="s">
        <v>802</v>
      </c>
      <c r="E171" s="6" t="s">
        <v>53</v>
      </c>
      <c r="F171" s="6" t="s">
        <v>803</v>
      </c>
      <c r="G171" s="6"/>
      <c r="H171" s="6" t="s">
        <v>55</v>
      </c>
      <c r="I171" s="8" t="s">
        <v>56</v>
      </c>
      <c r="J171" s="6" t="s">
        <v>804</v>
      </c>
      <c r="K171" s="8" t="s">
        <v>58</v>
      </c>
      <c r="L171" s="6"/>
      <c r="M171" s="6" t="s">
        <v>365</v>
      </c>
      <c r="N171" s="6" t="n">
        <v>1</v>
      </c>
      <c r="O171" s="6" t="n">
        <v>1</v>
      </c>
      <c r="P171" s="9" t="n">
        <v>0.8</v>
      </c>
      <c r="Q171" s="8" t="s">
        <v>60</v>
      </c>
      <c r="R171" s="6" t="s">
        <v>777</v>
      </c>
      <c r="S171" s="6"/>
      <c r="T171" s="6" t="s">
        <v>62</v>
      </c>
    </row>
    <row r="172" customFormat="false" ht="23.85" hidden="false" customHeight="false" outlineLevel="0" collapsed="false">
      <c r="A172" s="6" t="n">
        <v>342</v>
      </c>
      <c r="B172" s="7" t="n">
        <v>39380</v>
      </c>
      <c r="C172" s="6" t="s">
        <v>51</v>
      </c>
      <c r="D172" s="6" t="s">
        <v>805</v>
      </c>
      <c r="E172" s="6" t="s">
        <v>53</v>
      </c>
      <c r="F172" s="6" t="s">
        <v>806</v>
      </c>
      <c r="G172" s="6"/>
      <c r="H172" s="6" t="s">
        <v>55</v>
      </c>
      <c r="I172" s="8" t="s">
        <v>56</v>
      </c>
      <c r="J172" s="6" t="s">
        <v>807</v>
      </c>
      <c r="K172" s="8" t="s">
        <v>58</v>
      </c>
      <c r="L172" s="6"/>
      <c r="M172" s="6" t="s">
        <v>365</v>
      </c>
      <c r="N172" s="6" t="n">
        <v>1</v>
      </c>
      <c r="O172" s="6" t="n">
        <v>1</v>
      </c>
      <c r="P172" s="9" t="n">
        <v>0.8</v>
      </c>
      <c r="Q172" s="8" t="s">
        <v>60</v>
      </c>
      <c r="R172" s="6" t="s">
        <v>777</v>
      </c>
      <c r="S172" s="6"/>
      <c r="T172" s="6" t="s">
        <v>62</v>
      </c>
    </row>
    <row r="173" customFormat="false" ht="35.05" hidden="false" customHeight="false" outlineLevel="0" collapsed="false">
      <c r="A173" s="6" t="n">
        <v>343</v>
      </c>
      <c r="B173" s="7" t="n">
        <v>39419</v>
      </c>
      <c r="C173" s="6" t="s">
        <v>51</v>
      </c>
      <c r="D173" s="6" t="s">
        <v>808</v>
      </c>
      <c r="E173" s="6" t="s">
        <v>53</v>
      </c>
      <c r="F173" s="6" t="s">
        <v>809</v>
      </c>
      <c r="G173" s="6"/>
      <c r="H173" s="6" t="s">
        <v>55</v>
      </c>
      <c r="I173" s="8" t="s">
        <v>56</v>
      </c>
      <c r="J173" s="6" t="s">
        <v>810</v>
      </c>
      <c r="K173" s="8" t="s">
        <v>58</v>
      </c>
      <c r="L173" s="6"/>
      <c r="M173" s="6" t="s">
        <v>59</v>
      </c>
      <c r="N173" s="6" t="n">
        <v>1</v>
      </c>
      <c r="O173" s="6" t="n">
        <v>1</v>
      </c>
      <c r="P173" s="9" t="n">
        <v>0.8</v>
      </c>
      <c r="Q173" s="8" t="s">
        <v>60</v>
      </c>
      <c r="R173" s="6" t="s">
        <v>777</v>
      </c>
      <c r="S173" s="6"/>
      <c r="T173" s="6" t="s">
        <v>62</v>
      </c>
    </row>
    <row r="174" customFormat="false" ht="35.05" hidden="false" customHeight="false" outlineLevel="0" collapsed="false">
      <c r="A174" s="6" t="n">
        <v>344</v>
      </c>
      <c r="B174" s="7" t="n">
        <v>39453</v>
      </c>
      <c r="C174" s="6" t="s">
        <v>811</v>
      </c>
      <c r="D174" s="6" t="s">
        <v>812</v>
      </c>
      <c r="E174" s="6" t="s">
        <v>79</v>
      </c>
      <c r="F174" s="6" t="s">
        <v>813</v>
      </c>
      <c r="G174" s="6"/>
      <c r="H174" s="6" t="s">
        <v>814</v>
      </c>
      <c r="I174" s="8" t="s">
        <v>56</v>
      </c>
      <c r="J174" s="6" t="s">
        <v>815</v>
      </c>
      <c r="K174" s="8" t="s">
        <v>58</v>
      </c>
      <c r="L174" s="6"/>
      <c r="M174" s="6" t="s">
        <v>407</v>
      </c>
      <c r="N174" s="6" t="n">
        <v>1</v>
      </c>
      <c r="O174" s="6" t="n">
        <v>1</v>
      </c>
      <c r="P174" s="9" t="n">
        <v>0.8</v>
      </c>
      <c r="Q174" s="8" t="s">
        <v>60</v>
      </c>
      <c r="R174" s="6" t="s">
        <v>777</v>
      </c>
      <c r="S174" s="6"/>
      <c r="T174" s="6" t="s">
        <v>62</v>
      </c>
    </row>
    <row r="175" customFormat="false" ht="23.85" hidden="false" customHeight="false" outlineLevel="0" collapsed="false">
      <c r="A175" s="6" t="n">
        <v>345</v>
      </c>
      <c r="B175" s="7" t="n">
        <v>39510</v>
      </c>
      <c r="C175" s="6" t="s">
        <v>684</v>
      </c>
      <c r="D175" s="6" t="s">
        <v>816</v>
      </c>
      <c r="E175" s="6" t="s">
        <v>53</v>
      </c>
      <c r="F175" s="6" t="s">
        <v>817</v>
      </c>
      <c r="G175" s="6"/>
      <c r="H175" s="6" t="s">
        <v>55</v>
      </c>
      <c r="I175" s="8" t="s">
        <v>56</v>
      </c>
      <c r="J175" s="6" t="s">
        <v>818</v>
      </c>
      <c r="K175" s="8" t="s">
        <v>58</v>
      </c>
      <c r="L175" s="6"/>
      <c r="M175" s="6" t="s">
        <v>365</v>
      </c>
      <c r="N175" s="6" t="n">
        <v>1</v>
      </c>
      <c r="O175" s="6" t="n">
        <v>1</v>
      </c>
      <c r="P175" s="9" t="n">
        <v>0.8</v>
      </c>
      <c r="Q175" s="8" t="s">
        <v>60</v>
      </c>
      <c r="R175" s="6" t="s">
        <v>777</v>
      </c>
      <c r="S175" s="6"/>
      <c r="T175" s="6" t="s">
        <v>62</v>
      </c>
    </row>
    <row r="176" customFormat="false" ht="23.85" hidden="false" customHeight="false" outlineLevel="0" collapsed="false">
      <c r="A176" s="6" t="n">
        <v>346</v>
      </c>
      <c r="B176" s="7" t="n">
        <v>39892</v>
      </c>
      <c r="C176" s="6" t="s">
        <v>51</v>
      </c>
      <c r="D176" s="6" t="s">
        <v>819</v>
      </c>
      <c r="E176" s="6" t="s">
        <v>53</v>
      </c>
      <c r="F176" s="6" t="s">
        <v>820</v>
      </c>
      <c r="G176" s="6"/>
      <c r="H176" s="6" t="s">
        <v>55</v>
      </c>
      <c r="I176" s="8" t="s">
        <v>56</v>
      </c>
      <c r="J176" s="6" t="s">
        <v>821</v>
      </c>
      <c r="K176" s="8" t="s">
        <v>58</v>
      </c>
      <c r="L176" s="6"/>
      <c r="M176" s="6" t="s">
        <v>59</v>
      </c>
      <c r="N176" s="6" t="n">
        <v>1</v>
      </c>
      <c r="O176" s="6" t="n">
        <v>1</v>
      </c>
      <c r="P176" s="9" t="n">
        <v>0.8</v>
      </c>
      <c r="Q176" s="8" t="s">
        <v>60</v>
      </c>
      <c r="R176" s="6" t="s">
        <v>777</v>
      </c>
      <c r="S176" s="6"/>
      <c r="T176" s="6" t="s">
        <v>62</v>
      </c>
    </row>
    <row r="177" customFormat="false" ht="23.85" hidden="false" customHeight="false" outlineLevel="0" collapsed="false">
      <c r="A177" s="6" t="n">
        <v>347</v>
      </c>
      <c r="B177" s="7" t="n">
        <v>40081</v>
      </c>
      <c r="C177" s="6" t="s">
        <v>822</v>
      </c>
      <c r="D177" s="6" t="s">
        <v>823</v>
      </c>
      <c r="E177" s="6" t="s">
        <v>53</v>
      </c>
      <c r="F177" s="6" t="s">
        <v>824</v>
      </c>
      <c r="G177" s="6"/>
      <c r="H177" s="6" t="s">
        <v>55</v>
      </c>
      <c r="I177" s="8" t="s">
        <v>56</v>
      </c>
      <c r="J177" s="6" t="s">
        <v>825</v>
      </c>
      <c r="K177" s="8" t="s">
        <v>58</v>
      </c>
      <c r="L177" s="6"/>
      <c r="M177" s="6" t="s">
        <v>59</v>
      </c>
      <c r="N177" s="6" t="n">
        <v>1</v>
      </c>
      <c r="O177" s="6" t="n">
        <v>1</v>
      </c>
      <c r="P177" s="9" t="n">
        <v>0.8</v>
      </c>
      <c r="Q177" s="8" t="s">
        <v>60</v>
      </c>
      <c r="R177" s="6" t="s">
        <v>777</v>
      </c>
      <c r="S177" s="6"/>
      <c r="T177" s="6" t="s">
        <v>62</v>
      </c>
    </row>
    <row r="178" customFormat="false" ht="23.85" hidden="false" customHeight="false" outlineLevel="0" collapsed="false">
      <c r="A178" s="6" t="n">
        <v>348</v>
      </c>
      <c r="B178" s="7" t="n">
        <v>40338</v>
      </c>
      <c r="C178" s="6" t="s">
        <v>684</v>
      </c>
      <c r="D178" s="6" t="s">
        <v>826</v>
      </c>
      <c r="E178" s="6" t="s">
        <v>53</v>
      </c>
      <c r="F178" s="6" t="s">
        <v>827</v>
      </c>
      <c r="G178" s="6"/>
      <c r="H178" s="6" t="s">
        <v>55</v>
      </c>
      <c r="I178" s="8" t="s">
        <v>56</v>
      </c>
      <c r="J178" s="6" t="s">
        <v>828</v>
      </c>
      <c r="K178" s="8" t="s">
        <v>58</v>
      </c>
      <c r="L178" s="6"/>
      <c r="M178" s="6" t="s">
        <v>365</v>
      </c>
      <c r="N178" s="6" t="n">
        <v>2</v>
      </c>
      <c r="O178" s="6" t="n">
        <v>2</v>
      </c>
      <c r="P178" s="9" t="n">
        <v>0.96</v>
      </c>
      <c r="Q178" s="8" t="s">
        <v>60</v>
      </c>
      <c r="R178" s="6" t="s">
        <v>829</v>
      </c>
      <c r="S178" s="6"/>
      <c r="T178" s="6" t="s">
        <v>62</v>
      </c>
    </row>
    <row r="179" customFormat="false" ht="35.05" hidden="false" customHeight="false" outlineLevel="0" collapsed="false">
      <c r="A179" s="6" t="n">
        <v>349</v>
      </c>
      <c r="B179" s="7" t="n">
        <v>40360</v>
      </c>
      <c r="C179" s="6" t="s">
        <v>51</v>
      </c>
      <c r="D179" s="6" t="s">
        <v>830</v>
      </c>
      <c r="E179" s="6" t="s">
        <v>53</v>
      </c>
      <c r="F179" s="6" t="s">
        <v>831</v>
      </c>
      <c r="G179" s="6"/>
      <c r="H179" s="6" t="s">
        <v>55</v>
      </c>
      <c r="I179" s="8" t="s">
        <v>56</v>
      </c>
      <c r="J179" s="6" t="s">
        <v>832</v>
      </c>
      <c r="K179" s="8" t="s">
        <v>58</v>
      </c>
      <c r="L179" s="6"/>
      <c r="M179" s="6" t="s">
        <v>365</v>
      </c>
      <c r="N179" s="6" t="n">
        <v>1</v>
      </c>
      <c r="O179" s="6" t="n">
        <v>1</v>
      </c>
      <c r="P179" s="9" t="n">
        <v>0.8</v>
      </c>
      <c r="Q179" s="8" t="s">
        <v>60</v>
      </c>
      <c r="R179" s="6" t="s">
        <v>829</v>
      </c>
      <c r="S179" s="6"/>
      <c r="T179" s="6" t="s">
        <v>62</v>
      </c>
    </row>
    <row r="180" customFormat="false" ht="23.85" hidden="false" customHeight="false" outlineLevel="0" collapsed="false">
      <c r="A180" s="6" t="n">
        <v>350</v>
      </c>
      <c r="B180" s="7" t="n">
        <v>40827</v>
      </c>
      <c r="C180" s="6" t="s">
        <v>833</v>
      </c>
      <c r="D180" s="6" t="s">
        <v>834</v>
      </c>
      <c r="E180" s="6" t="s">
        <v>835</v>
      </c>
      <c r="F180" s="6" t="s">
        <v>836</v>
      </c>
      <c r="G180" s="6"/>
      <c r="H180" s="6" t="s">
        <v>837</v>
      </c>
      <c r="I180" s="8" t="s">
        <v>56</v>
      </c>
      <c r="J180" s="6" t="s">
        <v>838</v>
      </c>
      <c r="K180" s="8" t="s">
        <v>58</v>
      </c>
      <c r="L180" s="6"/>
      <c r="M180" s="6" t="s">
        <v>407</v>
      </c>
      <c r="N180" s="6" t="n">
        <v>1</v>
      </c>
      <c r="O180" s="6" t="n">
        <v>1</v>
      </c>
      <c r="P180" s="9" t="n">
        <v>0.8</v>
      </c>
      <c r="Q180" s="8" t="s">
        <v>60</v>
      </c>
      <c r="R180" s="6" t="s">
        <v>829</v>
      </c>
      <c r="S180" s="6" t="s">
        <v>839</v>
      </c>
      <c r="T180" s="6" t="s">
        <v>62</v>
      </c>
    </row>
    <row r="181" customFormat="false" ht="23.85" hidden="false" customHeight="false" outlineLevel="0" collapsed="false">
      <c r="A181" s="6" t="n">
        <v>351</v>
      </c>
      <c r="B181" s="7" t="n">
        <v>40827</v>
      </c>
      <c r="C181" s="6" t="s">
        <v>51</v>
      </c>
      <c r="D181" s="6" t="s">
        <v>840</v>
      </c>
      <c r="E181" s="6" t="s">
        <v>841</v>
      </c>
      <c r="F181" s="6" t="s">
        <v>842</v>
      </c>
      <c r="G181" s="6" t="n">
        <v>350</v>
      </c>
      <c r="H181" s="6" t="s">
        <v>55</v>
      </c>
      <c r="I181" s="8" t="s">
        <v>56</v>
      </c>
      <c r="J181" s="6" t="s">
        <v>838</v>
      </c>
      <c r="K181" s="8" t="s">
        <v>58</v>
      </c>
      <c r="L181" s="6"/>
      <c r="M181" s="6" t="s">
        <v>365</v>
      </c>
      <c r="N181" s="6" t="n">
        <v>1</v>
      </c>
      <c r="O181" s="6" t="n">
        <v>1</v>
      </c>
      <c r="P181" s="9" t="n">
        <v>0.8</v>
      </c>
      <c r="Q181" s="8" t="s">
        <v>60</v>
      </c>
      <c r="R181" s="6" t="s">
        <v>829</v>
      </c>
      <c r="S181" s="6" t="s">
        <v>839</v>
      </c>
      <c r="T181" s="6" t="s">
        <v>62</v>
      </c>
    </row>
    <row r="182" customFormat="false" ht="35.05" hidden="false" customHeight="false" outlineLevel="0" collapsed="false">
      <c r="A182" s="6" t="n">
        <v>352</v>
      </c>
      <c r="B182" s="7" t="n">
        <v>40868</v>
      </c>
      <c r="C182" s="6" t="s">
        <v>51</v>
      </c>
      <c r="D182" s="6" t="s">
        <v>843</v>
      </c>
      <c r="E182" s="6" t="s">
        <v>53</v>
      </c>
      <c r="F182" s="6" t="s">
        <v>844</v>
      </c>
      <c r="G182" s="6"/>
      <c r="H182" s="6" t="s">
        <v>55</v>
      </c>
      <c r="I182" s="8" t="s">
        <v>56</v>
      </c>
      <c r="J182" s="6" t="s">
        <v>845</v>
      </c>
      <c r="K182" s="8" t="s">
        <v>58</v>
      </c>
      <c r="L182" s="6"/>
      <c r="M182" s="6" t="s">
        <v>365</v>
      </c>
      <c r="N182" s="6" t="n">
        <v>1</v>
      </c>
      <c r="O182" s="6" t="n">
        <v>1</v>
      </c>
      <c r="P182" s="9" t="n">
        <v>0.8</v>
      </c>
      <c r="Q182" s="8" t="s">
        <v>60</v>
      </c>
      <c r="R182" s="6" t="s">
        <v>829</v>
      </c>
      <c r="S182" s="6"/>
      <c r="T182" s="6" t="s">
        <v>62</v>
      </c>
    </row>
    <row r="183" customFormat="false" ht="35.05" hidden="false" customHeight="false" outlineLevel="0" collapsed="false">
      <c r="A183" s="6" t="n">
        <v>353</v>
      </c>
      <c r="B183" s="7" t="n">
        <v>40881</v>
      </c>
      <c r="C183" s="6" t="s">
        <v>53</v>
      </c>
      <c r="D183" s="6" t="s">
        <v>846</v>
      </c>
      <c r="E183" s="6" t="s">
        <v>847</v>
      </c>
      <c r="F183" s="6" t="s">
        <v>848</v>
      </c>
      <c r="G183" s="6"/>
      <c r="H183" s="6" t="s">
        <v>849</v>
      </c>
      <c r="I183" s="8" t="s">
        <v>56</v>
      </c>
      <c r="J183" s="6" t="s">
        <v>850</v>
      </c>
      <c r="K183" s="8" t="s">
        <v>58</v>
      </c>
      <c r="L183" s="6"/>
      <c r="M183" s="6" t="s">
        <v>407</v>
      </c>
      <c r="N183" s="6" t="n">
        <v>2</v>
      </c>
      <c r="O183" s="6" t="n">
        <v>1</v>
      </c>
      <c r="P183" s="9" t="n">
        <v>0.8</v>
      </c>
      <c r="Q183" s="8" t="s">
        <v>60</v>
      </c>
      <c r="R183" s="6" t="s">
        <v>829</v>
      </c>
      <c r="S183" s="6"/>
      <c r="T183" s="6" t="s">
        <v>62</v>
      </c>
    </row>
    <row r="184" customFormat="false" ht="35.05" hidden="false" customHeight="false" outlineLevel="0" collapsed="false">
      <c r="A184" s="6" t="n">
        <v>354</v>
      </c>
      <c r="B184" s="7" t="n">
        <v>40945</v>
      </c>
      <c r="C184" s="6" t="s">
        <v>51</v>
      </c>
      <c r="D184" s="6" t="s">
        <v>851</v>
      </c>
      <c r="E184" s="6" t="s">
        <v>53</v>
      </c>
      <c r="F184" s="6" t="s">
        <v>852</v>
      </c>
      <c r="G184" s="6"/>
      <c r="H184" s="6" t="s">
        <v>55</v>
      </c>
      <c r="I184" s="8" t="s">
        <v>56</v>
      </c>
      <c r="J184" s="6" t="s">
        <v>853</v>
      </c>
      <c r="K184" s="8" t="s">
        <v>58</v>
      </c>
      <c r="L184" s="6"/>
      <c r="M184" s="6" t="s">
        <v>365</v>
      </c>
      <c r="N184" s="6" t="n">
        <v>1</v>
      </c>
      <c r="O184" s="6" t="n">
        <v>1</v>
      </c>
      <c r="P184" s="9" t="n">
        <v>0.8</v>
      </c>
      <c r="Q184" s="8" t="s">
        <v>60</v>
      </c>
      <c r="R184" s="6" t="s">
        <v>829</v>
      </c>
      <c r="S184" s="6"/>
      <c r="T184" s="6" t="s">
        <v>62</v>
      </c>
    </row>
    <row r="185" customFormat="false" ht="23.85" hidden="false" customHeight="false" outlineLevel="0" collapsed="false">
      <c r="A185" s="6" t="n">
        <v>355</v>
      </c>
      <c r="B185" s="7" t="n">
        <v>41544</v>
      </c>
      <c r="C185" s="6" t="s">
        <v>51</v>
      </c>
      <c r="D185" s="6" t="s">
        <v>854</v>
      </c>
      <c r="E185" s="6" t="s">
        <v>53</v>
      </c>
      <c r="F185" s="6" t="s">
        <v>855</v>
      </c>
      <c r="G185" s="6"/>
      <c r="H185" s="6" t="s">
        <v>55</v>
      </c>
      <c r="I185" s="8" t="s">
        <v>56</v>
      </c>
      <c r="J185" s="6" t="s">
        <v>856</v>
      </c>
      <c r="K185" s="8" t="s">
        <v>58</v>
      </c>
      <c r="L185" s="6"/>
      <c r="M185" s="6" t="s">
        <v>59</v>
      </c>
      <c r="N185" s="6" t="n">
        <v>1</v>
      </c>
      <c r="O185" s="6" t="n">
        <v>1</v>
      </c>
      <c r="P185" s="9" t="n">
        <v>0.8</v>
      </c>
      <c r="Q185" s="8" t="s">
        <v>60</v>
      </c>
      <c r="R185" s="6" t="s">
        <v>857</v>
      </c>
      <c r="S185" s="6"/>
      <c r="T185" s="6" t="s">
        <v>62</v>
      </c>
    </row>
    <row r="186" customFormat="false" ht="23.85" hidden="false" customHeight="false" outlineLevel="0" collapsed="false">
      <c r="A186" s="6" t="n">
        <v>356</v>
      </c>
      <c r="B186" s="7" t="n">
        <v>41601</v>
      </c>
      <c r="C186" s="6" t="s">
        <v>51</v>
      </c>
      <c r="D186" s="6" t="s">
        <v>858</v>
      </c>
      <c r="E186" s="6" t="s">
        <v>53</v>
      </c>
      <c r="F186" s="6" t="s">
        <v>859</v>
      </c>
      <c r="G186" s="6"/>
      <c r="H186" s="6" t="s">
        <v>55</v>
      </c>
      <c r="I186" s="8" t="s">
        <v>56</v>
      </c>
      <c r="J186" s="6" t="s">
        <v>860</v>
      </c>
      <c r="K186" s="8" t="s">
        <v>58</v>
      </c>
      <c r="L186" s="6"/>
      <c r="M186" s="6" t="s">
        <v>59</v>
      </c>
      <c r="N186" s="6" t="n">
        <v>2</v>
      </c>
      <c r="O186" s="6" t="n">
        <v>2</v>
      </c>
      <c r="P186" s="9" t="n">
        <v>0.96</v>
      </c>
      <c r="Q186" s="8" t="s">
        <v>60</v>
      </c>
      <c r="R186" s="6" t="s">
        <v>857</v>
      </c>
      <c r="S186" s="6" t="s">
        <v>861</v>
      </c>
      <c r="T186" s="6" t="s">
        <v>62</v>
      </c>
    </row>
    <row r="187" customFormat="false" ht="35.05" hidden="false" customHeight="false" outlineLevel="0" collapsed="false">
      <c r="A187" s="6" t="n">
        <v>357</v>
      </c>
      <c r="B187" s="7" t="n">
        <v>41659</v>
      </c>
      <c r="C187" s="6" t="s">
        <v>51</v>
      </c>
      <c r="D187" s="6" t="s">
        <v>862</v>
      </c>
      <c r="E187" s="6" t="s">
        <v>53</v>
      </c>
      <c r="F187" s="6" t="s">
        <v>863</v>
      </c>
      <c r="G187" s="6" t="n">
        <v>356</v>
      </c>
      <c r="H187" s="6" t="s">
        <v>55</v>
      </c>
      <c r="I187" s="8" t="s">
        <v>56</v>
      </c>
      <c r="J187" s="6" t="s">
        <v>864</v>
      </c>
      <c r="K187" s="8" t="s">
        <v>58</v>
      </c>
      <c r="L187" s="6"/>
      <c r="M187" s="6" t="s">
        <v>407</v>
      </c>
      <c r="N187" s="6" t="n">
        <v>1</v>
      </c>
      <c r="O187" s="6" t="n">
        <v>1</v>
      </c>
      <c r="P187" s="9" t="n">
        <v>0.8</v>
      </c>
      <c r="Q187" s="8" t="s">
        <v>60</v>
      </c>
      <c r="R187" s="6" t="s">
        <v>857</v>
      </c>
      <c r="S187" s="6" t="s">
        <v>861</v>
      </c>
      <c r="T187" s="6" t="s">
        <v>62</v>
      </c>
    </row>
    <row r="188" customFormat="false" ht="23.85" hidden="false" customHeight="false" outlineLevel="0" collapsed="false">
      <c r="A188" s="6" t="n">
        <v>358</v>
      </c>
      <c r="B188" s="7" t="n">
        <v>42096</v>
      </c>
      <c r="C188" s="6" t="s">
        <v>51</v>
      </c>
      <c r="D188" s="6" t="s">
        <v>865</v>
      </c>
      <c r="E188" s="6" t="s">
        <v>53</v>
      </c>
      <c r="F188" s="6" t="s">
        <v>866</v>
      </c>
      <c r="G188" s="6"/>
      <c r="H188" s="6" t="s">
        <v>55</v>
      </c>
      <c r="I188" s="8" t="s">
        <v>56</v>
      </c>
      <c r="J188" s="6" t="s">
        <v>867</v>
      </c>
      <c r="K188" s="8" t="s">
        <v>58</v>
      </c>
      <c r="L188" s="6"/>
      <c r="M188" s="6" t="s">
        <v>59</v>
      </c>
      <c r="N188" s="6" t="n">
        <v>1</v>
      </c>
      <c r="O188" s="6" t="n">
        <v>1</v>
      </c>
      <c r="P188" s="9" t="n">
        <v>0.8</v>
      </c>
      <c r="Q188" s="8" t="s">
        <v>60</v>
      </c>
      <c r="R188" s="6" t="s">
        <v>857</v>
      </c>
      <c r="S188" s="6"/>
      <c r="T188" s="6" t="s">
        <v>62</v>
      </c>
    </row>
    <row r="189" customFormat="false" ht="23.85" hidden="false" customHeight="false" outlineLevel="0" collapsed="false">
      <c r="A189" s="6" t="n">
        <v>359</v>
      </c>
      <c r="B189" s="7" t="n">
        <v>42122</v>
      </c>
      <c r="C189" s="6" t="s">
        <v>53</v>
      </c>
      <c r="D189" s="6" t="s">
        <v>868</v>
      </c>
      <c r="E189" s="6" t="s">
        <v>79</v>
      </c>
      <c r="F189" s="6" t="s">
        <v>869</v>
      </c>
      <c r="G189" s="6"/>
      <c r="H189" s="6" t="s">
        <v>870</v>
      </c>
      <c r="I189" s="8" t="s">
        <v>56</v>
      </c>
      <c r="J189" s="6" t="s">
        <v>871</v>
      </c>
      <c r="K189" s="8" t="s">
        <v>58</v>
      </c>
      <c r="L189" s="6"/>
      <c r="M189" s="6" t="s">
        <v>84</v>
      </c>
      <c r="N189" s="6" t="n">
        <v>1</v>
      </c>
      <c r="O189" s="6" t="n">
        <v>1</v>
      </c>
      <c r="P189" s="9" t="n">
        <v>0.8</v>
      </c>
      <c r="Q189" s="8" t="s">
        <v>60</v>
      </c>
      <c r="R189" s="6" t="s">
        <v>857</v>
      </c>
      <c r="S189" s="6" t="s">
        <v>872</v>
      </c>
      <c r="T189" s="6" t="s">
        <v>62</v>
      </c>
    </row>
    <row r="190" customFormat="false" ht="23.85" hidden="false" customHeight="false" outlineLevel="0" collapsed="false">
      <c r="A190" s="6" t="n">
        <v>360</v>
      </c>
      <c r="B190" s="7" t="n">
        <v>42122</v>
      </c>
      <c r="C190" s="6" t="s">
        <v>51</v>
      </c>
      <c r="D190" s="6" t="s">
        <v>873</v>
      </c>
      <c r="E190" s="6" t="s">
        <v>79</v>
      </c>
      <c r="F190" s="6" t="s">
        <v>874</v>
      </c>
      <c r="G190" s="6" t="n">
        <v>359</v>
      </c>
      <c r="H190" s="6" t="s">
        <v>55</v>
      </c>
      <c r="I190" s="8" t="s">
        <v>56</v>
      </c>
      <c r="J190" s="6" t="s">
        <v>871</v>
      </c>
      <c r="K190" s="8" t="s">
        <v>58</v>
      </c>
      <c r="L190" s="6"/>
      <c r="M190" s="6" t="s">
        <v>500</v>
      </c>
      <c r="N190" s="6" t="n">
        <v>1</v>
      </c>
      <c r="O190" s="6" t="n">
        <v>1</v>
      </c>
      <c r="P190" s="9" t="n">
        <v>0.8</v>
      </c>
      <c r="Q190" s="8" t="s">
        <v>60</v>
      </c>
      <c r="R190" s="6" t="s">
        <v>857</v>
      </c>
      <c r="S190" s="6" t="s">
        <v>872</v>
      </c>
      <c r="T190" s="6" t="s">
        <v>62</v>
      </c>
    </row>
    <row r="191" customFormat="false" ht="23.85" hidden="false" customHeight="false" outlineLevel="0" collapsed="false">
      <c r="A191" s="6" t="n">
        <v>361</v>
      </c>
      <c r="B191" s="7" t="n">
        <v>42199</v>
      </c>
      <c r="C191" s="6" t="s">
        <v>51</v>
      </c>
      <c r="D191" s="6" t="s">
        <v>875</v>
      </c>
      <c r="E191" s="6" t="s">
        <v>53</v>
      </c>
      <c r="F191" s="6" t="s">
        <v>876</v>
      </c>
      <c r="G191" s="6"/>
      <c r="H191" s="6" t="s">
        <v>55</v>
      </c>
      <c r="I191" s="8" t="s">
        <v>56</v>
      </c>
      <c r="J191" s="6" t="s">
        <v>877</v>
      </c>
      <c r="K191" s="8" t="s">
        <v>58</v>
      </c>
      <c r="L191" s="6"/>
      <c r="M191" s="6" t="s">
        <v>59</v>
      </c>
      <c r="N191" s="6" t="n">
        <v>1</v>
      </c>
      <c r="O191" s="6" t="n">
        <v>1</v>
      </c>
      <c r="P191" s="9" t="n">
        <v>0.8</v>
      </c>
      <c r="Q191" s="8" t="s">
        <v>60</v>
      </c>
      <c r="R191" s="6" t="s">
        <v>857</v>
      </c>
      <c r="S191" s="6"/>
      <c r="T191" s="6" t="s">
        <v>62</v>
      </c>
    </row>
    <row r="192" customFormat="false" ht="35.05" hidden="false" customHeight="false" outlineLevel="0" collapsed="false">
      <c r="A192" s="6" t="n">
        <v>362</v>
      </c>
      <c r="B192" s="7" t="n">
        <v>42205</v>
      </c>
      <c r="C192" s="6" t="s">
        <v>684</v>
      </c>
      <c r="D192" s="6" t="s">
        <v>878</v>
      </c>
      <c r="E192" s="6" t="s">
        <v>53</v>
      </c>
      <c r="F192" s="6" t="s">
        <v>879</v>
      </c>
      <c r="G192" s="6"/>
      <c r="H192" s="6" t="s">
        <v>55</v>
      </c>
      <c r="I192" s="8" t="s">
        <v>56</v>
      </c>
      <c r="J192" s="6" t="s">
        <v>880</v>
      </c>
      <c r="K192" s="8" t="s">
        <v>58</v>
      </c>
      <c r="L192" s="6"/>
      <c r="M192" s="6" t="s">
        <v>59</v>
      </c>
      <c r="N192" s="6" t="n">
        <v>1</v>
      </c>
      <c r="O192" s="6" t="n">
        <v>1</v>
      </c>
      <c r="P192" s="9" t="n">
        <v>0.8</v>
      </c>
      <c r="Q192" s="8" t="s">
        <v>60</v>
      </c>
      <c r="R192" s="6" t="s">
        <v>857</v>
      </c>
      <c r="S192" s="6"/>
      <c r="T192" s="6" t="s">
        <v>62</v>
      </c>
    </row>
    <row r="193" customFormat="false" ht="23.85" hidden="false" customHeight="false" outlineLevel="0" collapsed="false">
      <c r="A193" s="6" t="n">
        <v>363</v>
      </c>
      <c r="B193" s="7" t="n">
        <v>42381</v>
      </c>
      <c r="C193" s="6" t="s">
        <v>53</v>
      </c>
      <c r="D193" s="6" t="s">
        <v>881</v>
      </c>
      <c r="E193" s="6" t="s">
        <v>882</v>
      </c>
      <c r="F193" s="6" t="s">
        <v>883</v>
      </c>
      <c r="G193" s="6"/>
      <c r="H193" s="6" t="s">
        <v>884</v>
      </c>
      <c r="I193" s="8" t="s">
        <v>56</v>
      </c>
      <c r="J193" s="6" t="s">
        <v>885</v>
      </c>
      <c r="K193" s="8" t="s">
        <v>58</v>
      </c>
      <c r="L193" s="6"/>
      <c r="M193" s="6" t="s">
        <v>84</v>
      </c>
      <c r="N193" s="6" t="n">
        <v>2</v>
      </c>
      <c r="O193" s="6" t="n">
        <v>2</v>
      </c>
      <c r="P193" s="9" t="n">
        <v>0.96</v>
      </c>
      <c r="Q193" s="8" t="s">
        <v>60</v>
      </c>
      <c r="R193" s="6" t="s">
        <v>857</v>
      </c>
      <c r="S193" s="6"/>
      <c r="T193" s="6" t="s">
        <v>62</v>
      </c>
    </row>
    <row r="194" customFormat="false" ht="23.85" hidden="false" customHeight="false" outlineLevel="0" collapsed="false">
      <c r="A194" s="6" t="n">
        <v>364</v>
      </c>
      <c r="B194" s="7" t="n">
        <v>42385</v>
      </c>
      <c r="C194" s="6" t="s">
        <v>51</v>
      </c>
      <c r="D194" s="6" t="s">
        <v>886</v>
      </c>
      <c r="E194" s="6" t="s">
        <v>53</v>
      </c>
      <c r="F194" s="6" t="s">
        <v>887</v>
      </c>
      <c r="G194" s="6"/>
      <c r="H194" s="6" t="s">
        <v>55</v>
      </c>
      <c r="I194" s="8" t="s">
        <v>56</v>
      </c>
      <c r="J194" s="6" t="s">
        <v>888</v>
      </c>
      <c r="K194" s="8" t="s">
        <v>58</v>
      </c>
      <c r="L194" s="6"/>
      <c r="M194" s="6" t="s">
        <v>407</v>
      </c>
      <c r="N194" s="6" t="n">
        <v>1</v>
      </c>
      <c r="O194" s="6" t="n">
        <v>1</v>
      </c>
      <c r="P194" s="9" t="n">
        <v>0.8</v>
      </c>
      <c r="Q194" s="8" t="s">
        <v>60</v>
      </c>
      <c r="R194" s="6" t="s">
        <v>857</v>
      </c>
      <c r="S194" s="6"/>
      <c r="T194" s="6" t="s">
        <v>147</v>
      </c>
    </row>
    <row r="195" customFormat="false" ht="23.85" hidden="false" customHeight="false" outlineLevel="0" collapsed="false">
      <c r="A195" s="6" t="n">
        <v>365</v>
      </c>
      <c r="B195" s="7" t="n">
        <v>42386</v>
      </c>
      <c r="C195" s="6" t="s">
        <v>51</v>
      </c>
      <c r="D195" s="6" t="s">
        <v>889</v>
      </c>
      <c r="E195" s="6" t="s">
        <v>53</v>
      </c>
      <c r="F195" s="6" t="s">
        <v>890</v>
      </c>
      <c r="G195" s="6"/>
      <c r="H195" s="6" t="s">
        <v>55</v>
      </c>
      <c r="I195" s="8" t="s">
        <v>56</v>
      </c>
      <c r="J195" s="6" t="s">
        <v>891</v>
      </c>
      <c r="K195" s="8" t="s">
        <v>58</v>
      </c>
      <c r="L195" s="6"/>
      <c r="M195" s="6" t="s">
        <v>59</v>
      </c>
      <c r="N195" s="6" t="n">
        <v>1</v>
      </c>
      <c r="O195" s="6" t="n">
        <v>1</v>
      </c>
      <c r="P195" s="9" t="n">
        <v>0.8</v>
      </c>
      <c r="Q195" s="8" t="s">
        <v>60</v>
      </c>
      <c r="R195" s="6" t="s">
        <v>857</v>
      </c>
      <c r="S195" s="6"/>
      <c r="T195" s="6" t="s">
        <v>147</v>
      </c>
    </row>
    <row r="196" customFormat="false" ht="23.85" hidden="false" customHeight="false" outlineLevel="0" collapsed="false">
      <c r="A196" s="6" t="n">
        <v>366</v>
      </c>
      <c r="B196" s="7" t="n">
        <v>42769</v>
      </c>
      <c r="C196" s="6" t="s">
        <v>51</v>
      </c>
      <c r="D196" s="6" t="s">
        <v>892</v>
      </c>
      <c r="E196" s="6" t="s">
        <v>53</v>
      </c>
      <c r="F196" s="6" t="s">
        <v>893</v>
      </c>
      <c r="G196" s="6"/>
      <c r="H196" s="6" t="s">
        <v>55</v>
      </c>
      <c r="I196" s="8" t="s">
        <v>56</v>
      </c>
      <c r="J196" s="6" t="s">
        <v>894</v>
      </c>
      <c r="K196" s="8" t="s">
        <v>58</v>
      </c>
      <c r="L196" s="6"/>
      <c r="M196" s="6" t="s">
        <v>365</v>
      </c>
      <c r="N196" s="6" t="n">
        <v>2</v>
      </c>
      <c r="O196" s="6" t="n">
        <v>2</v>
      </c>
      <c r="P196" s="9" t="n">
        <v>0.96</v>
      </c>
      <c r="Q196" s="8" t="s">
        <v>60</v>
      </c>
      <c r="R196" s="6" t="s">
        <v>857</v>
      </c>
      <c r="S196" s="6"/>
      <c r="T196" s="6" t="s">
        <v>62</v>
      </c>
    </row>
    <row r="197" customFormat="false" ht="23.85" hidden="false" customHeight="false" outlineLevel="0" collapsed="false">
      <c r="A197" s="6" t="n">
        <v>367</v>
      </c>
      <c r="B197" s="7" t="n">
        <v>42949</v>
      </c>
      <c r="C197" s="6" t="s">
        <v>51</v>
      </c>
      <c r="D197" s="6" t="s">
        <v>895</v>
      </c>
      <c r="E197" s="6" t="s">
        <v>896</v>
      </c>
      <c r="F197" s="6" t="s">
        <v>897</v>
      </c>
      <c r="G197" s="6"/>
      <c r="H197" s="6" t="s">
        <v>55</v>
      </c>
      <c r="I197" s="8" t="s">
        <v>56</v>
      </c>
      <c r="J197" s="6" t="s">
        <v>898</v>
      </c>
      <c r="K197" s="8" t="s">
        <v>58</v>
      </c>
      <c r="L197" s="6"/>
      <c r="M197" s="6" t="s">
        <v>365</v>
      </c>
      <c r="N197" s="6" t="n">
        <v>1</v>
      </c>
      <c r="O197" s="6" t="n">
        <v>1</v>
      </c>
      <c r="P197" s="9" t="n">
        <v>0.8</v>
      </c>
      <c r="Q197" s="8" t="s">
        <v>60</v>
      </c>
      <c r="R197" s="6" t="s">
        <v>857</v>
      </c>
      <c r="S197" s="6"/>
      <c r="T197" s="6" t="s">
        <v>62</v>
      </c>
    </row>
    <row r="198" customFormat="false" ht="35.05" hidden="false" customHeight="false" outlineLevel="0" collapsed="false">
      <c r="A198" s="6" t="n">
        <v>368</v>
      </c>
      <c r="B198" s="7" t="n">
        <v>43021</v>
      </c>
      <c r="C198" s="6" t="s">
        <v>51</v>
      </c>
      <c r="D198" s="6" t="s">
        <v>899</v>
      </c>
      <c r="E198" s="6" t="s">
        <v>53</v>
      </c>
      <c r="F198" s="6" t="s">
        <v>900</v>
      </c>
      <c r="G198" s="6"/>
      <c r="H198" s="6" t="s">
        <v>55</v>
      </c>
      <c r="I198" s="8" t="s">
        <v>56</v>
      </c>
      <c r="J198" s="6" t="s">
        <v>901</v>
      </c>
      <c r="K198" s="8" t="s">
        <v>58</v>
      </c>
      <c r="L198" s="6"/>
      <c r="M198" s="6" t="s">
        <v>59</v>
      </c>
      <c r="N198" s="6" t="n">
        <v>1</v>
      </c>
      <c r="O198" s="6" t="n">
        <v>1</v>
      </c>
      <c r="P198" s="9" t="n">
        <v>0.8</v>
      </c>
      <c r="Q198" s="8" t="s">
        <v>60</v>
      </c>
      <c r="R198" s="6" t="s">
        <v>857</v>
      </c>
      <c r="S198" s="6"/>
      <c r="T198" s="6" t="s">
        <v>62</v>
      </c>
    </row>
    <row r="199" customFormat="false" ht="23.85" hidden="false" customHeight="false" outlineLevel="0" collapsed="false">
      <c r="A199" s="6" t="n">
        <v>369</v>
      </c>
      <c r="B199" s="7" t="n">
        <v>43228</v>
      </c>
      <c r="C199" s="6" t="s">
        <v>51</v>
      </c>
      <c r="D199" s="6" t="s">
        <v>902</v>
      </c>
      <c r="E199" s="6" t="s">
        <v>53</v>
      </c>
      <c r="F199" s="6" t="s">
        <v>903</v>
      </c>
      <c r="G199" s="6"/>
      <c r="H199" s="6" t="s">
        <v>55</v>
      </c>
      <c r="I199" s="8" t="s">
        <v>56</v>
      </c>
      <c r="J199" s="6" t="s">
        <v>904</v>
      </c>
      <c r="K199" s="8" t="s">
        <v>58</v>
      </c>
      <c r="L199" s="6"/>
      <c r="M199" s="6" t="s">
        <v>59</v>
      </c>
      <c r="N199" s="6" t="n">
        <v>1</v>
      </c>
      <c r="O199" s="6" t="n">
        <v>1</v>
      </c>
      <c r="P199" s="9" t="n">
        <v>0.8</v>
      </c>
      <c r="Q199" s="8" t="s">
        <v>60</v>
      </c>
      <c r="R199" s="6" t="s">
        <v>905</v>
      </c>
      <c r="S199" s="6" t="s">
        <v>906</v>
      </c>
      <c r="T199" s="6" t="s">
        <v>62</v>
      </c>
    </row>
    <row r="200" customFormat="false" ht="23.85" hidden="false" customHeight="false" outlineLevel="0" collapsed="false">
      <c r="A200" s="6" t="n">
        <v>370</v>
      </c>
      <c r="B200" s="7" t="n">
        <v>43241</v>
      </c>
      <c r="C200" s="6" t="s">
        <v>51</v>
      </c>
      <c r="D200" s="6" t="s">
        <v>907</v>
      </c>
      <c r="E200" s="6" t="s">
        <v>53</v>
      </c>
      <c r="F200" s="6" t="s">
        <v>908</v>
      </c>
      <c r="G200" s="6" t="n">
        <v>369</v>
      </c>
      <c r="H200" s="6" t="s">
        <v>55</v>
      </c>
      <c r="I200" s="8" t="s">
        <v>56</v>
      </c>
      <c r="J200" s="6" t="s">
        <v>909</v>
      </c>
      <c r="K200" s="8" t="s">
        <v>58</v>
      </c>
      <c r="L200" s="6"/>
      <c r="M200" s="6" t="s">
        <v>59</v>
      </c>
      <c r="N200" s="6" t="n">
        <v>1</v>
      </c>
      <c r="O200" s="6" t="n">
        <v>1</v>
      </c>
      <c r="P200" s="9" t="n">
        <v>0.8</v>
      </c>
      <c r="Q200" s="8" t="s">
        <v>60</v>
      </c>
      <c r="R200" s="6" t="s">
        <v>905</v>
      </c>
      <c r="S200" s="6" t="s">
        <v>906</v>
      </c>
      <c r="T200" s="6" t="s">
        <v>62</v>
      </c>
    </row>
    <row r="201" customFormat="false" ht="35.05" hidden="false" customHeight="false" outlineLevel="0" collapsed="false">
      <c r="A201" s="6" t="n">
        <v>371</v>
      </c>
      <c r="B201" s="7" t="n">
        <v>43318</v>
      </c>
      <c r="C201" s="6" t="s">
        <v>51</v>
      </c>
      <c r="D201" s="6" t="s">
        <v>910</v>
      </c>
      <c r="E201" s="6" t="s">
        <v>53</v>
      </c>
      <c r="F201" s="6" t="s">
        <v>911</v>
      </c>
      <c r="G201" s="6" t="n">
        <v>369</v>
      </c>
      <c r="H201" s="6" t="s">
        <v>55</v>
      </c>
      <c r="I201" s="8" t="s">
        <v>56</v>
      </c>
      <c r="J201" s="6" t="s">
        <v>912</v>
      </c>
      <c r="K201" s="8" t="s">
        <v>58</v>
      </c>
      <c r="L201" s="6"/>
      <c r="M201" s="6" t="s">
        <v>365</v>
      </c>
      <c r="N201" s="6" t="n">
        <v>1</v>
      </c>
      <c r="O201" s="6" t="n">
        <v>1</v>
      </c>
      <c r="P201" s="9" t="n">
        <v>0.8</v>
      </c>
      <c r="Q201" s="8" t="s">
        <v>60</v>
      </c>
      <c r="R201" s="6" t="s">
        <v>905</v>
      </c>
      <c r="S201" s="6" t="s">
        <v>906</v>
      </c>
      <c r="T201" s="6" t="s">
        <v>62</v>
      </c>
    </row>
    <row r="202" customFormat="false" ht="35.05" hidden="false" customHeight="false" outlineLevel="0" collapsed="false">
      <c r="A202" s="6" t="n">
        <v>372</v>
      </c>
      <c r="B202" s="7" t="n">
        <v>43371</v>
      </c>
      <c r="C202" s="6" t="s">
        <v>51</v>
      </c>
      <c r="D202" s="6" t="s">
        <v>913</v>
      </c>
      <c r="E202" s="6" t="s">
        <v>914</v>
      </c>
      <c r="F202" s="6" t="s">
        <v>915</v>
      </c>
      <c r="G202" s="6"/>
      <c r="H202" s="6" t="s">
        <v>55</v>
      </c>
      <c r="I202" s="8" t="s">
        <v>56</v>
      </c>
      <c r="J202" s="6" t="s">
        <v>916</v>
      </c>
      <c r="K202" s="8" t="s">
        <v>58</v>
      </c>
      <c r="L202" s="6"/>
      <c r="M202" s="6" t="s">
        <v>500</v>
      </c>
      <c r="N202" s="6" t="n">
        <v>1</v>
      </c>
      <c r="O202" s="6" t="n">
        <v>1</v>
      </c>
      <c r="P202" s="9" t="n">
        <v>0.8</v>
      </c>
      <c r="Q202" s="8" t="s">
        <v>60</v>
      </c>
      <c r="R202" s="6" t="s">
        <v>905</v>
      </c>
      <c r="S202" s="6" t="s">
        <v>917</v>
      </c>
      <c r="T202" s="6" t="s">
        <v>62</v>
      </c>
    </row>
    <row r="203" customFormat="false" ht="46.25" hidden="false" customHeight="false" outlineLevel="0" collapsed="false">
      <c r="A203" s="6" t="n">
        <v>373</v>
      </c>
      <c r="B203" s="7" t="n">
        <v>43376</v>
      </c>
      <c r="C203" s="6" t="s">
        <v>51</v>
      </c>
      <c r="D203" s="6" t="s">
        <v>918</v>
      </c>
      <c r="E203" s="6" t="s">
        <v>53</v>
      </c>
      <c r="F203" s="6" t="s">
        <v>919</v>
      </c>
      <c r="G203" s="6" t="n">
        <v>372</v>
      </c>
      <c r="H203" s="6" t="s">
        <v>55</v>
      </c>
      <c r="I203" s="8" t="s">
        <v>56</v>
      </c>
      <c r="J203" s="6" t="s">
        <v>920</v>
      </c>
      <c r="K203" s="8" t="s">
        <v>58</v>
      </c>
      <c r="L203" s="6"/>
      <c r="M203" s="6" t="s">
        <v>59</v>
      </c>
      <c r="N203" s="6" t="n">
        <v>1</v>
      </c>
      <c r="O203" s="6" t="n">
        <v>1</v>
      </c>
      <c r="P203" s="9" t="n">
        <v>0.8</v>
      </c>
      <c r="Q203" s="8" t="s">
        <v>60</v>
      </c>
      <c r="R203" s="6" t="s">
        <v>905</v>
      </c>
      <c r="S203" s="6" t="s">
        <v>917</v>
      </c>
      <c r="T203" s="6" t="s">
        <v>62</v>
      </c>
    </row>
    <row r="204" customFormat="false" ht="35.05" hidden="false" customHeight="false" outlineLevel="0" collapsed="false">
      <c r="A204" s="6" t="n">
        <v>374</v>
      </c>
      <c r="B204" s="7" t="n">
        <v>43409</v>
      </c>
      <c r="C204" s="6" t="s">
        <v>51</v>
      </c>
      <c r="D204" s="6" t="s">
        <v>921</v>
      </c>
      <c r="E204" s="6" t="s">
        <v>53</v>
      </c>
      <c r="F204" s="6" t="s">
        <v>922</v>
      </c>
      <c r="G204" s="6" t="n">
        <v>369</v>
      </c>
      <c r="H204" s="6" t="s">
        <v>55</v>
      </c>
      <c r="I204" s="8" t="s">
        <v>56</v>
      </c>
      <c r="J204" s="6" t="s">
        <v>923</v>
      </c>
      <c r="K204" s="8" t="s">
        <v>58</v>
      </c>
      <c r="L204" s="6"/>
      <c r="M204" s="6" t="s">
        <v>365</v>
      </c>
      <c r="N204" s="6" t="n">
        <v>1</v>
      </c>
      <c r="O204" s="6" t="n">
        <v>1</v>
      </c>
      <c r="P204" s="9" t="n">
        <v>0.8</v>
      </c>
      <c r="Q204" s="8" t="s">
        <v>60</v>
      </c>
      <c r="R204" s="6" t="s">
        <v>905</v>
      </c>
      <c r="S204" s="6" t="s">
        <v>906</v>
      </c>
      <c r="T204" s="6" t="s">
        <v>62</v>
      </c>
    </row>
    <row r="205" customFormat="false" ht="35.05" hidden="false" customHeight="false" outlineLevel="0" collapsed="false">
      <c r="A205" s="6" t="n">
        <v>375</v>
      </c>
      <c r="B205" s="7" t="n">
        <v>43563</v>
      </c>
      <c r="C205" s="6" t="s">
        <v>51</v>
      </c>
      <c r="D205" s="6" t="s">
        <v>924</v>
      </c>
      <c r="E205" s="6" t="s">
        <v>925</v>
      </c>
      <c r="F205" s="6" t="s">
        <v>926</v>
      </c>
      <c r="G205" s="6"/>
      <c r="H205" s="6" t="s">
        <v>55</v>
      </c>
      <c r="I205" s="8" t="s">
        <v>56</v>
      </c>
      <c r="J205" s="6" t="s">
        <v>927</v>
      </c>
      <c r="K205" s="8" t="s">
        <v>58</v>
      </c>
      <c r="L205" s="6"/>
      <c r="M205" s="6" t="s">
        <v>365</v>
      </c>
      <c r="N205" s="6" t="n">
        <v>1</v>
      </c>
      <c r="O205" s="6" t="n">
        <v>1</v>
      </c>
      <c r="P205" s="9" t="n">
        <v>0.8</v>
      </c>
      <c r="Q205" s="8" t="s">
        <v>60</v>
      </c>
      <c r="R205" s="6" t="s">
        <v>905</v>
      </c>
      <c r="S205" s="6"/>
      <c r="T205" s="6" t="s">
        <v>62</v>
      </c>
    </row>
    <row r="206" customFormat="false" ht="23.85" hidden="false" customHeight="false" outlineLevel="0" collapsed="false">
      <c r="A206" s="6" t="n">
        <v>376</v>
      </c>
      <c r="B206" s="7" t="n">
        <v>43577</v>
      </c>
      <c r="C206" s="6" t="s">
        <v>51</v>
      </c>
      <c r="D206" s="6" t="s">
        <v>928</v>
      </c>
      <c r="E206" s="6" t="s">
        <v>53</v>
      </c>
      <c r="F206" s="6" t="s">
        <v>929</v>
      </c>
      <c r="G206" s="6"/>
      <c r="H206" s="6" t="s">
        <v>55</v>
      </c>
      <c r="I206" s="10" t="s">
        <v>89</v>
      </c>
      <c r="J206" s="6" t="s">
        <v>930</v>
      </c>
      <c r="K206" s="8" t="s">
        <v>58</v>
      </c>
      <c r="L206" s="6"/>
      <c r="M206" s="6" t="s">
        <v>365</v>
      </c>
      <c r="N206" s="6" t="n">
        <v>1</v>
      </c>
      <c r="O206" s="6" t="n">
        <v>1</v>
      </c>
      <c r="P206" s="9" t="n">
        <v>0.6</v>
      </c>
      <c r="Q206" s="10" t="s">
        <v>119</v>
      </c>
      <c r="R206" s="6" t="s">
        <v>905</v>
      </c>
      <c r="S206" s="6"/>
      <c r="T206" s="6" t="s">
        <v>62</v>
      </c>
    </row>
    <row r="207" customFormat="false" ht="23.85" hidden="false" customHeight="false" outlineLevel="0" collapsed="false">
      <c r="A207" s="6" t="n">
        <v>201</v>
      </c>
      <c r="B207" s="7" t="n">
        <v>43590</v>
      </c>
      <c r="C207" s="6" t="s">
        <v>51</v>
      </c>
      <c r="D207" s="6" t="s">
        <v>931</v>
      </c>
      <c r="E207" s="6" t="s">
        <v>932</v>
      </c>
      <c r="F207" s="6" t="s">
        <v>933</v>
      </c>
      <c r="G207" s="6"/>
      <c r="H207" s="6" t="s">
        <v>55</v>
      </c>
      <c r="I207" s="10" t="s">
        <v>89</v>
      </c>
      <c r="J207" s="6" t="s">
        <v>934</v>
      </c>
      <c r="K207" s="8" t="s">
        <v>58</v>
      </c>
      <c r="L207" s="6"/>
      <c r="M207" s="6" t="s">
        <v>500</v>
      </c>
      <c r="N207" s="6" t="n">
        <v>1</v>
      </c>
      <c r="O207" s="6" t="n">
        <v>1</v>
      </c>
      <c r="P207" s="9" t="n">
        <v>0.64</v>
      </c>
      <c r="Q207" s="10" t="s">
        <v>119</v>
      </c>
      <c r="R207" s="6" t="s">
        <v>935</v>
      </c>
      <c r="S207" s="6"/>
      <c r="T207" s="6" t="s">
        <v>62</v>
      </c>
    </row>
    <row r="208" customFormat="false" ht="46.25" hidden="false" customHeight="false" outlineLevel="0" collapsed="false">
      <c r="A208" s="6" t="n">
        <v>202</v>
      </c>
      <c r="B208" s="7" t="n">
        <v>43597</v>
      </c>
      <c r="C208" s="6" t="s">
        <v>936</v>
      </c>
      <c r="D208" s="6" t="s">
        <v>937</v>
      </c>
      <c r="E208" s="6" t="s">
        <v>938</v>
      </c>
      <c r="F208" s="6" t="s">
        <v>939</v>
      </c>
      <c r="G208" s="6"/>
      <c r="H208" s="6" t="s">
        <v>940</v>
      </c>
      <c r="I208" s="8" t="s">
        <v>56</v>
      </c>
      <c r="J208" s="6" t="s">
        <v>941</v>
      </c>
      <c r="K208" s="8" t="s">
        <v>58</v>
      </c>
      <c r="L208" s="6"/>
      <c r="M208" s="6" t="s">
        <v>84</v>
      </c>
      <c r="N208" s="6" t="n">
        <v>2</v>
      </c>
      <c r="O208" s="6" t="n">
        <v>2</v>
      </c>
      <c r="P208" s="9" t="n">
        <v>0.87</v>
      </c>
      <c r="Q208" s="8" t="s">
        <v>60</v>
      </c>
      <c r="R208" s="6" t="s">
        <v>935</v>
      </c>
      <c r="S208" s="6"/>
      <c r="T208" s="6" t="s">
        <v>62</v>
      </c>
    </row>
    <row r="209" customFormat="false" ht="23.85" hidden="false" customHeight="false" outlineLevel="0" collapsed="false">
      <c r="A209" s="6" t="n">
        <v>203</v>
      </c>
      <c r="B209" s="7" t="n">
        <v>43629</v>
      </c>
      <c r="C209" s="6" t="s">
        <v>942</v>
      </c>
      <c r="D209" s="6" t="s">
        <v>476</v>
      </c>
      <c r="E209" s="6" t="s">
        <v>943</v>
      </c>
      <c r="F209" s="6" t="s">
        <v>944</v>
      </c>
      <c r="G209" s="6"/>
      <c r="H209" s="6" t="s">
        <v>945</v>
      </c>
      <c r="I209" s="8" t="s">
        <v>56</v>
      </c>
      <c r="J209" s="6" t="s">
        <v>946</v>
      </c>
      <c r="K209" s="8" t="s">
        <v>58</v>
      </c>
      <c r="L209" s="6"/>
      <c r="M209" s="6" t="s">
        <v>84</v>
      </c>
      <c r="N209" s="6" t="n">
        <v>2</v>
      </c>
      <c r="O209" s="6" t="n">
        <v>2</v>
      </c>
      <c r="P209" s="9" t="n">
        <v>0.87</v>
      </c>
      <c r="Q209" s="8" t="s">
        <v>60</v>
      </c>
      <c r="R209" s="6" t="s">
        <v>935</v>
      </c>
      <c r="S209" s="6" t="s">
        <v>947</v>
      </c>
      <c r="T209" s="6" t="s">
        <v>62</v>
      </c>
    </row>
    <row r="210" customFormat="false" ht="23.85" hidden="false" customHeight="false" outlineLevel="0" collapsed="false">
      <c r="A210" s="6" t="n">
        <v>204</v>
      </c>
      <c r="B210" s="7" t="n">
        <v>43633</v>
      </c>
      <c r="C210" s="6" t="s">
        <v>51</v>
      </c>
      <c r="D210" s="6" t="s">
        <v>931</v>
      </c>
      <c r="E210" s="6" t="s">
        <v>932</v>
      </c>
      <c r="F210" s="6" t="s">
        <v>948</v>
      </c>
      <c r="G210" s="6" t="n">
        <v>203</v>
      </c>
      <c r="H210" s="6" t="s">
        <v>55</v>
      </c>
      <c r="I210" s="8" t="s">
        <v>56</v>
      </c>
      <c r="J210" s="6" t="s">
        <v>949</v>
      </c>
      <c r="K210" s="8" t="s">
        <v>58</v>
      </c>
      <c r="L210" s="6"/>
      <c r="M210" s="6" t="s">
        <v>500</v>
      </c>
      <c r="N210" s="6" t="n">
        <v>2</v>
      </c>
      <c r="O210" s="6" t="n">
        <v>2</v>
      </c>
      <c r="P210" s="9" t="n">
        <v>0.87</v>
      </c>
      <c r="Q210" s="8" t="s">
        <v>60</v>
      </c>
      <c r="R210" s="6" t="s">
        <v>935</v>
      </c>
      <c r="S210" s="6" t="s">
        <v>947</v>
      </c>
      <c r="T210" s="6" t="s">
        <v>147</v>
      </c>
    </row>
    <row r="211" customFormat="false" ht="23.85" hidden="false" customHeight="false" outlineLevel="0" collapsed="false">
      <c r="A211" s="6" t="n">
        <v>205</v>
      </c>
      <c r="B211" s="7" t="n">
        <v>43636</v>
      </c>
      <c r="C211" s="6" t="s">
        <v>53</v>
      </c>
      <c r="D211" s="6" t="s">
        <v>950</v>
      </c>
      <c r="E211" s="6" t="s">
        <v>951</v>
      </c>
      <c r="F211" s="6" t="s">
        <v>952</v>
      </c>
      <c r="G211" s="6"/>
      <c r="H211" s="6" t="s">
        <v>953</v>
      </c>
      <c r="I211" s="8" t="s">
        <v>56</v>
      </c>
      <c r="J211" s="6" t="s">
        <v>954</v>
      </c>
      <c r="K211" s="8" t="s">
        <v>58</v>
      </c>
      <c r="L211" s="6"/>
      <c r="M211" s="6" t="s">
        <v>70</v>
      </c>
      <c r="N211" s="6" t="n">
        <v>2</v>
      </c>
      <c r="O211" s="6" t="n">
        <v>2</v>
      </c>
      <c r="P211" s="9" t="n">
        <v>0.87</v>
      </c>
      <c r="Q211" s="8" t="s">
        <v>60</v>
      </c>
      <c r="R211" s="6" t="s">
        <v>935</v>
      </c>
      <c r="S211" s="6" t="s">
        <v>955</v>
      </c>
      <c r="T211" s="6" t="s">
        <v>147</v>
      </c>
    </row>
    <row r="212" customFormat="false" ht="23.85" hidden="false" customHeight="false" outlineLevel="0" collapsed="false">
      <c r="A212" s="6" t="n">
        <v>206</v>
      </c>
      <c r="B212" s="7" t="n">
        <v>43640</v>
      </c>
      <c r="C212" s="6" t="s">
        <v>51</v>
      </c>
      <c r="D212" s="6" t="s">
        <v>361</v>
      </c>
      <c r="E212" s="6" t="s">
        <v>53</v>
      </c>
      <c r="F212" s="6" t="s">
        <v>956</v>
      </c>
      <c r="G212" s="6" t="n">
        <v>205</v>
      </c>
      <c r="H212" s="6" t="s">
        <v>55</v>
      </c>
      <c r="I212" s="10" t="s">
        <v>89</v>
      </c>
      <c r="J212" s="6" t="s">
        <v>957</v>
      </c>
      <c r="K212" s="8" t="s">
        <v>58</v>
      </c>
      <c r="L212" s="6"/>
      <c r="M212" s="6" t="s">
        <v>365</v>
      </c>
      <c r="N212" s="6" t="n">
        <v>1</v>
      </c>
      <c r="O212" s="6" t="n">
        <v>1</v>
      </c>
      <c r="P212" s="9" t="n">
        <v>0.64</v>
      </c>
      <c r="Q212" s="10" t="s">
        <v>119</v>
      </c>
      <c r="R212" s="6" t="s">
        <v>935</v>
      </c>
      <c r="S212" s="6" t="s">
        <v>955</v>
      </c>
      <c r="T212" s="6" t="s">
        <v>278</v>
      </c>
    </row>
    <row r="213" customFormat="false" ht="23.85" hidden="false" customHeight="false" outlineLevel="0" collapsed="false">
      <c r="A213" s="6" t="n">
        <v>207</v>
      </c>
      <c r="B213" s="7" t="n">
        <v>43664</v>
      </c>
      <c r="C213" s="6" t="s">
        <v>51</v>
      </c>
      <c r="D213" s="6" t="s">
        <v>958</v>
      </c>
      <c r="E213" s="6" t="s">
        <v>959</v>
      </c>
      <c r="F213" s="6" t="s">
        <v>960</v>
      </c>
      <c r="G213" s="6"/>
      <c r="H213" s="6" t="s">
        <v>961</v>
      </c>
      <c r="I213" s="8" t="s">
        <v>56</v>
      </c>
      <c r="J213" s="6" t="s">
        <v>962</v>
      </c>
      <c r="K213" s="8" t="s">
        <v>58</v>
      </c>
      <c r="L213" s="6"/>
      <c r="M213" s="6" t="s">
        <v>70</v>
      </c>
      <c r="N213" s="6" t="n">
        <v>2</v>
      </c>
      <c r="O213" s="6" t="n">
        <v>2</v>
      </c>
      <c r="P213" s="9" t="n">
        <v>0.87</v>
      </c>
      <c r="Q213" s="8" t="s">
        <v>60</v>
      </c>
      <c r="R213" s="6" t="s">
        <v>935</v>
      </c>
      <c r="S213" s="6"/>
      <c r="T213" s="6" t="s">
        <v>62</v>
      </c>
    </row>
    <row r="214" customFormat="false" ht="23.85" hidden="false" customHeight="false" outlineLevel="0" collapsed="false">
      <c r="A214" s="6" t="n">
        <v>208</v>
      </c>
      <c r="B214" s="7" t="n">
        <v>43677</v>
      </c>
      <c r="C214" s="6" t="s">
        <v>51</v>
      </c>
      <c r="D214" s="6" t="s">
        <v>361</v>
      </c>
      <c r="E214" s="6" t="s">
        <v>53</v>
      </c>
      <c r="F214" s="6" t="s">
        <v>963</v>
      </c>
      <c r="G214" s="6"/>
      <c r="H214" s="6" t="s">
        <v>55</v>
      </c>
      <c r="I214" s="8" t="s">
        <v>56</v>
      </c>
      <c r="J214" s="6" t="s">
        <v>964</v>
      </c>
      <c r="K214" s="8" t="s">
        <v>58</v>
      </c>
      <c r="L214" s="6"/>
      <c r="M214" s="6" t="s">
        <v>365</v>
      </c>
      <c r="N214" s="6" t="n">
        <v>2</v>
      </c>
      <c r="O214" s="6" t="n">
        <v>2</v>
      </c>
      <c r="P214" s="9" t="n">
        <v>0.87</v>
      </c>
      <c r="Q214" s="8" t="s">
        <v>60</v>
      </c>
      <c r="R214" s="6" t="s">
        <v>935</v>
      </c>
      <c r="S214" s="6"/>
      <c r="T214" s="6" t="s">
        <v>297</v>
      </c>
    </row>
    <row r="215" customFormat="false" ht="23.85" hidden="false" customHeight="false" outlineLevel="0" collapsed="false">
      <c r="A215" s="6" t="n">
        <v>209</v>
      </c>
      <c r="B215" s="7" t="n">
        <v>43722</v>
      </c>
      <c r="C215" s="6" t="s">
        <v>965</v>
      </c>
      <c r="D215" s="6" t="s">
        <v>966</v>
      </c>
      <c r="E215" s="6" t="s">
        <v>967</v>
      </c>
      <c r="F215" s="6" t="s">
        <v>968</v>
      </c>
      <c r="G215" s="6"/>
      <c r="H215" s="6" t="s">
        <v>969</v>
      </c>
      <c r="I215" s="8" t="s">
        <v>56</v>
      </c>
      <c r="J215" s="6" t="s">
        <v>970</v>
      </c>
      <c r="K215" s="8" t="s">
        <v>58</v>
      </c>
      <c r="L215" s="6"/>
      <c r="M215" s="6" t="s">
        <v>70</v>
      </c>
      <c r="N215" s="6" t="n">
        <v>2</v>
      </c>
      <c r="O215" s="6" t="n">
        <v>2</v>
      </c>
      <c r="P215" s="9" t="n">
        <v>0.87</v>
      </c>
      <c r="Q215" s="8" t="s">
        <v>60</v>
      </c>
      <c r="R215" s="6" t="s">
        <v>935</v>
      </c>
      <c r="S215" s="6" t="s">
        <v>971</v>
      </c>
      <c r="T215" s="6" t="s">
        <v>62</v>
      </c>
    </row>
    <row r="216" customFormat="false" ht="23.85" hidden="false" customHeight="false" outlineLevel="0" collapsed="false">
      <c r="A216" s="6" t="n">
        <v>210</v>
      </c>
      <c r="B216" s="7" t="n">
        <v>43728</v>
      </c>
      <c r="C216" s="6" t="s">
        <v>51</v>
      </c>
      <c r="D216" s="6" t="s">
        <v>361</v>
      </c>
      <c r="E216" s="6" t="s">
        <v>53</v>
      </c>
      <c r="F216" s="6" t="s">
        <v>972</v>
      </c>
      <c r="G216" s="6" t="n">
        <v>209</v>
      </c>
      <c r="H216" s="6" t="s">
        <v>55</v>
      </c>
      <c r="I216" s="10" t="s">
        <v>89</v>
      </c>
      <c r="J216" s="6" t="s">
        <v>973</v>
      </c>
      <c r="K216" s="8" t="s">
        <v>58</v>
      </c>
      <c r="L216" s="6"/>
      <c r="M216" s="6" t="s">
        <v>365</v>
      </c>
      <c r="N216" s="6" t="n">
        <v>1</v>
      </c>
      <c r="O216" s="6" t="n">
        <v>1</v>
      </c>
      <c r="P216" s="9" t="n">
        <v>0.64</v>
      </c>
      <c r="Q216" s="10" t="s">
        <v>119</v>
      </c>
      <c r="R216" s="6" t="s">
        <v>935</v>
      </c>
      <c r="S216" s="6" t="s">
        <v>971</v>
      </c>
      <c r="T216" s="6" t="s">
        <v>297</v>
      </c>
    </row>
    <row r="217" customFormat="false" ht="23.85" hidden="false" customHeight="false" outlineLevel="0" collapsed="false">
      <c r="A217" s="6" t="n">
        <v>211</v>
      </c>
      <c r="B217" s="7" t="n">
        <v>43728</v>
      </c>
      <c r="C217" s="6" t="s">
        <v>51</v>
      </c>
      <c r="D217" s="6" t="s">
        <v>931</v>
      </c>
      <c r="E217" s="6" t="s">
        <v>974</v>
      </c>
      <c r="F217" s="6" t="s">
        <v>975</v>
      </c>
      <c r="G217" s="6" t="n">
        <v>209</v>
      </c>
      <c r="H217" s="6" t="s">
        <v>55</v>
      </c>
      <c r="I217" s="8" t="s">
        <v>56</v>
      </c>
      <c r="J217" s="6" t="s">
        <v>976</v>
      </c>
      <c r="K217" s="8" t="s">
        <v>58</v>
      </c>
      <c r="L217" s="6"/>
      <c r="M217" s="6" t="s">
        <v>500</v>
      </c>
      <c r="N217" s="6" t="n">
        <v>2</v>
      </c>
      <c r="O217" s="6" t="n">
        <v>2</v>
      </c>
      <c r="P217" s="9" t="n">
        <v>0.87</v>
      </c>
      <c r="Q217" s="8" t="s">
        <v>60</v>
      </c>
      <c r="R217" s="6" t="s">
        <v>935</v>
      </c>
      <c r="S217" s="6" t="s">
        <v>971</v>
      </c>
      <c r="T217" s="6" t="s">
        <v>297</v>
      </c>
    </row>
    <row r="218" customFormat="false" ht="35.05" hidden="false" customHeight="false" outlineLevel="0" collapsed="false">
      <c r="A218" s="6" t="n">
        <v>212</v>
      </c>
      <c r="B218" s="7" t="n">
        <v>43826</v>
      </c>
      <c r="C218" s="6" t="s">
        <v>977</v>
      </c>
      <c r="D218" s="6" t="s">
        <v>978</v>
      </c>
      <c r="E218" s="6" t="s">
        <v>979</v>
      </c>
      <c r="F218" s="6" t="s">
        <v>980</v>
      </c>
      <c r="G218" s="6"/>
      <c r="H218" s="6" t="s">
        <v>981</v>
      </c>
      <c r="I218" s="8" t="s">
        <v>56</v>
      </c>
      <c r="J218" s="6" t="s">
        <v>982</v>
      </c>
      <c r="K218" s="8" t="s">
        <v>58</v>
      </c>
      <c r="L218" s="6"/>
      <c r="M218" s="6" t="s">
        <v>70</v>
      </c>
      <c r="N218" s="6" t="n">
        <v>2</v>
      </c>
      <c r="O218" s="6" t="n">
        <v>2</v>
      </c>
      <c r="P218" s="9" t="n">
        <v>0.87</v>
      </c>
      <c r="Q218" s="8" t="s">
        <v>60</v>
      </c>
      <c r="R218" s="6" t="s">
        <v>935</v>
      </c>
      <c r="S218" s="6" t="s">
        <v>983</v>
      </c>
      <c r="T218" s="6" t="s">
        <v>62</v>
      </c>
    </row>
    <row r="219" customFormat="false" ht="23.85" hidden="false" customHeight="false" outlineLevel="0" collapsed="false">
      <c r="A219" s="6" t="n">
        <v>213</v>
      </c>
      <c r="B219" s="7" t="n">
        <v>43828</v>
      </c>
      <c r="C219" s="6" t="s">
        <v>51</v>
      </c>
      <c r="D219" s="6" t="s">
        <v>984</v>
      </c>
      <c r="E219" s="6" t="s">
        <v>985</v>
      </c>
      <c r="F219" s="6" t="s">
        <v>986</v>
      </c>
      <c r="G219" s="6" t="n">
        <v>212</v>
      </c>
      <c r="H219" s="6" t="s">
        <v>987</v>
      </c>
      <c r="I219" s="8" t="s">
        <v>56</v>
      </c>
      <c r="J219" s="6" t="s">
        <v>982</v>
      </c>
      <c r="K219" s="8" t="s">
        <v>58</v>
      </c>
      <c r="L219" s="6"/>
      <c r="M219" s="6" t="s">
        <v>70</v>
      </c>
      <c r="N219" s="6" t="n">
        <v>2</v>
      </c>
      <c r="O219" s="6" t="n">
        <v>2</v>
      </c>
      <c r="P219" s="9" t="n">
        <v>0.87</v>
      </c>
      <c r="Q219" s="8" t="s">
        <v>60</v>
      </c>
      <c r="R219" s="6" t="s">
        <v>935</v>
      </c>
      <c r="S219" s="6" t="s">
        <v>983</v>
      </c>
      <c r="T219" s="6" t="s">
        <v>289</v>
      </c>
    </row>
    <row r="220" customFormat="false" ht="35.05" hidden="false" customHeight="false" outlineLevel="0" collapsed="false">
      <c r="A220" s="6" t="n">
        <v>214</v>
      </c>
      <c r="B220" s="7" t="n">
        <v>43830</v>
      </c>
      <c r="C220" s="6" t="s">
        <v>988</v>
      </c>
      <c r="D220" s="6" t="s">
        <v>989</v>
      </c>
      <c r="E220" s="6" t="s">
        <v>990</v>
      </c>
      <c r="F220" s="6" t="s">
        <v>991</v>
      </c>
      <c r="G220" s="6" t="n">
        <v>213</v>
      </c>
      <c r="H220" s="6" t="s">
        <v>992</v>
      </c>
      <c r="I220" s="10" t="s">
        <v>89</v>
      </c>
      <c r="J220" s="6" t="s">
        <v>993</v>
      </c>
      <c r="K220" s="8" t="s">
        <v>58</v>
      </c>
      <c r="L220" s="6"/>
      <c r="M220" s="6" t="s">
        <v>70</v>
      </c>
      <c r="N220" s="6" t="n">
        <v>1</v>
      </c>
      <c r="O220" s="6" t="n">
        <v>1</v>
      </c>
      <c r="P220" s="9" t="n">
        <v>0.64</v>
      </c>
      <c r="Q220" s="10" t="s">
        <v>119</v>
      </c>
      <c r="R220" s="6" t="s">
        <v>935</v>
      </c>
      <c r="S220" s="6" t="s">
        <v>983</v>
      </c>
      <c r="T220" s="6" t="s">
        <v>180</v>
      </c>
    </row>
    <row r="221" customFormat="false" ht="35.05" hidden="false" customHeight="false" outlineLevel="0" collapsed="false">
      <c r="A221" s="6" t="n">
        <v>215</v>
      </c>
      <c r="B221" s="7" t="n">
        <v>43833</v>
      </c>
      <c r="C221" s="6" t="s">
        <v>51</v>
      </c>
      <c r="D221" s="6" t="s">
        <v>169</v>
      </c>
      <c r="E221" s="6" t="s">
        <v>994</v>
      </c>
      <c r="F221" s="6" t="s">
        <v>995</v>
      </c>
      <c r="G221" s="6" t="n">
        <v>214</v>
      </c>
      <c r="H221" s="6" t="s">
        <v>996</v>
      </c>
      <c r="I221" s="8" t="s">
        <v>56</v>
      </c>
      <c r="J221" s="6" t="s">
        <v>997</v>
      </c>
      <c r="K221" s="8" t="s">
        <v>58</v>
      </c>
      <c r="L221" s="6"/>
      <c r="M221" s="6" t="s">
        <v>70</v>
      </c>
      <c r="N221" s="6" t="n">
        <v>2</v>
      </c>
      <c r="O221" s="6" t="n">
        <v>2</v>
      </c>
      <c r="P221" s="9" t="n">
        <v>0.87</v>
      </c>
      <c r="Q221" s="8" t="s">
        <v>60</v>
      </c>
      <c r="R221" s="6" t="s">
        <v>935</v>
      </c>
      <c r="S221" s="6" t="s">
        <v>983</v>
      </c>
      <c r="T221" s="6" t="s">
        <v>192</v>
      </c>
    </row>
    <row r="222" customFormat="false" ht="23.85" hidden="false" customHeight="false" outlineLevel="0" collapsed="false">
      <c r="A222" s="6" t="n">
        <v>216</v>
      </c>
      <c r="B222" s="7" t="n">
        <v>43838</v>
      </c>
      <c r="C222" s="6" t="s">
        <v>53</v>
      </c>
      <c r="D222" s="6" t="s">
        <v>85</v>
      </c>
      <c r="E222" s="6" t="s">
        <v>998</v>
      </c>
      <c r="F222" s="6" t="s">
        <v>999</v>
      </c>
      <c r="G222" s="6" t="n">
        <v>215</v>
      </c>
      <c r="H222" s="6" t="s">
        <v>1000</v>
      </c>
      <c r="I222" s="8" t="s">
        <v>56</v>
      </c>
      <c r="J222" s="6" t="s">
        <v>1001</v>
      </c>
      <c r="K222" s="8" t="s">
        <v>58</v>
      </c>
      <c r="L222" s="6"/>
      <c r="M222" s="6" t="s">
        <v>70</v>
      </c>
      <c r="N222" s="6" t="n">
        <v>2</v>
      </c>
      <c r="O222" s="6" t="n">
        <v>2</v>
      </c>
      <c r="P222" s="9" t="n">
        <v>0.87</v>
      </c>
      <c r="Q222" s="8" t="s">
        <v>60</v>
      </c>
      <c r="R222" s="6" t="s">
        <v>935</v>
      </c>
      <c r="S222" s="6" t="s">
        <v>983</v>
      </c>
      <c r="T222" s="6" t="s">
        <v>326</v>
      </c>
    </row>
    <row r="223" customFormat="false" ht="23.85" hidden="false" customHeight="false" outlineLevel="0" collapsed="false">
      <c r="A223" s="6" t="n">
        <v>217</v>
      </c>
      <c r="B223" s="7" t="n">
        <v>43840</v>
      </c>
      <c r="C223" s="6" t="s">
        <v>51</v>
      </c>
      <c r="D223" s="6" t="s">
        <v>361</v>
      </c>
      <c r="E223" s="6" t="s">
        <v>53</v>
      </c>
      <c r="F223" s="6" t="s">
        <v>1002</v>
      </c>
      <c r="G223" s="6" t="n">
        <v>216</v>
      </c>
      <c r="H223" s="6" t="s">
        <v>55</v>
      </c>
      <c r="I223" s="10" t="s">
        <v>89</v>
      </c>
      <c r="J223" s="6" t="s">
        <v>1003</v>
      </c>
      <c r="K223" s="8" t="s">
        <v>58</v>
      </c>
      <c r="L223" s="6"/>
      <c r="M223" s="6" t="s">
        <v>365</v>
      </c>
      <c r="N223" s="6" t="n">
        <v>1</v>
      </c>
      <c r="O223" s="6" t="n">
        <v>1</v>
      </c>
      <c r="P223" s="9" t="n">
        <v>0.64</v>
      </c>
      <c r="Q223" s="10" t="s">
        <v>119</v>
      </c>
      <c r="R223" s="6" t="s">
        <v>935</v>
      </c>
      <c r="S223" s="6" t="s">
        <v>983</v>
      </c>
      <c r="T223" s="6" t="s">
        <v>207</v>
      </c>
    </row>
    <row r="224" customFormat="false" ht="35.05" hidden="false" customHeight="false" outlineLevel="0" collapsed="false">
      <c r="A224" s="6" t="n">
        <v>218</v>
      </c>
      <c r="B224" s="7" t="n">
        <v>43901</v>
      </c>
      <c r="C224" s="6" t="s">
        <v>977</v>
      </c>
      <c r="D224" s="6" t="s">
        <v>978</v>
      </c>
      <c r="E224" s="6" t="s">
        <v>1004</v>
      </c>
      <c r="F224" s="6" t="s">
        <v>1005</v>
      </c>
      <c r="G224" s="6"/>
      <c r="H224" s="6" t="s">
        <v>1006</v>
      </c>
      <c r="I224" s="10" t="s">
        <v>89</v>
      </c>
      <c r="J224" s="6" t="s">
        <v>1007</v>
      </c>
      <c r="K224" s="8" t="s">
        <v>58</v>
      </c>
      <c r="L224" s="6"/>
      <c r="M224" s="6" t="s">
        <v>70</v>
      </c>
      <c r="N224" s="6" t="n">
        <v>1</v>
      </c>
      <c r="O224" s="6" t="n">
        <v>1</v>
      </c>
      <c r="P224" s="9" t="n">
        <v>0.64</v>
      </c>
      <c r="Q224" s="10" t="s">
        <v>119</v>
      </c>
      <c r="R224" s="6" t="s">
        <v>935</v>
      </c>
      <c r="S224" s="6" t="s">
        <v>1008</v>
      </c>
      <c r="T224" s="6" t="s">
        <v>62</v>
      </c>
    </row>
    <row r="225" customFormat="false" ht="23.85" hidden="false" customHeight="false" outlineLevel="0" collapsed="false">
      <c r="A225" s="6" t="n">
        <v>219</v>
      </c>
      <c r="B225" s="7" t="n">
        <v>43902</v>
      </c>
      <c r="C225" s="6" t="s">
        <v>51</v>
      </c>
      <c r="D225" s="6" t="s">
        <v>1009</v>
      </c>
      <c r="E225" s="6" t="s">
        <v>1010</v>
      </c>
      <c r="F225" s="6" t="s">
        <v>1011</v>
      </c>
      <c r="G225" s="6" t="n">
        <v>218</v>
      </c>
      <c r="H225" s="6" t="s">
        <v>1012</v>
      </c>
      <c r="I225" s="10" t="s">
        <v>89</v>
      </c>
      <c r="J225" s="6" t="s">
        <v>1007</v>
      </c>
      <c r="K225" s="8" t="s">
        <v>58</v>
      </c>
      <c r="L225" s="6"/>
      <c r="M225" s="6" t="s">
        <v>70</v>
      </c>
      <c r="N225" s="6" t="n">
        <v>1</v>
      </c>
      <c r="O225" s="6" t="n">
        <v>1</v>
      </c>
      <c r="P225" s="9" t="n">
        <v>0.64</v>
      </c>
      <c r="Q225" s="10" t="s">
        <v>119</v>
      </c>
      <c r="R225" s="6" t="s">
        <v>935</v>
      </c>
      <c r="S225" s="6" t="s">
        <v>1008</v>
      </c>
      <c r="T225" s="6" t="s">
        <v>289</v>
      </c>
    </row>
    <row r="226" customFormat="false" ht="35.05" hidden="false" customHeight="false" outlineLevel="0" collapsed="false">
      <c r="A226" s="6" t="n">
        <v>220</v>
      </c>
      <c r="B226" s="7" t="n">
        <v>43904</v>
      </c>
      <c r="C226" s="6" t="s">
        <v>1013</v>
      </c>
      <c r="D226" s="6" t="s">
        <v>978</v>
      </c>
      <c r="E226" s="6" t="s">
        <v>1004</v>
      </c>
      <c r="F226" s="6" t="s">
        <v>1014</v>
      </c>
      <c r="G226" s="6" t="n">
        <v>219</v>
      </c>
      <c r="H226" s="6" t="s">
        <v>1015</v>
      </c>
      <c r="I226" s="8" t="s">
        <v>56</v>
      </c>
      <c r="J226" s="6" t="s">
        <v>1016</v>
      </c>
      <c r="K226" s="8" t="s">
        <v>58</v>
      </c>
      <c r="L226" s="6"/>
      <c r="M226" s="6" t="s">
        <v>70</v>
      </c>
      <c r="N226" s="6" t="n">
        <v>1</v>
      </c>
      <c r="O226" s="6" t="n">
        <v>1</v>
      </c>
      <c r="P226" s="9" t="n">
        <v>0.8</v>
      </c>
      <c r="Q226" s="8" t="s">
        <v>60</v>
      </c>
      <c r="R226" s="6" t="s">
        <v>935</v>
      </c>
      <c r="S226" s="6" t="s">
        <v>1008</v>
      </c>
      <c r="T226" s="6" t="s">
        <v>175</v>
      </c>
    </row>
    <row r="227" customFormat="false" ht="23.85" hidden="false" customHeight="false" outlineLevel="0" collapsed="false">
      <c r="A227" s="6" t="n">
        <v>221</v>
      </c>
      <c r="B227" s="7" t="n">
        <v>44057</v>
      </c>
      <c r="C227" s="6" t="s">
        <v>51</v>
      </c>
      <c r="D227" s="6" t="s">
        <v>1017</v>
      </c>
      <c r="E227" s="6" t="s">
        <v>260</v>
      </c>
      <c r="F227" s="6" t="s">
        <v>1018</v>
      </c>
      <c r="G227" s="6"/>
      <c r="H227" s="6" t="s">
        <v>55</v>
      </c>
      <c r="I227" s="8" t="s">
        <v>56</v>
      </c>
      <c r="J227" s="6" t="s">
        <v>1019</v>
      </c>
      <c r="K227" s="8" t="s">
        <v>58</v>
      </c>
      <c r="L227" s="6"/>
      <c r="M227" s="6" t="s">
        <v>84</v>
      </c>
      <c r="N227" s="6" t="n">
        <v>2</v>
      </c>
      <c r="O227" s="6" t="n">
        <v>2</v>
      </c>
      <c r="P227" s="9" t="n">
        <v>0.87</v>
      </c>
      <c r="Q227" s="8" t="s">
        <v>60</v>
      </c>
      <c r="R227" s="6" t="s">
        <v>1020</v>
      </c>
      <c r="S227" s="6"/>
      <c r="T227" s="6" t="s">
        <v>62</v>
      </c>
    </row>
    <row r="228" customFormat="false" ht="23.85" hidden="false" customHeight="false" outlineLevel="0" collapsed="false">
      <c r="A228" s="6" t="n">
        <v>222</v>
      </c>
      <c r="B228" s="7" t="n">
        <v>44252</v>
      </c>
      <c r="C228" s="6" t="s">
        <v>51</v>
      </c>
      <c r="D228" s="6" t="s">
        <v>1021</v>
      </c>
      <c r="E228" s="6" t="s">
        <v>1022</v>
      </c>
      <c r="F228" s="6" t="s">
        <v>1023</v>
      </c>
      <c r="G228" s="6"/>
      <c r="H228" s="6" t="s">
        <v>1012</v>
      </c>
      <c r="I228" s="10" t="s">
        <v>89</v>
      </c>
      <c r="J228" s="6" t="s">
        <v>1024</v>
      </c>
      <c r="K228" s="8" t="s">
        <v>58</v>
      </c>
      <c r="L228" s="6"/>
      <c r="M228" s="6" t="s">
        <v>70</v>
      </c>
      <c r="N228" s="6" t="n">
        <v>1</v>
      </c>
      <c r="O228" s="6" t="n">
        <v>1</v>
      </c>
      <c r="P228" s="9" t="n">
        <v>0.64</v>
      </c>
      <c r="Q228" s="10" t="s">
        <v>119</v>
      </c>
      <c r="R228" s="6" t="s">
        <v>1020</v>
      </c>
      <c r="S228" s="6"/>
      <c r="T228" s="6" t="s">
        <v>62</v>
      </c>
    </row>
    <row r="229" customFormat="false" ht="23.85" hidden="false" customHeight="false" outlineLevel="0" collapsed="false">
      <c r="A229" s="6" t="n">
        <v>223</v>
      </c>
      <c r="B229" s="7" t="n">
        <v>44374</v>
      </c>
      <c r="C229" s="6" t="s">
        <v>51</v>
      </c>
      <c r="D229" s="6" t="s">
        <v>1021</v>
      </c>
      <c r="E229" s="6" t="s">
        <v>1025</v>
      </c>
      <c r="F229" s="6" t="s">
        <v>1026</v>
      </c>
      <c r="G229" s="6"/>
      <c r="H229" s="6" t="s">
        <v>55</v>
      </c>
      <c r="I229" s="8" t="s">
        <v>56</v>
      </c>
      <c r="J229" s="6" t="s">
        <v>1027</v>
      </c>
      <c r="K229" s="8" t="s">
        <v>58</v>
      </c>
      <c r="L229" s="6"/>
      <c r="M229" s="6" t="s">
        <v>70</v>
      </c>
      <c r="N229" s="6" t="n">
        <v>1</v>
      </c>
      <c r="O229" s="6" t="n">
        <v>1</v>
      </c>
      <c r="P229" s="9" t="n">
        <v>0.8</v>
      </c>
      <c r="Q229" s="8" t="s">
        <v>60</v>
      </c>
      <c r="R229" s="6" t="s">
        <v>1020</v>
      </c>
      <c r="S229" s="6" t="s">
        <v>1028</v>
      </c>
      <c r="T229" s="6" t="s">
        <v>62</v>
      </c>
    </row>
    <row r="230" customFormat="false" ht="35.05" hidden="false" customHeight="false" outlineLevel="0" collapsed="false">
      <c r="A230" s="6" t="n">
        <v>224</v>
      </c>
      <c r="B230" s="7" t="n">
        <v>44375</v>
      </c>
      <c r="C230" s="6" t="s">
        <v>1013</v>
      </c>
      <c r="D230" s="6" t="s">
        <v>978</v>
      </c>
      <c r="E230" s="6" t="s">
        <v>1029</v>
      </c>
      <c r="F230" s="6" t="s">
        <v>1030</v>
      </c>
      <c r="G230" s="6" t="n">
        <v>223</v>
      </c>
      <c r="H230" s="6" t="s">
        <v>1031</v>
      </c>
      <c r="I230" s="8" t="s">
        <v>56</v>
      </c>
      <c r="J230" s="6" t="s">
        <v>1032</v>
      </c>
      <c r="K230" s="8" t="s">
        <v>58</v>
      </c>
      <c r="L230" s="6"/>
      <c r="M230" s="6" t="s">
        <v>70</v>
      </c>
      <c r="N230" s="6" t="n">
        <v>2</v>
      </c>
      <c r="O230" s="6" t="n">
        <v>2</v>
      </c>
      <c r="P230" s="9" t="n">
        <v>0.93</v>
      </c>
      <c r="Q230" s="8" t="s">
        <v>60</v>
      </c>
      <c r="R230" s="6" t="s">
        <v>1020</v>
      </c>
      <c r="S230" s="6" t="s">
        <v>1028</v>
      </c>
      <c r="T230" s="6" t="s">
        <v>297</v>
      </c>
    </row>
    <row r="231" customFormat="false" ht="23.85" hidden="false" customHeight="false" outlineLevel="0" collapsed="false">
      <c r="A231" s="6" t="n">
        <v>225</v>
      </c>
      <c r="B231" s="7" t="n">
        <v>44797</v>
      </c>
      <c r="C231" s="6" t="s">
        <v>51</v>
      </c>
      <c r="D231" s="6" t="s">
        <v>1033</v>
      </c>
      <c r="E231" s="6" t="s">
        <v>1034</v>
      </c>
      <c r="F231" s="6" t="s">
        <v>1035</v>
      </c>
      <c r="G231" s="6"/>
      <c r="H231" s="6" t="s">
        <v>1036</v>
      </c>
      <c r="I231" s="8" t="s">
        <v>56</v>
      </c>
      <c r="J231" s="6" t="s">
        <v>1037</v>
      </c>
      <c r="K231" s="8" t="s">
        <v>58</v>
      </c>
      <c r="L231" s="6"/>
      <c r="M231" s="6" t="s">
        <v>70</v>
      </c>
      <c r="N231" s="6" t="n">
        <v>2</v>
      </c>
      <c r="O231" s="6" t="n">
        <v>2</v>
      </c>
      <c r="P231" s="9" t="n">
        <v>0.93</v>
      </c>
      <c r="Q231" s="8" t="s">
        <v>60</v>
      </c>
      <c r="R231" s="6" t="s">
        <v>1020</v>
      </c>
      <c r="S231" s="6" t="s">
        <v>1038</v>
      </c>
      <c r="T231" s="6" t="s">
        <v>62</v>
      </c>
    </row>
    <row r="232" customFormat="false" ht="23.85" hidden="false" customHeight="false" outlineLevel="0" collapsed="false">
      <c r="A232" s="6" t="n">
        <v>226</v>
      </c>
      <c r="B232" s="7" t="n">
        <v>44797</v>
      </c>
      <c r="C232" s="6" t="s">
        <v>1039</v>
      </c>
      <c r="D232" s="6" t="s">
        <v>978</v>
      </c>
      <c r="E232" s="6" t="s">
        <v>1040</v>
      </c>
      <c r="F232" s="6" t="s">
        <v>1041</v>
      </c>
      <c r="G232" s="6" t="n">
        <v>225</v>
      </c>
      <c r="H232" s="6" t="s">
        <v>1042</v>
      </c>
      <c r="I232" s="8" t="s">
        <v>56</v>
      </c>
      <c r="J232" s="6" t="s">
        <v>1043</v>
      </c>
      <c r="K232" s="8" t="s">
        <v>58</v>
      </c>
      <c r="L232" s="6"/>
      <c r="M232" s="6" t="s">
        <v>70</v>
      </c>
      <c r="N232" s="6" t="n">
        <v>1</v>
      </c>
      <c r="O232" s="6" t="n">
        <v>1</v>
      </c>
      <c r="P232" s="9" t="n">
        <v>0.8</v>
      </c>
      <c r="Q232" s="8" t="s">
        <v>60</v>
      </c>
      <c r="R232" s="6" t="s">
        <v>1020</v>
      </c>
      <c r="S232" s="6" t="s">
        <v>1038</v>
      </c>
      <c r="T232" s="6" t="s">
        <v>62</v>
      </c>
    </row>
    <row r="233" customFormat="false" ht="35.05" hidden="false" customHeight="false" outlineLevel="0" collapsed="false">
      <c r="A233" s="6" t="n">
        <v>227</v>
      </c>
      <c r="B233" s="7" t="n">
        <v>45008</v>
      </c>
      <c r="C233" s="6" t="s">
        <v>1044</v>
      </c>
      <c r="D233" s="6" t="s">
        <v>1045</v>
      </c>
      <c r="E233" s="6" t="s">
        <v>1046</v>
      </c>
      <c r="F233" s="6" t="s">
        <v>1047</v>
      </c>
      <c r="G233" s="6"/>
      <c r="H233" s="6" t="s">
        <v>1048</v>
      </c>
      <c r="I233" s="8" t="s">
        <v>56</v>
      </c>
      <c r="J233" s="6" t="s">
        <v>1049</v>
      </c>
      <c r="K233" s="8" t="s">
        <v>58</v>
      </c>
      <c r="L233" s="6"/>
      <c r="M233" s="6" t="s">
        <v>70</v>
      </c>
      <c r="N233" s="6" t="n">
        <v>2</v>
      </c>
      <c r="O233" s="6" t="n">
        <v>1</v>
      </c>
      <c r="P233" s="9" t="n">
        <v>0.8</v>
      </c>
      <c r="Q233" s="8" t="s">
        <v>60</v>
      </c>
      <c r="R233" s="6" t="s">
        <v>1020</v>
      </c>
      <c r="S233" s="6" t="s">
        <v>1050</v>
      </c>
      <c r="T233" s="6" t="s">
        <v>62</v>
      </c>
    </row>
    <row r="234" customFormat="false" ht="23.85" hidden="false" customHeight="false" outlineLevel="0" collapsed="false">
      <c r="A234" s="6" t="n">
        <v>228</v>
      </c>
      <c r="B234" s="7" t="n">
        <v>45008</v>
      </c>
      <c r="C234" s="6" t="s">
        <v>51</v>
      </c>
      <c r="D234" s="6" t="s">
        <v>1051</v>
      </c>
      <c r="E234" s="6" t="s">
        <v>1052</v>
      </c>
      <c r="F234" s="6" t="s">
        <v>1053</v>
      </c>
      <c r="G234" s="6" t="n">
        <v>227</v>
      </c>
      <c r="H234" s="6" t="s">
        <v>1054</v>
      </c>
      <c r="I234" s="8" t="s">
        <v>56</v>
      </c>
      <c r="J234" s="6" t="s">
        <v>1055</v>
      </c>
      <c r="K234" s="8" t="s">
        <v>58</v>
      </c>
      <c r="L234" s="6"/>
      <c r="M234" s="6" t="s">
        <v>70</v>
      </c>
      <c r="N234" s="6" t="n">
        <v>1</v>
      </c>
      <c r="O234" s="6" t="n">
        <v>1</v>
      </c>
      <c r="P234" s="9" t="n">
        <v>0.8</v>
      </c>
      <c r="Q234" s="8" t="s">
        <v>60</v>
      </c>
      <c r="R234" s="6" t="s">
        <v>1020</v>
      </c>
      <c r="S234" s="6" t="s">
        <v>1050</v>
      </c>
      <c r="T234" s="6" t="s">
        <v>62</v>
      </c>
    </row>
    <row r="235" customFormat="false" ht="35.05" hidden="false" customHeight="false" outlineLevel="0" collapsed="false">
      <c r="A235" s="6" t="n">
        <v>229</v>
      </c>
      <c r="B235" s="7" t="n">
        <v>45009</v>
      </c>
      <c r="C235" s="6" t="s">
        <v>1056</v>
      </c>
      <c r="D235" s="6" t="s">
        <v>1057</v>
      </c>
      <c r="E235" s="6" t="s">
        <v>1040</v>
      </c>
      <c r="F235" s="6" t="s">
        <v>1058</v>
      </c>
      <c r="G235" s="6" t="n">
        <v>228</v>
      </c>
      <c r="H235" s="6" t="s">
        <v>1059</v>
      </c>
      <c r="I235" s="8" t="s">
        <v>56</v>
      </c>
      <c r="J235" s="6" t="s">
        <v>1055</v>
      </c>
      <c r="K235" s="8" t="s">
        <v>58</v>
      </c>
      <c r="L235" s="6"/>
      <c r="M235" s="6" t="s">
        <v>70</v>
      </c>
      <c r="N235" s="6" t="n">
        <v>1</v>
      </c>
      <c r="O235" s="6" t="n">
        <v>1</v>
      </c>
      <c r="P235" s="9" t="n">
        <v>0.8</v>
      </c>
      <c r="Q235" s="8" t="s">
        <v>60</v>
      </c>
      <c r="R235" s="6" t="s">
        <v>1020</v>
      </c>
      <c r="S235" s="6" t="s">
        <v>1050</v>
      </c>
      <c r="T235" s="6" t="s">
        <v>175</v>
      </c>
    </row>
    <row r="236" customFormat="false" ht="23.85" hidden="false" customHeight="false" outlineLevel="0" collapsed="false">
      <c r="A236" s="6" t="n">
        <v>230</v>
      </c>
      <c r="B236" s="7" t="n">
        <v>45043</v>
      </c>
      <c r="C236" s="6" t="s">
        <v>53</v>
      </c>
      <c r="D236" s="6" t="s">
        <v>1060</v>
      </c>
      <c r="E236" s="6" t="s">
        <v>1061</v>
      </c>
      <c r="F236" s="6" t="s">
        <v>1062</v>
      </c>
      <c r="G236" s="6"/>
      <c r="H236" s="6" t="s">
        <v>1063</v>
      </c>
      <c r="I236" s="10" t="s">
        <v>89</v>
      </c>
      <c r="J236" s="6" t="s">
        <v>1064</v>
      </c>
      <c r="K236" s="8" t="s">
        <v>58</v>
      </c>
      <c r="L236" s="6"/>
      <c r="M236" s="6" t="s">
        <v>84</v>
      </c>
      <c r="N236" s="6" t="n">
        <v>2</v>
      </c>
      <c r="O236" s="6" t="n">
        <v>1</v>
      </c>
      <c r="P236" s="9" t="n">
        <v>0.64</v>
      </c>
      <c r="Q236" s="10" t="s">
        <v>119</v>
      </c>
      <c r="R236" s="6" t="s">
        <v>1020</v>
      </c>
      <c r="S236" s="6"/>
      <c r="T236" s="6" t="s">
        <v>62</v>
      </c>
    </row>
    <row r="237" customFormat="false" ht="23.85" hidden="false" customHeight="false" outlineLevel="0" collapsed="false">
      <c r="A237" s="6" t="n">
        <v>231</v>
      </c>
      <c r="B237" s="7" t="n">
        <v>45124</v>
      </c>
      <c r="C237" s="6" t="s">
        <v>51</v>
      </c>
      <c r="D237" s="6" t="s">
        <v>931</v>
      </c>
      <c r="E237" s="6" t="s">
        <v>1065</v>
      </c>
      <c r="F237" s="6" t="s">
        <v>1066</v>
      </c>
      <c r="G237" s="6"/>
      <c r="H237" s="6" t="s">
        <v>55</v>
      </c>
      <c r="I237" s="8" t="s">
        <v>56</v>
      </c>
      <c r="J237" s="6" t="s">
        <v>1067</v>
      </c>
      <c r="K237" s="8" t="s">
        <v>58</v>
      </c>
      <c r="L237" s="6"/>
      <c r="M237" s="6" t="s">
        <v>500</v>
      </c>
      <c r="N237" s="6" t="n">
        <v>2</v>
      </c>
      <c r="O237" s="6" t="n">
        <v>2</v>
      </c>
      <c r="P237" s="9" t="n">
        <v>0.87</v>
      </c>
      <c r="Q237" s="8" t="s">
        <v>60</v>
      </c>
      <c r="R237" s="6" t="s">
        <v>1020</v>
      </c>
      <c r="S237" s="6"/>
      <c r="T237" s="6" t="s">
        <v>62</v>
      </c>
    </row>
    <row r="238" customFormat="false" ht="23.85" hidden="false" customHeight="false" outlineLevel="0" collapsed="false">
      <c r="A238" s="6" t="n">
        <v>232</v>
      </c>
      <c r="B238" s="7" t="n">
        <v>45148</v>
      </c>
      <c r="C238" s="6" t="s">
        <v>213</v>
      </c>
      <c r="D238" s="6" t="s">
        <v>1068</v>
      </c>
      <c r="E238" s="6" t="s">
        <v>53</v>
      </c>
      <c r="F238" s="6" t="s">
        <v>1069</v>
      </c>
      <c r="G238" s="6"/>
      <c r="H238" s="6" t="s">
        <v>55</v>
      </c>
      <c r="I238" s="8" t="s">
        <v>56</v>
      </c>
      <c r="J238" s="6" t="s">
        <v>1070</v>
      </c>
      <c r="K238" s="8" t="s">
        <v>58</v>
      </c>
      <c r="L238" s="6"/>
      <c r="M238" s="6" t="s">
        <v>59</v>
      </c>
      <c r="N238" s="6" t="n">
        <v>2</v>
      </c>
      <c r="O238" s="6" t="n">
        <v>2</v>
      </c>
      <c r="P238" s="9" t="n">
        <v>0.87</v>
      </c>
      <c r="Q238" s="8" t="s">
        <v>60</v>
      </c>
      <c r="R238" s="6" t="s">
        <v>1020</v>
      </c>
      <c r="S238" s="6"/>
      <c r="T238" s="6" t="s">
        <v>62</v>
      </c>
    </row>
    <row r="239" customFormat="false" ht="23.85" hidden="false" customHeight="false" outlineLevel="0" collapsed="false">
      <c r="A239" s="6" t="n">
        <v>233</v>
      </c>
      <c r="B239" s="7" t="n">
        <v>45225</v>
      </c>
      <c r="C239" s="6" t="s">
        <v>51</v>
      </c>
      <c r="D239" s="6" t="s">
        <v>1071</v>
      </c>
      <c r="E239" s="6" t="s">
        <v>1072</v>
      </c>
      <c r="F239" s="6" t="s">
        <v>1073</v>
      </c>
      <c r="G239" s="6"/>
      <c r="H239" s="6" t="s">
        <v>55</v>
      </c>
      <c r="I239" s="10" t="s">
        <v>89</v>
      </c>
      <c r="J239" s="6" t="s">
        <v>1074</v>
      </c>
      <c r="K239" s="8" t="s">
        <v>58</v>
      </c>
      <c r="L239" s="6"/>
      <c r="M239" s="6" t="s">
        <v>70</v>
      </c>
      <c r="N239" s="6" t="n">
        <v>1</v>
      </c>
      <c r="O239" s="6" t="n">
        <v>1</v>
      </c>
      <c r="P239" s="9" t="n">
        <v>0.64</v>
      </c>
      <c r="Q239" s="10" t="s">
        <v>119</v>
      </c>
      <c r="R239" s="6" t="s">
        <v>1020</v>
      </c>
      <c r="S239" s="6"/>
      <c r="T239" s="6" t="s">
        <v>62</v>
      </c>
    </row>
    <row r="240" customFormat="false" ht="23.85" hidden="false" customHeight="false" outlineLevel="0" collapsed="false">
      <c r="A240" s="6" t="n">
        <v>234</v>
      </c>
      <c r="B240" s="7" t="n">
        <v>45238</v>
      </c>
      <c r="C240" s="6" t="s">
        <v>51</v>
      </c>
      <c r="D240" s="6" t="s">
        <v>1075</v>
      </c>
      <c r="E240" s="6" t="s">
        <v>1072</v>
      </c>
      <c r="F240" s="6" t="s">
        <v>1076</v>
      </c>
      <c r="G240" s="6"/>
      <c r="H240" s="6" t="s">
        <v>55</v>
      </c>
      <c r="I240" s="10" t="s">
        <v>89</v>
      </c>
      <c r="J240" s="6" t="s">
        <v>1077</v>
      </c>
      <c r="K240" s="8" t="s">
        <v>58</v>
      </c>
      <c r="L240" s="6"/>
      <c r="M240" s="6" t="s">
        <v>70</v>
      </c>
      <c r="N240" s="6" t="n">
        <v>1</v>
      </c>
      <c r="O240" s="6" t="n">
        <v>1</v>
      </c>
      <c r="P240" s="9" t="n">
        <v>0.64</v>
      </c>
      <c r="Q240" s="10" t="s">
        <v>119</v>
      </c>
      <c r="R240" s="6" t="s">
        <v>1020</v>
      </c>
      <c r="S240" s="6"/>
      <c r="T240" s="6" t="s">
        <v>297</v>
      </c>
    </row>
    <row r="241" customFormat="false" ht="35.05" hidden="false" customHeight="false" outlineLevel="0" collapsed="false">
      <c r="A241" s="6" t="n">
        <v>235</v>
      </c>
      <c r="B241" s="7" t="n">
        <v>45285</v>
      </c>
      <c r="C241" s="6" t="s">
        <v>977</v>
      </c>
      <c r="D241" s="6" t="s">
        <v>1045</v>
      </c>
      <c r="E241" s="6" t="s">
        <v>1078</v>
      </c>
      <c r="F241" s="6" t="s">
        <v>1079</v>
      </c>
      <c r="G241" s="6"/>
      <c r="H241" s="6" t="s">
        <v>1080</v>
      </c>
      <c r="I241" s="10" t="s">
        <v>89</v>
      </c>
      <c r="J241" s="6" t="s">
        <v>1081</v>
      </c>
      <c r="K241" s="8" t="s">
        <v>58</v>
      </c>
      <c r="L241" s="6"/>
      <c r="M241" s="6" t="s">
        <v>70</v>
      </c>
      <c r="N241" s="6" t="n">
        <v>1</v>
      </c>
      <c r="O241" s="6" t="n">
        <v>1</v>
      </c>
      <c r="P241" s="9" t="n">
        <v>0.64</v>
      </c>
      <c r="Q241" s="10" t="s">
        <v>119</v>
      </c>
      <c r="R241" s="6" t="s">
        <v>1020</v>
      </c>
      <c r="S241" s="6" t="s">
        <v>1082</v>
      </c>
      <c r="T241" s="6" t="s">
        <v>62</v>
      </c>
    </row>
    <row r="242" customFormat="false" ht="23.85" hidden="false" customHeight="false" outlineLevel="0" collapsed="false">
      <c r="A242" s="6" t="n">
        <v>236</v>
      </c>
      <c r="B242" s="7" t="n">
        <v>45286</v>
      </c>
      <c r="C242" s="6" t="s">
        <v>51</v>
      </c>
      <c r="D242" s="6" t="s">
        <v>984</v>
      </c>
      <c r="E242" s="6" t="s">
        <v>1010</v>
      </c>
      <c r="F242" s="6" t="s">
        <v>1083</v>
      </c>
      <c r="G242" s="6" t="n">
        <v>235</v>
      </c>
      <c r="H242" s="6" t="s">
        <v>55</v>
      </c>
      <c r="I242" s="8" t="s">
        <v>56</v>
      </c>
      <c r="J242" s="6" t="s">
        <v>1084</v>
      </c>
      <c r="K242" s="8" t="s">
        <v>58</v>
      </c>
      <c r="L242" s="6"/>
      <c r="M242" s="6" t="s">
        <v>70</v>
      </c>
      <c r="N242" s="6" t="n">
        <v>2</v>
      </c>
      <c r="O242" s="6" t="n">
        <v>2</v>
      </c>
      <c r="P242" s="9" t="n">
        <v>0.87</v>
      </c>
      <c r="Q242" s="8" t="s">
        <v>60</v>
      </c>
      <c r="R242" s="6" t="s">
        <v>1020</v>
      </c>
      <c r="S242" s="6" t="s">
        <v>1082</v>
      </c>
      <c r="T242" s="6" t="s">
        <v>297</v>
      </c>
    </row>
    <row r="243" customFormat="false" ht="23.85" hidden="false" customHeight="false" outlineLevel="0" collapsed="false">
      <c r="A243" s="6" t="n">
        <v>237</v>
      </c>
      <c r="B243" s="7" t="n">
        <v>45295</v>
      </c>
      <c r="C243" s="6" t="s">
        <v>51</v>
      </c>
      <c r="D243" s="6" t="s">
        <v>1085</v>
      </c>
      <c r="E243" s="6" t="s">
        <v>1086</v>
      </c>
      <c r="F243" s="6" t="s">
        <v>1087</v>
      </c>
      <c r="G243" s="6"/>
      <c r="H243" s="6" t="s">
        <v>1088</v>
      </c>
      <c r="I243" s="10" t="s">
        <v>89</v>
      </c>
      <c r="J243" s="6" t="s">
        <v>1089</v>
      </c>
      <c r="K243" s="8" t="s">
        <v>58</v>
      </c>
      <c r="L243" s="6"/>
      <c r="M243" s="6" t="s">
        <v>70</v>
      </c>
      <c r="N243" s="6" t="n">
        <v>1</v>
      </c>
      <c r="O243" s="6" t="n">
        <v>1</v>
      </c>
      <c r="P243" s="9" t="n">
        <v>0.64</v>
      </c>
      <c r="Q243" s="10" t="s">
        <v>119</v>
      </c>
      <c r="R243" s="6" t="s">
        <v>1020</v>
      </c>
      <c r="S243" s="6"/>
      <c r="T243" s="6" t="s">
        <v>289</v>
      </c>
    </row>
    <row r="244" customFormat="false" ht="35.05" hidden="false" customHeight="false" outlineLevel="0" collapsed="false">
      <c r="A244" s="6" t="n">
        <v>238</v>
      </c>
      <c r="B244" s="7" t="n">
        <v>45319</v>
      </c>
      <c r="C244" s="6" t="s">
        <v>1090</v>
      </c>
      <c r="D244" s="6" t="s">
        <v>1045</v>
      </c>
      <c r="E244" s="6" t="s">
        <v>1091</v>
      </c>
      <c r="F244" s="6" t="s">
        <v>1092</v>
      </c>
      <c r="G244" s="6"/>
      <c r="H244" s="6" t="s">
        <v>1093</v>
      </c>
      <c r="I244" s="10" t="s">
        <v>89</v>
      </c>
      <c r="J244" s="6" t="s">
        <v>1094</v>
      </c>
      <c r="K244" s="8" t="s">
        <v>58</v>
      </c>
      <c r="L244" s="6"/>
      <c r="M244" s="6" t="s">
        <v>70</v>
      </c>
      <c r="N244" s="6" t="n">
        <v>1</v>
      </c>
      <c r="O244" s="6" t="n">
        <v>1</v>
      </c>
      <c r="P244" s="9" t="n">
        <v>0.64</v>
      </c>
      <c r="Q244" s="10" t="s">
        <v>119</v>
      </c>
      <c r="R244" s="6" t="s">
        <v>1020</v>
      </c>
      <c r="S244" s="6" t="s">
        <v>1095</v>
      </c>
      <c r="T244" s="6" t="s">
        <v>62</v>
      </c>
    </row>
    <row r="245" customFormat="false" ht="23.85" hidden="false" customHeight="false" outlineLevel="0" collapsed="false">
      <c r="A245" s="6" t="n">
        <v>239</v>
      </c>
      <c r="B245" s="7" t="n">
        <v>45321</v>
      </c>
      <c r="C245" s="6" t="s">
        <v>1096</v>
      </c>
      <c r="D245" s="6" t="s">
        <v>1097</v>
      </c>
      <c r="E245" s="6" t="s">
        <v>1098</v>
      </c>
      <c r="F245" s="6" t="s">
        <v>1099</v>
      </c>
      <c r="G245" s="6" t="n">
        <v>238</v>
      </c>
      <c r="H245" s="6" t="s">
        <v>55</v>
      </c>
      <c r="I245" s="8" t="s">
        <v>56</v>
      </c>
      <c r="J245" s="6" t="s">
        <v>1100</v>
      </c>
      <c r="K245" s="8" t="s">
        <v>58</v>
      </c>
      <c r="L245" s="6"/>
      <c r="M245" s="6" t="s">
        <v>407</v>
      </c>
      <c r="N245" s="6" t="n">
        <v>2</v>
      </c>
      <c r="O245" s="6" t="n">
        <v>2</v>
      </c>
      <c r="P245" s="9" t="n">
        <v>0.87</v>
      </c>
      <c r="Q245" s="8" t="s">
        <v>60</v>
      </c>
      <c r="R245" s="6" t="s">
        <v>1020</v>
      </c>
      <c r="S245" s="6" t="s">
        <v>1095</v>
      </c>
      <c r="T245" s="6" t="s">
        <v>289</v>
      </c>
    </row>
    <row r="246" customFormat="false" ht="23.85" hidden="false" customHeight="false" outlineLevel="0" collapsed="false">
      <c r="A246" s="6" t="n">
        <v>240</v>
      </c>
      <c r="B246" s="7" t="n">
        <v>45324</v>
      </c>
      <c r="C246" s="6" t="s">
        <v>51</v>
      </c>
      <c r="D246" s="6" t="s">
        <v>1101</v>
      </c>
      <c r="E246" s="6" t="s">
        <v>1102</v>
      </c>
      <c r="F246" s="6" t="s">
        <v>1103</v>
      </c>
      <c r="G246" s="6" t="n">
        <v>238</v>
      </c>
      <c r="H246" s="6" t="s">
        <v>1104</v>
      </c>
      <c r="I246" s="8" t="s">
        <v>56</v>
      </c>
      <c r="J246" s="6" t="s">
        <v>1105</v>
      </c>
      <c r="K246" s="8" t="s">
        <v>58</v>
      </c>
      <c r="L246" s="6"/>
      <c r="M246" s="6" t="s">
        <v>70</v>
      </c>
      <c r="N246" s="6" t="n">
        <v>2</v>
      </c>
      <c r="O246" s="6" t="n">
        <v>2</v>
      </c>
      <c r="P246" s="9" t="n">
        <v>0.87</v>
      </c>
      <c r="Q246" s="8" t="s">
        <v>60</v>
      </c>
      <c r="R246" s="6" t="s">
        <v>1020</v>
      </c>
      <c r="S246" s="6" t="s">
        <v>1095</v>
      </c>
      <c r="T246" s="6" t="s">
        <v>289</v>
      </c>
    </row>
    <row r="247" customFormat="false" ht="35.05" hidden="false" customHeight="false" outlineLevel="0" collapsed="false">
      <c r="A247" s="6" t="n">
        <v>241</v>
      </c>
      <c r="B247" s="7" t="n">
        <v>45326</v>
      </c>
      <c r="C247" s="6" t="s">
        <v>1090</v>
      </c>
      <c r="D247" s="6" t="s">
        <v>1045</v>
      </c>
      <c r="E247" s="6" t="s">
        <v>1106</v>
      </c>
      <c r="F247" s="6" t="s">
        <v>1107</v>
      </c>
      <c r="G247" s="6" t="n">
        <v>240</v>
      </c>
      <c r="H247" s="6" t="s">
        <v>1108</v>
      </c>
      <c r="I247" s="8" t="s">
        <v>56</v>
      </c>
      <c r="J247" s="6" t="s">
        <v>1109</v>
      </c>
      <c r="K247" s="8" t="s">
        <v>58</v>
      </c>
      <c r="L247" s="6"/>
      <c r="M247" s="6" t="s">
        <v>70</v>
      </c>
      <c r="N247" s="6" t="n">
        <v>1</v>
      </c>
      <c r="O247" s="6" t="n">
        <v>1</v>
      </c>
      <c r="P247" s="9" t="n">
        <v>0.8</v>
      </c>
      <c r="Q247" s="8" t="s">
        <v>60</v>
      </c>
      <c r="R247" s="6" t="s">
        <v>1020</v>
      </c>
      <c r="S247" s="6" t="s">
        <v>1095</v>
      </c>
      <c r="T247" s="6" t="s">
        <v>180</v>
      </c>
    </row>
    <row r="248" customFormat="false" ht="23.85" hidden="false" customHeight="false" outlineLevel="0" collapsed="false">
      <c r="A248" s="6" t="n">
        <v>242</v>
      </c>
      <c r="B248" s="7" t="n">
        <v>45329</v>
      </c>
      <c r="C248" s="6" t="s">
        <v>51</v>
      </c>
      <c r="D248" s="6" t="s">
        <v>169</v>
      </c>
      <c r="E248" s="6" t="s">
        <v>1110</v>
      </c>
      <c r="F248" s="6" t="s">
        <v>1111</v>
      </c>
      <c r="G248" s="6"/>
      <c r="H248" s="6" t="s">
        <v>1112</v>
      </c>
      <c r="I248" s="10" t="s">
        <v>89</v>
      </c>
      <c r="J248" s="6" t="s">
        <v>1113</v>
      </c>
      <c r="K248" s="8" t="s">
        <v>58</v>
      </c>
      <c r="L248" s="6"/>
      <c r="M248" s="6" t="s">
        <v>70</v>
      </c>
      <c r="N248" s="6" t="n">
        <v>1</v>
      </c>
      <c r="O248" s="6" t="n">
        <v>1</v>
      </c>
      <c r="P248" s="9" t="n">
        <v>0.64</v>
      </c>
      <c r="Q248" s="10" t="s">
        <v>119</v>
      </c>
      <c r="R248" s="6" t="s">
        <v>1020</v>
      </c>
      <c r="S248" s="6"/>
      <c r="T248" s="6" t="s">
        <v>201</v>
      </c>
    </row>
    <row r="249" customFormat="false" ht="23.85" hidden="false" customHeight="false" outlineLevel="0" collapsed="false">
      <c r="A249" s="6" t="n">
        <v>243</v>
      </c>
      <c r="B249" s="7" t="n">
        <v>45395</v>
      </c>
      <c r="C249" s="6" t="s">
        <v>53</v>
      </c>
      <c r="D249" s="6" t="s">
        <v>1114</v>
      </c>
      <c r="E249" s="6" t="s">
        <v>155</v>
      </c>
      <c r="F249" s="6" t="s">
        <v>1115</v>
      </c>
      <c r="G249" s="6"/>
      <c r="H249" s="6" t="s">
        <v>1116</v>
      </c>
      <c r="I249" s="10" t="s">
        <v>89</v>
      </c>
      <c r="J249" s="6" t="s">
        <v>1117</v>
      </c>
      <c r="K249" s="8" t="s">
        <v>58</v>
      </c>
      <c r="L249" s="6"/>
      <c r="M249" s="6" t="s">
        <v>70</v>
      </c>
      <c r="N249" s="6" t="n">
        <v>1</v>
      </c>
      <c r="O249" s="6" t="n">
        <v>1</v>
      </c>
      <c r="P249" s="9" t="n">
        <v>0.64</v>
      </c>
      <c r="Q249" s="10" t="s">
        <v>119</v>
      </c>
      <c r="R249" s="6" t="s">
        <v>1020</v>
      </c>
      <c r="S249" s="6" t="s">
        <v>1118</v>
      </c>
      <c r="T249" s="6" t="s">
        <v>62</v>
      </c>
    </row>
    <row r="250" customFormat="false" ht="15" hidden="false" customHeight="false" outlineLevel="0" collapsed="false">
      <c r="A250" s="6" t="n">
        <v>244</v>
      </c>
      <c r="B250" s="7" t="n">
        <v>45400</v>
      </c>
      <c r="C250" s="6" t="s">
        <v>51</v>
      </c>
      <c r="D250" s="6" t="s">
        <v>361</v>
      </c>
      <c r="E250" s="6" t="s">
        <v>53</v>
      </c>
      <c r="F250" s="6" t="s">
        <v>1119</v>
      </c>
      <c r="G250" s="6" t="n">
        <v>243</v>
      </c>
      <c r="H250" s="6" t="s">
        <v>55</v>
      </c>
      <c r="I250" s="10" t="s">
        <v>89</v>
      </c>
      <c r="J250" s="6" t="s">
        <v>1120</v>
      </c>
      <c r="K250" s="8" t="s">
        <v>58</v>
      </c>
      <c r="L250" s="6"/>
      <c r="M250" s="6" t="s">
        <v>365</v>
      </c>
      <c r="N250" s="6" t="n">
        <v>1</v>
      </c>
      <c r="O250" s="6" t="n">
        <v>1</v>
      </c>
      <c r="P250" s="9" t="n">
        <v>0.64</v>
      </c>
      <c r="Q250" s="10" t="s">
        <v>119</v>
      </c>
      <c r="R250" s="6" t="s">
        <v>1020</v>
      </c>
      <c r="S250" s="6" t="s">
        <v>1118</v>
      </c>
      <c r="T250" s="6" t="s">
        <v>297</v>
      </c>
    </row>
    <row r="251" customFormat="false" ht="15" hidden="false" customHeight="false" outlineLevel="0" collapsed="false">
      <c r="A251" s="6" t="n">
        <v>245</v>
      </c>
      <c r="B251" s="7" t="n">
        <v>45566</v>
      </c>
      <c r="C251" s="6" t="s">
        <v>53</v>
      </c>
      <c r="D251" s="6" t="s">
        <v>1121</v>
      </c>
      <c r="E251" s="6" t="s">
        <v>155</v>
      </c>
      <c r="F251" s="6" t="s">
        <v>1122</v>
      </c>
      <c r="G251" s="6"/>
      <c r="H251" s="6" t="s">
        <v>1012</v>
      </c>
      <c r="I251" s="10" t="s">
        <v>89</v>
      </c>
      <c r="J251" s="6" t="s">
        <v>1123</v>
      </c>
      <c r="K251" s="8" t="s">
        <v>58</v>
      </c>
      <c r="L251" s="6"/>
      <c r="M251" s="6" t="s">
        <v>70</v>
      </c>
      <c r="N251" s="6" t="n">
        <v>1</v>
      </c>
      <c r="O251" s="6" t="n">
        <v>1</v>
      </c>
      <c r="P251" s="9" t="n">
        <v>0.64</v>
      </c>
      <c r="Q251" s="10" t="s">
        <v>119</v>
      </c>
      <c r="R251" s="6" t="s">
        <v>1020</v>
      </c>
      <c r="S251" s="6" t="s">
        <v>1124</v>
      </c>
      <c r="T251" s="6" t="s">
        <v>62</v>
      </c>
    </row>
    <row r="252" customFormat="false" ht="23.85" hidden="false" customHeight="false" outlineLevel="0" collapsed="false">
      <c r="A252" s="6" t="n">
        <v>246</v>
      </c>
      <c r="B252" s="7" t="n">
        <v>45578</v>
      </c>
      <c r="C252" s="6" t="s">
        <v>51</v>
      </c>
      <c r="D252" s="6" t="s">
        <v>931</v>
      </c>
      <c r="E252" s="6" t="s">
        <v>155</v>
      </c>
      <c r="F252" s="6" t="s">
        <v>1125</v>
      </c>
      <c r="G252" s="6" t="n">
        <v>245</v>
      </c>
      <c r="H252" s="6" t="s">
        <v>55</v>
      </c>
      <c r="I252" s="8" t="s">
        <v>56</v>
      </c>
      <c r="J252" s="6" t="s">
        <v>1126</v>
      </c>
      <c r="K252" s="8" t="s">
        <v>58</v>
      </c>
      <c r="L252" s="6"/>
      <c r="M252" s="6" t="s">
        <v>500</v>
      </c>
      <c r="N252" s="6" t="n">
        <v>2</v>
      </c>
      <c r="O252" s="6" t="n">
        <v>2</v>
      </c>
      <c r="P252" s="9" t="n">
        <v>0.87</v>
      </c>
      <c r="Q252" s="8" t="s">
        <v>60</v>
      </c>
      <c r="R252" s="6" t="s">
        <v>1020</v>
      </c>
      <c r="S252" s="6" t="s">
        <v>1124</v>
      </c>
      <c r="T252" s="6" t="s">
        <v>297</v>
      </c>
    </row>
    <row r="253" customFormat="false" ht="23.85" hidden="false" customHeight="false" outlineLevel="0" collapsed="false">
      <c r="A253" s="6" t="n">
        <v>247</v>
      </c>
      <c r="B253" s="7" t="n">
        <v>45692</v>
      </c>
      <c r="C253" s="6" t="s">
        <v>51</v>
      </c>
      <c r="D253" s="6" t="s">
        <v>1127</v>
      </c>
      <c r="E253" s="6" t="s">
        <v>53</v>
      </c>
      <c r="F253" s="6" t="s">
        <v>1128</v>
      </c>
      <c r="G253" s="6"/>
      <c r="H253" s="6" t="s">
        <v>55</v>
      </c>
      <c r="I253" s="10" t="s">
        <v>89</v>
      </c>
      <c r="J253" s="6" t="s">
        <v>1129</v>
      </c>
      <c r="K253" s="8" t="s">
        <v>58</v>
      </c>
      <c r="L253" s="6"/>
      <c r="M253" s="6" t="s">
        <v>365</v>
      </c>
      <c r="N253" s="6" t="n">
        <v>1</v>
      </c>
      <c r="O253" s="6" t="n">
        <v>1</v>
      </c>
      <c r="P253" s="9" t="n">
        <v>0.64</v>
      </c>
      <c r="Q253" s="10" t="s">
        <v>119</v>
      </c>
      <c r="R253" s="6" t="s">
        <v>1020</v>
      </c>
      <c r="S253" s="6"/>
      <c r="T253" s="6" t="s">
        <v>62</v>
      </c>
    </row>
    <row r="254" customFormat="false" ht="23.85" hidden="false" customHeight="false" outlineLevel="0" collapsed="false">
      <c r="A254" s="6" t="n">
        <v>248</v>
      </c>
      <c r="B254" s="7" t="n">
        <v>45759</v>
      </c>
      <c r="C254" s="6" t="s">
        <v>213</v>
      </c>
      <c r="D254" s="6" t="s">
        <v>248</v>
      </c>
      <c r="E254" s="6" t="s">
        <v>215</v>
      </c>
      <c r="F254" s="6" t="s">
        <v>1130</v>
      </c>
      <c r="G254" s="6"/>
      <c r="H254" s="6" t="s">
        <v>55</v>
      </c>
      <c r="I254" s="8" t="s">
        <v>56</v>
      </c>
      <c r="J254" s="6" t="s">
        <v>1131</v>
      </c>
      <c r="K254" s="8" t="s">
        <v>58</v>
      </c>
      <c r="L254" s="6"/>
      <c r="M254" s="6" t="s">
        <v>59</v>
      </c>
      <c r="N254" s="6" t="n">
        <v>2</v>
      </c>
      <c r="O254" s="6" t="n">
        <v>2</v>
      </c>
      <c r="P254" s="9" t="n">
        <v>0.87</v>
      </c>
      <c r="Q254" s="8" t="s">
        <v>60</v>
      </c>
      <c r="R254" s="6" t="s">
        <v>1020</v>
      </c>
      <c r="S254" s="6"/>
      <c r="T254" s="6" t="s">
        <v>62</v>
      </c>
    </row>
    <row r="255" customFormat="false" ht="15" hidden="false" customHeight="false" outlineLevel="0" collapsed="false">
      <c r="A255" s="6" t="n">
        <v>249</v>
      </c>
      <c r="B255" s="7" t="n">
        <v>45766</v>
      </c>
      <c r="C255" s="6" t="s">
        <v>213</v>
      </c>
      <c r="D255" s="6" t="s">
        <v>248</v>
      </c>
      <c r="E255" s="6" t="s">
        <v>215</v>
      </c>
      <c r="F255" s="6" t="s">
        <v>1132</v>
      </c>
      <c r="G255" s="6"/>
      <c r="H255" s="6" t="s">
        <v>55</v>
      </c>
      <c r="I255" s="10" t="s">
        <v>89</v>
      </c>
      <c r="J255" s="6" t="s">
        <v>1133</v>
      </c>
      <c r="K255" s="8" t="s">
        <v>58</v>
      </c>
      <c r="L255" s="6"/>
      <c r="M255" s="6" t="s">
        <v>59</v>
      </c>
      <c r="N255" s="6" t="n">
        <v>1</v>
      </c>
      <c r="O255" s="6" t="n">
        <v>1</v>
      </c>
      <c r="P255" s="9" t="n">
        <v>0.64</v>
      </c>
      <c r="Q255" s="10" t="s">
        <v>119</v>
      </c>
      <c r="R255" s="6" t="s">
        <v>1020</v>
      </c>
      <c r="S255" s="6"/>
      <c r="T255" s="6" t="s">
        <v>62</v>
      </c>
    </row>
    <row r="256" customFormat="false" ht="15" hidden="false" customHeight="false" outlineLevel="0" collapsed="false">
      <c r="A256" s="6" t="n">
        <v>250</v>
      </c>
      <c r="B256" s="7" t="n">
        <v>45773</v>
      </c>
      <c r="C256" s="6" t="s">
        <v>213</v>
      </c>
      <c r="D256" s="6" t="s">
        <v>248</v>
      </c>
      <c r="E256" s="6" t="s">
        <v>215</v>
      </c>
      <c r="F256" s="6" t="s">
        <v>1134</v>
      </c>
      <c r="G256" s="6"/>
      <c r="H256" s="6" t="s">
        <v>55</v>
      </c>
      <c r="I256" s="10" t="s">
        <v>89</v>
      </c>
      <c r="J256" s="6" t="s">
        <v>1133</v>
      </c>
      <c r="K256" s="8" t="s">
        <v>58</v>
      </c>
      <c r="L256" s="6"/>
      <c r="M256" s="6" t="s">
        <v>59</v>
      </c>
      <c r="N256" s="6" t="n">
        <v>1</v>
      </c>
      <c r="O256" s="6" t="n">
        <v>1</v>
      </c>
      <c r="P256" s="9" t="n">
        <v>0.64</v>
      </c>
      <c r="Q256" s="10" t="s">
        <v>119</v>
      </c>
      <c r="R256" s="6" t="s">
        <v>1020</v>
      </c>
      <c r="S256" s="6"/>
      <c r="T256" s="6" t="s">
        <v>62</v>
      </c>
    </row>
    <row r="257" customFormat="false" ht="15" hidden="false" customHeight="false" outlineLevel="0" collapsed="false">
      <c r="A257" s="6" t="n">
        <v>251</v>
      </c>
      <c r="B257" s="7" t="n">
        <v>45788</v>
      </c>
      <c r="C257" s="6" t="s">
        <v>213</v>
      </c>
      <c r="D257" s="6" t="s">
        <v>248</v>
      </c>
      <c r="E257" s="6" t="s">
        <v>215</v>
      </c>
      <c r="F257" s="6" t="s">
        <v>1135</v>
      </c>
      <c r="G257" s="6"/>
      <c r="H257" s="6" t="s">
        <v>55</v>
      </c>
      <c r="I257" s="10" t="s">
        <v>89</v>
      </c>
      <c r="J257" s="6" t="s">
        <v>1136</v>
      </c>
      <c r="K257" s="8" t="s">
        <v>58</v>
      </c>
      <c r="L257" s="6"/>
      <c r="M257" s="6" t="s">
        <v>59</v>
      </c>
      <c r="N257" s="6" t="n">
        <v>1</v>
      </c>
      <c r="O257" s="6" t="n">
        <v>1</v>
      </c>
      <c r="P257" s="9" t="n">
        <v>0.64</v>
      </c>
      <c r="Q257" s="10" t="s">
        <v>119</v>
      </c>
      <c r="R257" s="6" t="s">
        <v>1020</v>
      </c>
      <c r="S257" s="6"/>
      <c r="T257" s="6" t="s">
        <v>62</v>
      </c>
    </row>
    <row r="258" customFormat="false" ht="15" hidden="false" customHeight="false" outlineLevel="0" collapsed="false">
      <c r="A258" s="6" t="n">
        <v>252</v>
      </c>
      <c r="B258" s="7" t="n">
        <v>45800</v>
      </c>
      <c r="C258" s="6" t="s">
        <v>213</v>
      </c>
      <c r="D258" s="6" t="s">
        <v>248</v>
      </c>
      <c r="E258" s="6" t="s">
        <v>215</v>
      </c>
      <c r="F258" s="6" t="s">
        <v>1137</v>
      </c>
      <c r="G258" s="6"/>
      <c r="H258" s="6" t="s">
        <v>55</v>
      </c>
      <c r="I258" s="10" t="s">
        <v>89</v>
      </c>
      <c r="J258" s="6" t="s">
        <v>1138</v>
      </c>
      <c r="K258" s="8" t="s">
        <v>58</v>
      </c>
      <c r="L258" s="6"/>
      <c r="M258" s="6" t="s">
        <v>59</v>
      </c>
      <c r="N258" s="6" t="n">
        <v>1</v>
      </c>
      <c r="O258" s="6" t="n">
        <v>1</v>
      </c>
      <c r="P258" s="9" t="n">
        <v>0.64</v>
      </c>
      <c r="Q258" s="10" t="s">
        <v>119</v>
      </c>
      <c r="R258" s="6" t="s">
        <v>1020</v>
      </c>
      <c r="S258" s="6"/>
      <c r="T258" s="6" t="s">
        <v>62</v>
      </c>
    </row>
    <row r="259" customFormat="false" ht="23.85" hidden="false" customHeight="false" outlineLevel="0" collapsed="false">
      <c r="A259" s="6" t="n">
        <v>253</v>
      </c>
      <c r="B259" s="7" t="n">
        <v>45821</v>
      </c>
      <c r="C259" s="6" t="s">
        <v>155</v>
      </c>
      <c r="D259" s="6" t="s">
        <v>64</v>
      </c>
      <c r="E259" s="6" t="s">
        <v>53</v>
      </c>
      <c r="F259" s="6" t="s">
        <v>1139</v>
      </c>
      <c r="G259" s="6"/>
      <c r="H259" s="6" t="s">
        <v>1140</v>
      </c>
      <c r="I259" s="10" t="s">
        <v>89</v>
      </c>
      <c r="J259" s="6" t="s">
        <v>1141</v>
      </c>
      <c r="K259" s="8" t="s">
        <v>58</v>
      </c>
      <c r="L259" s="6"/>
      <c r="M259" s="6" t="s">
        <v>70</v>
      </c>
      <c r="N259" s="6" t="n">
        <v>1</v>
      </c>
      <c r="O259" s="6" t="n">
        <v>1</v>
      </c>
      <c r="P259" s="9" t="n">
        <v>0.64</v>
      </c>
      <c r="Q259" s="10" t="s">
        <v>119</v>
      </c>
      <c r="R259" s="6" t="s">
        <v>1142</v>
      </c>
      <c r="S259" s="6" t="s">
        <v>1143</v>
      </c>
      <c r="T259" s="6" t="s">
        <v>62</v>
      </c>
    </row>
    <row r="260" customFormat="false" ht="23.85" hidden="false" customHeight="false" outlineLevel="0" collapsed="false">
      <c r="A260" s="6" t="n">
        <v>254</v>
      </c>
      <c r="B260" s="7" t="n">
        <v>45821</v>
      </c>
      <c r="C260" s="6" t="s">
        <v>53</v>
      </c>
      <c r="D260" s="6" t="s">
        <v>85</v>
      </c>
      <c r="E260" s="6" t="s">
        <v>155</v>
      </c>
      <c r="F260" s="6" t="s">
        <v>1144</v>
      </c>
      <c r="G260" s="6" t="n">
        <v>253</v>
      </c>
      <c r="H260" s="6" t="s">
        <v>1145</v>
      </c>
      <c r="I260" s="10" t="s">
        <v>89</v>
      </c>
      <c r="J260" s="6" t="s">
        <v>1141</v>
      </c>
      <c r="K260" s="8" t="s">
        <v>58</v>
      </c>
      <c r="L260" s="6"/>
      <c r="M260" s="6" t="s">
        <v>70</v>
      </c>
      <c r="N260" s="6" t="n">
        <v>1</v>
      </c>
      <c r="O260" s="6" t="n">
        <v>1</v>
      </c>
      <c r="P260" s="9" t="n">
        <v>0.64</v>
      </c>
      <c r="Q260" s="10" t="s">
        <v>119</v>
      </c>
      <c r="R260" s="6" t="s">
        <v>1142</v>
      </c>
      <c r="S260" s="6" t="s">
        <v>1143</v>
      </c>
      <c r="T260" s="6" t="s">
        <v>62</v>
      </c>
    </row>
    <row r="261" customFormat="false" ht="23.85" hidden="false" customHeight="false" outlineLevel="0" collapsed="false">
      <c r="A261" s="6" t="n">
        <v>255</v>
      </c>
      <c r="B261" s="7" t="n">
        <v>45830</v>
      </c>
      <c r="C261" s="6" t="s">
        <v>51</v>
      </c>
      <c r="D261" s="6" t="s">
        <v>1146</v>
      </c>
      <c r="E261" s="6" t="s">
        <v>1147</v>
      </c>
      <c r="F261" s="6" t="s">
        <v>1148</v>
      </c>
      <c r="G261" s="6" t="n">
        <v>253</v>
      </c>
      <c r="H261" s="6" t="s">
        <v>1149</v>
      </c>
      <c r="I261" s="10" t="s">
        <v>89</v>
      </c>
      <c r="J261" s="6" t="s">
        <v>1150</v>
      </c>
      <c r="K261" s="8" t="s">
        <v>58</v>
      </c>
      <c r="L261" s="6"/>
      <c r="M261" s="6" t="s">
        <v>70</v>
      </c>
      <c r="N261" s="6" t="n">
        <v>2</v>
      </c>
      <c r="O261" s="6" t="n">
        <v>1</v>
      </c>
      <c r="P261" s="9" t="n">
        <v>0.64</v>
      </c>
      <c r="Q261" s="10" t="s">
        <v>119</v>
      </c>
      <c r="R261" s="6" t="s">
        <v>1142</v>
      </c>
      <c r="S261" s="6" t="s">
        <v>1143</v>
      </c>
      <c r="T261" s="6" t="s">
        <v>175</v>
      </c>
    </row>
    <row r="262" customFormat="false" ht="23.85" hidden="false" customHeight="false" outlineLevel="0" collapsed="false">
      <c r="A262" s="6" t="n">
        <v>256</v>
      </c>
      <c r="B262" s="7" t="n">
        <v>45831</v>
      </c>
      <c r="C262" s="6" t="s">
        <v>53</v>
      </c>
      <c r="D262" s="6" t="s">
        <v>85</v>
      </c>
      <c r="E262" s="6" t="s">
        <v>1151</v>
      </c>
      <c r="F262" s="6" t="s">
        <v>1152</v>
      </c>
      <c r="G262" s="6" t="n">
        <v>255</v>
      </c>
      <c r="H262" s="6" t="s">
        <v>1153</v>
      </c>
      <c r="I262" s="8" t="s">
        <v>56</v>
      </c>
      <c r="J262" s="6" t="s">
        <v>1154</v>
      </c>
      <c r="K262" s="8" t="s">
        <v>58</v>
      </c>
      <c r="L262" s="6"/>
      <c r="M262" s="6" t="s">
        <v>70</v>
      </c>
      <c r="N262" s="6" t="n">
        <v>1</v>
      </c>
      <c r="O262" s="6" t="n">
        <v>1</v>
      </c>
      <c r="P262" s="9" t="n">
        <v>0.8</v>
      </c>
      <c r="Q262" s="8" t="s">
        <v>60</v>
      </c>
      <c r="R262" s="6" t="s">
        <v>1142</v>
      </c>
      <c r="S262" s="6" t="s">
        <v>1143</v>
      </c>
      <c r="T262" s="6" t="s">
        <v>180</v>
      </c>
    </row>
    <row r="263" customFormat="false" ht="23.85" hidden="false" customHeight="false" outlineLevel="0" collapsed="false">
      <c r="A263" s="6" t="n">
        <v>257</v>
      </c>
      <c r="B263" s="7" t="n">
        <v>45832</v>
      </c>
      <c r="C263" s="6" t="s">
        <v>51</v>
      </c>
      <c r="D263" s="6" t="s">
        <v>214</v>
      </c>
      <c r="E263" s="6" t="s">
        <v>1155</v>
      </c>
      <c r="F263" s="6" t="s">
        <v>1156</v>
      </c>
      <c r="G263" s="6" t="n">
        <v>256</v>
      </c>
      <c r="H263" s="6" t="s">
        <v>55</v>
      </c>
      <c r="I263" s="8" t="s">
        <v>56</v>
      </c>
      <c r="J263" s="6" t="s">
        <v>1154</v>
      </c>
      <c r="K263" s="8" t="s">
        <v>58</v>
      </c>
      <c r="L263" s="6"/>
      <c r="M263" s="6" t="s">
        <v>59</v>
      </c>
      <c r="N263" s="6" t="n">
        <v>2</v>
      </c>
      <c r="O263" s="6" t="n">
        <v>1</v>
      </c>
      <c r="P263" s="9" t="n">
        <v>0.8</v>
      </c>
      <c r="Q263" s="8" t="s">
        <v>60</v>
      </c>
      <c r="R263" s="6" t="s">
        <v>1142</v>
      </c>
      <c r="S263" s="6" t="s">
        <v>1143</v>
      </c>
      <c r="T263" s="6" t="s">
        <v>192</v>
      </c>
    </row>
    <row r="264" customFormat="false" ht="23.85" hidden="false" customHeight="false" outlineLevel="0" collapsed="false">
      <c r="A264" s="6" t="n">
        <v>258</v>
      </c>
      <c r="B264" s="7" t="n">
        <v>45868</v>
      </c>
      <c r="C264" s="6" t="s">
        <v>51</v>
      </c>
      <c r="D264" s="6" t="s">
        <v>361</v>
      </c>
      <c r="E264" s="6" t="s">
        <v>53</v>
      </c>
      <c r="F264" s="6" t="s">
        <v>1157</v>
      </c>
      <c r="G264" s="6"/>
      <c r="H264" s="6" t="s">
        <v>55</v>
      </c>
      <c r="I264" s="10" t="s">
        <v>89</v>
      </c>
      <c r="J264" s="6" t="s">
        <v>1158</v>
      </c>
      <c r="K264" s="8" t="s">
        <v>58</v>
      </c>
      <c r="L264" s="6"/>
      <c r="M264" s="6" t="s">
        <v>365</v>
      </c>
      <c r="N264" s="6" t="n">
        <v>1</v>
      </c>
      <c r="O264" s="6" t="n">
        <v>1</v>
      </c>
      <c r="P264" s="9" t="n">
        <v>0.64</v>
      </c>
      <c r="Q264" s="10" t="s">
        <v>119</v>
      </c>
      <c r="R264" s="6" t="s">
        <v>61</v>
      </c>
      <c r="S264" s="6"/>
      <c r="T264" s="6" t="s">
        <v>62</v>
      </c>
    </row>
    <row r="265" customFormat="false" ht="23.85" hidden="false" customHeight="false" outlineLevel="0" collapsed="false">
      <c r="A265" s="6" t="n">
        <v>259</v>
      </c>
      <c r="B265" s="7" t="n">
        <v>46049</v>
      </c>
      <c r="C265" s="6" t="s">
        <v>51</v>
      </c>
      <c r="D265" s="6" t="s">
        <v>931</v>
      </c>
      <c r="E265" s="6" t="s">
        <v>932</v>
      </c>
      <c r="F265" s="6" t="s">
        <v>1159</v>
      </c>
      <c r="G265" s="6"/>
      <c r="H265" s="6" t="s">
        <v>55</v>
      </c>
      <c r="I265" s="10" t="s">
        <v>89</v>
      </c>
      <c r="J265" s="6" t="s">
        <v>1160</v>
      </c>
      <c r="K265" s="8" t="s">
        <v>58</v>
      </c>
      <c r="L265" s="6"/>
      <c r="M265" s="6" t="s">
        <v>500</v>
      </c>
      <c r="N265" s="6" t="n">
        <v>1</v>
      </c>
      <c r="O265" s="6" t="n">
        <v>1</v>
      </c>
      <c r="P265" s="9" t="n">
        <v>0.64</v>
      </c>
      <c r="Q265" s="10" t="s">
        <v>119</v>
      </c>
      <c r="R265" s="6" t="s">
        <v>61</v>
      </c>
      <c r="S265" s="6"/>
      <c r="T265" s="6" t="s">
        <v>62</v>
      </c>
    </row>
    <row r="266" customFormat="false" ht="15" hidden="false" customHeight="false" outlineLevel="0" collapsed="false">
      <c r="A266" s="6" t="n">
        <v>260</v>
      </c>
      <c r="B266" s="7" t="n">
        <v>46059</v>
      </c>
      <c r="C266" s="6" t="s">
        <v>213</v>
      </c>
      <c r="D266" s="6" t="s">
        <v>248</v>
      </c>
      <c r="E266" s="6" t="s">
        <v>215</v>
      </c>
      <c r="F266" s="6" t="s">
        <v>1161</v>
      </c>
      <c r="G266" s="6"/>
      <c r="H266" s="6" t="s">
        <v>55</v>
      </c>
      <c r="I266" s="10" t="s">
        <v>89</v>
      </c>
      <c r="J266" s="6" t="s">
        <v>1162</v>
      </c>
      <c r="K266" s="8" t="s">
        <v>58</v>
      </c>
      <c r="L266" s="6"/>
      <c r="M266" s="6" t="s">
        <v>59</v>
      </c>
      <c r="N266" s="6" t="n">
        <v>1</v>
      </c>
      <c r="O266" s="6" t="n">
        <v>1</v>
      </c>
      <c r="P266" s="9" t="n">
        <v>0.64</v>
      </c>
      <c r="Q266" s="10" t="s">
        <v>119</v>
      </c>
      <c r="R266" s="6" t="s">
        <v>61</v>
      </c>
      <c r="S266" s="6"/>
      <c r="T266" s="6" t="s">
        <v>62</v>
      </c>
    </row>
    <row r="267" customFormat="false" ht="15" hidden="false" customHeight="false" outlineLevel="0" collapsed="false">
      <c r="A267" s="6" t="n">
        <v>261</v>
      </c>
      <c r="B267" s="7" t="n">
        <v>46066</v>
      </c>
      <c r="C267" s="6" t="s">
        <v>51</v>
      </c>
      <c r="D267" s="6" t="s">
        <v>931</v>
      </c>
      <c r="E267" s="6" t="s">
        <v>932</v>
      </c>
      <c r="F267" s="6" t="s">
        <v>1163</v>
      </c>
      <c r="G267" s="6"/>
      <c r="H267" s="6" t="s">
        <v>55</v>
      </c>
      <c r="I267" s="10" t="s">
        <v>89</v>
      </c>
      <c r="J267" s="6" t="s">
        <v>1164</v>
      </c>
      <c r="K267" s="8" t="s">
        <v>58</v>
      </c>
      <c r="L267" s="6"/>
      <c r="M267" s="6" t="s">
        <v>500</v>
      </c>
      <c r="N267" s="6" t="n">
        <v>1</v>
      </c>
      <c r="O267" s="6" t="n">
        <v>1</v>
      </c>
      <c r="P267" s="9" t="n">
        <v>0.64</v>
      </c>
      <c r="Q267" s="10" t="s">
        <v>119</v>
      </c>
      <c r="R267" s="6" t="s">
        <v>61</v>
      </c>
      <c r="S267" s="6"/>
      <c r="T267" s="6" t="s">
        <v>62</v>
      </c>
    </row>
    <row r="268" customFormat="false" ht="15" hidden="false" customHeight="false" outlineLevel="0" collapsed="false">
      <c r="A268" s="6" t="n">
        <v>262</v>
      </c>
      <c r="B268" s="7" t="n">
        <v>46079</v>
      </c>
      <c r="C268" s="6" t="s">
        <v>213</v>
      </c>
      <c r="D268" s="6" t="s">
        <v>248</v>
      </c>
      <c r="E268" s="6" t="s">
        <v>215</v>
      </c>
      <c r="F268" s="6" t="s">
        <v>1165</v>
      </c>
      <c r="G268" s="6"/>
      <c r="H268" s="6" t="s">
        <v>55</v>
      </c>
      <c r="I268" s="10" t="s">
        <v>89</v>
      </c>
      <c r="J268" s="6" t="s">
        <v>1166</v>
      </c>
      <c r="K268" s="8" t="s">
        <v>58</v>
      </c>
      <c r="L268" s="6"/>
      <c r="M268" s="6" t="s">
        <v>59</v>
      </c>
      <c r="N268" s="6" t="n">
        <v>1</v>
      </c>
      <c r="O268" s="6" t="n">
        <v>1</v>
      </c>
      <c r="P268" s="9" t="n">
        <v>0.64</v>
      </c>
      <c r="Q268" s="10" t="s">
        <v>119</v>
      </c>
      <c r="R268" s="6" t="s">
        <v>61</v>
      </c>
      <c r="S268" s="6"/>
      <c r="T268" s="6" t="s">
        <v>62</v>
      </c>
    </row>
    <row r="269" customFormat="false" ht="35.05" hidden="false" customHeight="false" outlineLevel="0" collapsed="false">
      <c r="A269" s="6" t="n">
        <v>263</v>
      </c>
      <c r="B269" s="7" t="n">
        <v>44258</v>
      </c>
      <c r="C269" s="6" t="s">
        <v>1013</v>
      </c>
      <c r="D269" s="6" t="s">
        <v>978</v>
      </c>
      <c r="E269" s="6" t="s">
        <v>1167</v>
      </c>
      <c r="F269" s="6" t="s">
        <v>1168</v>
      </c>
      <c r="G269" s="6"/>
      <c r="H269" s="6" t="s">
        <v>1169</v>
      </c>
      <c r="I269" s="8" t="s">
        <v>56</v>
      </c>
      <c r="J269" s="6" t="s">
        <v>1170</v>
      </c>
      <c r="K269" s="8" t="s">
        <v>58</v>
      </c>
      <c r="L269" s="6"/>
      <c r="M269" s="6" t="s">
        <v>70</v>
      </c>
      <c r="N269" s="6" t="n">
        <v>2</v>
      </c>
      <c r="O269" s="6" t="n">
        <v>2</v>
      </c>
      <c r="P269" s="9" t="n">
        <v>0.87</v>
      </c>
      <c r="Q269" s="8" t="s">
        <v>60</v>
      </c>
      <c r="R269" s="6" t="s">
        <v>1020</v>
      </c>
      <c r="S269" s="6"/>
      <c r="T269" s="6" t="s">
        <v>297</v>
      </c>
    </row>
    <row r="270" customFormat="false" ht="46.25" hidden="false" customHeight="false" outlineLevel="0" collapsed="false">
      <c r="A270" s="6" t="n">
        <v>264</v>
      </c>
      <c r="B270" s="7" t="n">
        <v>43874</v>
      </c>
      <c r="C270" s="6" t="s">
        <v>51</v>
      </c>
      <c r="D270" s="6" t="s">
        <v>1171</v>
      </c>
      <c r="E270" s="6" t="s">
        <v>1172</v>
      </c>
      <c r="F270" s="6" t="s">
        <v>1173</v>
      </c>
      <c r="G270" s="6"/>
      <c r="H270" s="6" t="s">
        <v>55</v>
      </c>
      <c r="I270" s="8" t="s">
        <v>56</v>
      </c>
      <c r="J270" s="6" t="s">
        <v>1174</v>
      </c>
      <c r="K270" s="8" t="s">
        <v>58</v>
      </c>
      <c r="L270" s="6"/>
      <c r="M270" s="6" t="s">
        <v>84</v>
      </c>
      <c r="N270" s="6" t="n">
        <v>2</v>
      </c>
      <c r="O270" s="6" t="n">
        <v>2</v>
      </c>
      <c r="P270" s="9" t="n">
        <v>0.93</v>
      </c>
      <c r="Q270" s="8" t="s">
        <v>60</v>
      </c>
      <c r="R270" s="6" t="s">
        <v>935</v>
      </c>
      <c r="S270" s="6"/>
      <c r="T270" s="6" t="s">
        <v>62</v>
      </c>
    </row>
    <row r="271" customFormat="false" ht="35.05" hidden="false" customHeight="false" outlineLevel="0" collapsed="false">
      <c r="A271" s="6" t="n">
        <v>265</v>
      </c>
      <c r="B271" s="7" t="n">
        <v>44936</v>
      </c>
      <c r="C271" s="6" t="s">
        <v>51</v>
      </c>
      <c r="D271" s="6" t="s">
        <v>1171</v>
      </c>
      <c r="E271" s="6" t="s">
        <v>1175</v>
      </c>
      <c r="F271" s="6" t="s">
        <v>1176</v>
      </c>
      <c r="G271" s="6"/>
      <c r="H271" s="6" t="s">
        <v>55</v>
      </c>
      <c r="I271" s="8" t="s">
        <v>56</v>
      </c>
      <c r="J271" s="6" t="s">
        <v>1177</v>
      </c>
      <c r="K271" s="8" t="s">
        <v>58</v>
      </c>
      <c r="L271" s="6"/>
      <c r="M271" s="6" t="s">
        <v>84</v>
      </c>
      <c r="N271" s="6" t="n">
        <v>2</v>
      </c>
      <c r="O271" s="6" t="n">
        <v>2</v>
      </c>
      <c r="P271" s="9" t="n">
        <v>0.96</v>
      </c>
      <c r="Q271" s="8" t="s">
        <v>60</v>
      </c>
      <c r="R271" s="6" t="s">
        <v>1020</v>
      </c>
      <c r="S271" s="6"/>
      <c r="T271" s="6" t="s">
        <v>62</v>
      </c>
    </row>
  </sheetData>
  <autoFilter ref="A1:T2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1178</v>
      </c>
      <c r="B1" s="13" t="s">
        <v>37</v>
      </c>
      <c r="C1" s="13" t="s">
        <v>1179</v>
      </c>
      <c r="D1" s="13" t="s">
        <v>1180</v>
      </c>
      <c r="E1" s="13" t="s">
        <v>1181</v>
      </c>
      <c r="F1" s="13" t="s">
        <v>1182</v>
      </c>
      <c r="G1" s="13" t="s">
        <v>1183</v>
      </c>
      <c r="H1" s="13" t="s">
        <v>1184</v>
      </c>
      <c r="I1" s="13" t="s">
        <v>1185</v>
      </c>
      <c r="J1" s="13" t="s">
        <v>1186</v>
      </c>
      <c r="K1" s="13" t="s">
        <v>1187</v>
      </c>
      <c r="L1" s="13" t="s">
        <v>1188</v>
      </c>
      <c r="M1" s="13" t="s">
        <v>1189</v>
      </c>
    </row>
    <row r="2" customFormat="false" ht="46.25" hidden="false" customHeight="false" outlineLevel="0" collapsed="false">
      <c r="A2" s="6" t="n">
        <v>1</v>
      </c>
      <c r="B2" s="6" t="n">
        <v>2</v>
      </c>
      <c r="C2" s="7" t="n">
        <f aca="false">INDEX('Event Log'!$B$2:$B$271,MATCH(B2,'Event Log'!$A$2:$A$271,0))</f>
        <v>46081</v>
      </c>
      <c r="D2" s="6" t="str">
        <f aca="false">INDEX('Event Log'!$C$2:$C$271,MATCH(B2,'Event Log'!$A$2:$A$271,0))</f>
        <v>US/Israel</v>
      </c>
      <c r="E2" s="6" t="str">
        <f aca="false">INDEX('Event Log'!$F$2:$F$271,MATCH(B2,'Event Log'!$A$2:$A$271,0))</f>
        <v>Operation Epic Fury opens: Pentagon says 1,000+ targets hit in the first 24 hours; Khamenei and ~40 senior officials killed; a strike near Minab hits a girls' school</v>
      </c>
      <c r="F2" s="6" t="n">
        <v>5</v>
      </c>
      <c r="G2" s="7" t="n">
        <f aca="false">INDEX('Event Log'!$B$2:$B$271,MATCH(F2,'Event Log'!$A$2:$A$271,0))</f>
        <v>46081</v>
      </c>
      <c r="H2" s="6" t="str">
        <f aca="false">INDEX('Event Log'!$C$2:$C$271,MATCH(F2,'Event Log'!$A$2:$A$271,0))</f>
        <v>Iran</v>
      </c>
      <c r="I2" s="6" t="str">
        <f aca="false">INDEX('Event Log'!$F$2:$F$271,MATCH(F2,'Event Log'!$A$2:$A$271,0))</f>
        <v>Iran fires missiles at Israel, Kuwait and other Gulf targets; a missile hits a residential block in Tel Aviv; Kuwait International Airport is hit by a drone</v>
      </c>
      <c r="J2" s="6" t="n">
        <f aca="false">G2-C2</f>
        <v>0</v>
      </c>
      <c r="K2" s="6" t="s">
        <v>1190</v>
      </c>
      <c r="L2" s="6" t="s">
        <v>1191</v>
      </c>
      <c r="M2" s="6" t="s">
        <v>1192</v>
      </c>
    </row>
    <row r="3" customFormat="false" ht="57.45" hidden="false" customHeight="false" outlineLevel="0" collapsed="false">
      <c r="A3" s="6" t="n">
        <v>2</v>
      </c>
      <c r="B3" s="6" t="n">
        <v>10</v>
      </c>
      <c r="C3" s="7" t="n">
        <f aca="false">INDEX('Event Log'!$B$2:$B$271,MATCH(B3,'Event Log'!$A$2:$A$271,0))</f>
        <v>46084</v>
      </c>
      <c r="D3" s="6" t="str">
        <f aca="false">INDEX('Event Log'!$C$2:$C$271,MATCH(B3,'Event Log'!$A$2:$A$271,0))</f>
        <v>Israel (IDF)</v>
      </c>
      <c r="E3" s="6" t="str">
        <f aca="false">INDEX('Event Log'!$F$2:$F$271,MATCH(B3,'Event Log'!$A$2:$A$271,0))</f>
        <v>IDF says it struck Iran's Supreme National Security Council complex in Tehran (Mar 2-3) and destroyed a secret underground site on Tehran's outskirts where Iran moved its nuclear work (IDF claim)</v>
      </c>
      <c r="F3" s="6" t="n">
        <v>11</v>
      </c>
      <c r="G3" s="7" t="n">
        <f aca="false">INDEX('Event Log'!$B$2:$B$271,MATCH(F3,'Event Log'!$A$2:$A$271,0))</f>
        <v>46084</v>
      </c>
      <c r="H3" s="6" t="str">
        <f aca="false">INDEX('Event Log'!$C$2:$C$271,MATCH(F3,'Event Log'!$A$2:$A$271,0))</f>
        <v>Iran</v>
      </c>
      <c r="I3" s="6" t="str">
        <f aca="false">INDEX('Event Log'!$F$2:$F$271,MATCH(F3,'Event Log'!$A$2:$A$271,0))</f>
        <v>Two Iranian drones hit the US embassy in Riyadh; limited fire and minor damage per Saudi Defense Ministry (AP)</v>
      </c>
      <c r="J3" s="6" t="n">
        <f aca="false">G3-C3</f>
        <v>0</v>
      </c>
      <c r="K3" s="6" t="s">
        <v>1193</v>
      </c>
      <c r="L3" s="6" t="s">
        <v>1194</v>
      </c>
      <c r="M3" s="6" t="s">
        <v>1195</v>
      </c>
    </row>
    <row r="4" customFormat="false" ht="46.25" hidden="false" customHeight="false" outlineLevel="0" collapsed="false">
      <c r="A4" s="6" t="n">
        <v>3</v>
      </c>
      <c r="B4" s="6" t="n">
        <v>16</v>
      </c>
      <c r="C4" s="7" t="n">
        <f aca="false">INDEX('Event Log'!$B$2:$B$271,MATCH(B4,'Event Log'!$A$2:$A$271,0))</f>
        <v>46102</v>
      </c>
      <c r="D4" s="6" t="str">
        <f aca="false">INDEX('Event Log'!$C$2:$C$271,MATCH(B4,'Event Log'!$A$2:$A$271,0))</f>
        <v>US/Israel (alleged)</v>
      </c>
      <c r="E4" s="6" t="str">
        <f aca="false">INDEX('Event Log'!$F$2:$F$271,MATCH(B4,'Event Log'!$A$2:$A$271,0))</f>
        <v>Iran reports an attack on Natanz and blames the US and Israel; the Israeli military denied involvement and the IAEA saw no rise in off-site radiation</v>
      </c>
      <c r="F4" s="6" t="n">
        <v>17</v>
      </c>
      <c r="G4" s="7" t="n">
        <f aca="false">INDEX('Event Log'!$B$2:$B$271,MATCH(F4,'Event Log'!$A$2:$A$271,0))</f>
        <v>46102</v>
      </c>
      <c r="H4" s="6" t="str">
        <f aca="false">INDEX('Event Log'!$C$2:$C$271,MATCH(F4,'Event Log'!$A$2:$A$271,0))</f>
        <v>Iran</v>
      </c>
      <c r="I4" s="6" t="str">
        <f aca="false">INDEX('Event Log'!$F$2:$F$271,MATCH(F4,'Event Log'!$A$2:$A$271,0))</f>
        <v>Iran strikes toward Dimona and Arad and calls it a 'response' to Natanz; Iran did not claim to target the Negev research center</v>
      </c>
      <c r="J4" s="6" t="n">
        <f aca="false">G4-C4</f>
        <v>0</v>
      </c>
      <c r="K4" s="6" t="s">
        <v>1193</v>
      </c>
      <c r="L4" s="6" t="s">
        <v>1191</v>
      </c>
      <c r="M4" s="6" t="s">
        <v>1196</v>
      </c>
    </row>
    <row r="5" customFormat="false" ht="46.25" hidden="false" customHeight="false" outlineLevel="0" collapsed="false">
      <c r="A5" s="6" t="n">
        <v>4</v>
      </c>
      <c r="B5" s="6" t="n">
        <v>20</v>
      </c>
      <c r="C5" s="7" t="n">
        <f aca="false">INDEX('Event Log'!$B$2:$B$271,MATCH(B5,'Event Log'!$A$2:$A$271,0))</f>
        <v>46107</v>
      </c>
      <c r="D5" s="6" t="str">
        <f aca="false">INDEX('Event Log'!$C$2:$C$271,MATCH(B5,'Event Log'!$A$2:$A$271,0))</f>
        <v>Israel</v>
      </c>
      <c r="E5" s="6" t="str">
        <f aca="false">INDEX('Event Log'!$F$2:$F$271,MATCH(B5,'Event Log'!$A$2:$A$271,0))</f>
        <v>Israel says it killed IRGC Navy commander Tangsiri and the IRGC Navy's intelligence chief Rezaei in Bandar Abbas (Israeli claim, Mar 26); Iran confirmed Tangsiri's death on Mar 30</v>
      </c>
      <c r="F5" s="6" t="n">
        <v>21</v>
      </c>
      <c r="G5" s="7" t="n">
        <f aca="false">INDEX('Event Log'!$B$2:$B$271,MATCH(F5,'Event Log'!$A$2:$A$271,0))</f>
        <v>46108</v>
      </c>
      <c r="H5" s="6" t="str">
        <f aca="false">INDEX('Event Log'!$C$2:$C$271,MATCH(F5,'Event Log'!$A$2:$A$271,0))</f>
        <v>Iran</v>
      </c>
      <c r="I5" s="6" t="str">
        <f aca="false">INDEX('Event Log'!$F$2:$F$271,MATCH(F5,'Event Log'!$A$2:$A$271,0))</f>
        <v>Strikes Prince Sultan Air Base</v>
      </c>
      <c r="J5" s="6" t="n">
        <f aca="false">G5-C5</f>
        <v>1</v>
      </c>
      <c r="K5" s="6" t="s">
        <v>1190</v>
      </c>
      <c r="L5" s="6" t="s">
        <v>1191</v>
      </c>
      <c r="M5" s="6" t="s">
        <v>1197</v>
      </c>
    </row>
    <row r="6" customFormat="false" ht="35.05" hidden="false" customHeight="false" outlineLevel="0" collapsed="false">
      <c r="A6" s="6" t="n">
        <v>5</v>
      </c>
      <c r="B6" s="6" t="n">
        <v>30</v>
      </c>
      <c r="C6" s="7" t="n">
        <f aca="false">INDEX('Event Log'!$B$2:$B$271,MATCH(B6,'Event Log'!$A$2:$A$271,0))</f>
        <v>46120</v>
      </c>
      <c r="D6" s="6" t="str">
        <f aca="false">INDEX('Event Log'!$C$2:$C$271,MATCH(B6,'Event Log'!$A$2:$A$271,0))</f>
        <v>Israel</v>
      </c>
      <c r="E6" s="6" t="str">
        <f aca="false">INDEX('Event Log'!$F$2:$F$271,MATCH(B6,'Event Log'!$A$2:$A$271,0))</f>
        <v>Israel strikes 100+ targets across Beirut, southern Lebanon and the Bekaa in about 10 minutes, within hours of the ceasefire (AP)</v>
      </c>
      <c r="F6" s="6" t="n">
        <v>31</v>
      </c>
      <c r="G6" s="7" t="n">
        <f aca="false">INDEX('Event Log'!$B$2:$B$271,MATCH(F6,'Event Log'!$A$2:$A$271,0))</f>
        <v>46120</v>
      </c>
      <c r="H6" s="6" t="str">
        <f aca="false">INDEX('Event Log'!$C$2:$C$271,MATCH(F6,'Event Log'!$A$2:$A$271,0))</f>
        <v>Iran</v>
      </c>
      <c r="I6" s="6" t="str">
        <f aca="false">INDEX('Event Log'!$F$2:$F$271,MATCH(F6,'Event Log'!$A$2:$A$271,0))</f>
        <v>Iran restricts/resumes blockade, citing the Lebanon strikes as a ceasefire violation</v>
      </c>
      <c r="J6" s="6" t="n">
        <f aca="false">G6-C6</f>
        <v>0</v>
      </c>
      <c r="K6" s="6" t="s">
        <v>1198</v>
      </c>
      <c r="L6" s="6" t="s">
        <v>1194</v>
      </c>
      <c r="M6" s="6" t="s">
        <v>1199</v>
      </c>
    </row>
    <row r="7" customFormat="false" ht="23.85" hidden="false" customHeight="false" outlineLevel="0" collapsed="false">
      <c r="A7" s="6" t="n">
        <v>6</v>
      </c>
      <c r="B7" s="6" t="n">
        <v>34</v>
      </c>
      <c r="C7" s="7" t="n">
        <f aca="false">INDEX('Event Log'!$B$2:$B$271,MATCH(B7,'Event Log'!$A$2:$A$271,0))</f>
        <v>46123</v>
      </c>
      <c r="D7" s="6" t="str">
        <f aca="false">INDEX('Event Log'!$C$2:$C$271,MATCH(B7,'Event Log'!$A$2:$A$271,0))</f>
        <v>US/Iran/Pakistan</v>
      </c>
      <c r="E7" s="6" t="str">
        <f aca="false">INDEX('Event Log'!$F$2:$F$271,MATCH(B7,'Event Log'!$A$2:$A$271,0))</f>
        <v>Islamabad Talks: 21 hours of negotiation, collapse without agreement</v>
      </c>
      <c r="F7" s="6" t="n">
        <v>35</v>
      </c>
      <c r="G7" s="7" t="n">
        <f aca="false">INDEX('Event Log'!$B$2:$B$271,MATCH(F7,'Event Log'!$A$2:$A$271,0))</f>
        <v>46125</v>
      </c>
      <c r="H7" s="6" t="str">
        <f aca="false">INDEX('Event Log'!$C$2:$C$271,MATCH(F7,'Event Log'!$A$2:$A$271,0))</f>
        <v>US</v>
      </c>
      <c r="I7" s="6" t="str">
        <f aca="false">INDEX('Event Log'!$F$2:$F$271,MATCH(F7,'Event Log'!$A$2:$A$271,0))</f>
        <v>US naval blockade of Iran begins</v>
      </c>
      <c r="J7" s="6" t="n">
        <f aca="false">G7-C7</f>
        <v>2</v>
      </c>
      <c r="K7" s="6" t="s">
        <v>1198</v>
      </c>
      <c r="L7" s="6" t="s">
        <v>1194</v>
      </c>
      <c r="M7" s="6" t="s">
        <v>1200</v>
      </c>
    </row>
    <row r="8" customFormat="false" ht="23.85" hidden="false" customHeight="false" outlineLevel="0" collapsed="false">
      <c r="A8" s="6" t="n">
        <v>7</v>
      </c>
      <c r="B8" s="6" t="n">
        <v>35</v>
      </c>
      <c r="C8" s="7" t="n">
        <f aca="false">INDEX('Event Log'!$B$2:$B$271,MATCH(B8,'Event Log'!$A$2:$A$271,0))</f>
        <v>46125</v>
      </c>
      <c r="D8" s="6" t="str">
        <f aca="false">INDEX('Event Log'!$C$2:$C$271,MATCH(B8,'Event Log'!$A$2:$A$271,0))</f>
        <v>US</v>
      </c>
      <c r="E8" s="6" t="str">
        <f aca="false">INDEX('Event Log'!$F$2:$F$271,MATCH(B8,'Event Log'!$A$2:$A$271,0))</f>
        <v>US naval blockade of Iran begins</v>
      </c>
      <c r="F8" s="6" t="n">
        <v>36</v>
      </c>
      <c r="G8" s="7" t="n">
        <f aca="false">INDEX('Event Log'!$B$2:$B$271,MATCH(F8,'Event Log'!$A$2:$A$271,0))</f>
        <v>46130</v>
      </c>
      <c r="H8" s="6" t="str">
        <f aca="false">INDEX('Event Log'!$C$2:$C$271,MATCH(F8,'Event Log'!$A$2:$A$271,0))</f>
        <v>Iran</v>
      </c>
      <c r="I8" s="6" t="str">
        <f aca="false">INDEX('Event Log'!$F$2:$F$271,MATCH(F8,'Event Log'!$A$2:$A$271,0))</f>
        <v>Iran announces the Strait closed again, citing continuation of the US blockade</v>
      </c>
      <c r="J8" s="6" t="n">
        <f aca="false">G8-C8</f>
        <v>5</v>
      </c>
      <c r="K8" s="6" t="s">
        <v>1201</v>
      </c>
      <c r="L8" s="6" t="s">
        <v>1194</v>
      </c>
      <c r="M8" s="6" t="s">
        <v>1202</v>
      </c>
    </row>
    <row r="9" customFormat="false" ht="57.45" hidden="false" customHeight="false" outlineLevel="0" collapsed="false">
      <c r="A9" s="6" t="n">
        <v>8</v>
      </c>
      <c r="B9" s="6" t="n">
        <v>37</v>
      </c>
      <c r="C9" s="7" t="n">
        <f aca="false">INDEX('Event Log'!$B$2:$B$271,MATCH(B9,'Event Log'!$A$2:$A$271,0))</f>
        <v>46131</v>
      </c>
      <c r="D9" s="6" t="str">
        <f aca="false">INDEX('Event Log'!$C$2:$C$271,MATCH(B9,'Event Log'!$A$2:$A$271,0))</f>
        <v>US</v>
      </c>
      <c r="E9" s="6" t="str">
        <f aca="false">INDEX('Event Log'!$F$2:$F$271,MATCH(B9,'Event Log'!$A$2:$A$271,0))</f>
        <v>US disables the Iranian container ship Touska with gunfire from USS Spruance (Apr 19, USNI); tankers Tifani and Majestic X interdicted in the Indian Ocean around Apr 22-24 (dates not confirmed by an allowed outlet)</v>
      </c>
      <c r="F9" s="6" t="n">
        <v>38</v>
      </c>
      <c r="G9" s="7" t="n">
        <f aca="false">INDEX('Event Log'!$B$2:$B$271,MATCH(F9,'Event Log'!$A$2:$A$271,0))</f>
        <v>46134</v>
      </c>
      <c r="H9" s="6" t="str">
        <f aca="false">INDEX('Event Log'!$C$2:$C$271,MATCH(F9,'Event Log'!$A$2:$A$271,0))</f>
        <v>Iran</v>
      </c>
      <c r="I9" s="6" t="str">
        <f aca="false">INDEX('Event Log'!$F$2:$F$271,MATCH(F9,'Event Log'!$A$2:$A$271,0))</f>
        <v>IRGC seizes container ships MSC Epaminondas and MSC Francesca</v>
      </c>
      <c r="J9" s="6" t="n">
        <f aca="false">G9-C9</f>
        <v>3</v>
      </c>
      <c r="K9" s="6" t="s">
        <v>1201</v>
      </c>
      <c r="L9" s="6" t="s">
        <v>1194</v>
      </c>
      <c r="M9" s="6" t="s">
        <v>1203</v>
      </c>
    </row>
    <row r="10" customFormat="false" ht="23.85" hidden="false" customHeight="false" outlineLevel="0" collapsed="false">
      <c r="A10" s="6" t="n">
        <v>9</v>
      </c>
      <c r="B10" s="6" t="n">
        <v>41</v>
      </c>
      <c r="C10" s="7" t="n">
        <f aca="false">INDEX('Event Log'!$B$2:$B$271,MATCH(B10,'Event Log'!$A$2:$A$271,0))</f>
        <v>46149</v>
      </c>
      <c r="D10" s="6" t="str">
        <f aca="false">INDEX('Event Log'!$C$2:$C$271,MATCH(B10,'Event Log'!$A$2:$A$271,0))</f>
        <v>Iran</v>
      </c>
      <c r="E10" s="6" t="str">
        <f aca="false">INDEX('Event Log'!$F$2:$F$271,MATCH(B10,'Event Log'!$A$2:$A$271,0))</f>
        <v>Missiles, drones and small boats attack 3 US destroyers transiting the Strait</v>
      </c>
      <c r="F10" s="6" t="n">
        <v>42</v>
      </c>
      <c r="G10" s="7" t="n">
        <f aca="false">INDEX('Event Log'!$B$2:$B$271,MATCH(F10,'Event Log'!$A$2:$A$271,0))</f>
        <v>46149</v>
      </c>
      <c r="H10" s="6" t="str">
        <f aca="false">INDEX('Event Log'!$C$2:$C$271,MATCH(F10,'Event Log'!$A$2:$A$271,0))</f>
        <v>US</v>
      </c>
      <c r="I10" s="6" t="str">
        <f aca="false">INDEX('Event Log'!$F$2:$F$271,MATCH(F10,'Event Log'!$A$2:$A$271,0))</f>
        <v>US strikes sites near Bandar Abbas and Qeshm Island (CENTCOM did not name the IRGC)</v>
      </c>
      <c r="J10" s="6" t="n">
        <f aca="false">G10-C10</f>
        <v>0</v>
      </c>
      <c r="K10" s="6" t="s">
        <v>1193</v>
      </c>
      <c r="L10" s="6" t="s">
        <v>1194</v>
      </c>
      <c r="M10" s="6" t="s">
        <v>1204</v>
      </c>
    </row>
    <row r="11" customFormat="false" ht="35.05" hidden="false" customHeight="false" outlineLevel="0" collapsed="false">
      <c r="A11" s="6" t="n">
        <v>10</v>
      </c>
      <c r="B11" s="6" t="n">
        <v>44</v>
      </c>
      <c r="C11" s="7" t="n">
        <f aca="false">INDEX('Event Log'!$B$2:$B$271,MATCH(B11,'Event Log'!$A$2:$A$271,0))</f>
        <v>46181</v>
      </c>
      <c r="D11" s="6" t="str">
        <f aca="false">INDEX('Event Log'!$C$2:$C$271,MATCH(B11,'Event Log'!$A$2:$A$271,0))</f>
        <v>Israel</v>
      </c>
      <c r="E11" s="6" t="str">
        <f aca="false">INDEX('Event Log'!$F$2:$F$271,MATCH(B11,'Event Log'!$A$2:$A$271,0))</f>
        <v>Strikes kill members of Iran's air-defense units</v>
      </c>
      <c r="F11" s="6" t="n">
        <v>45</v>
      </c>
      <c r="G11" s="7" t="n">
        <f aca="false">INDEX('Event Log'!$B$2:$B$271,MATCH(F11,'Event Log'!$A$2:$A$271,0))</f>
        <v>46181</v>
      </c>
      <c r="H11" s="6" t="str">
        <f aca="false">INDEX('Event Log'!$C$2:$C$271,MATCH(F11,'Event Log'!$A$2:$A$271,0))</f>
        <v>Iran</v>
      </c>
      <c r="I11" s="6" t="str">
        <f aca="false">INDEX('Event Log'!$F$2:$F$271,MATCH(F11,'Event Log'!$A$2:$A$271,0))</f>
        <v>Downs a US Apache helicopter over the Strait (US says a Shahed drone did it)</v>
      </c>
      <c r="J11" s="6" t="n">
        <f aca="false">G11-C11</f>
        <v>0</v>
      </c>
      <c r="K11" s="6" t="s">
        <v>1190</v>
      </c>
      <c r="L11" s="6" t="s">
        <v>1194</v>
      </c>
      <c r="M11" s="6" t="s">
        <v>1205</v>
      </c>
    </row>
    <row r="12" customFormat="false" ht="46.25" hidden="false" customHeight="false" outlineLevel="0" collapsed="false">
      <c r="A12" s="6" t="n">
        <v>11</v>
      </c>
      <c r="B12" s="6" t="n">
        <v>45</v>
      </c>
      <c r="C12" s="7" t="n">
        <f aca="false">INDEX('Event Log'!$B$2:$B$271,MATCH(B12,'Event Log'!$A$2:$A$271,0))</f>
        <v>46181</v>
      </c>
      <c r="D12" s="6" t="str">
        <f aca="false">INDEX('Event Log'!$C$2:$C$271,MATCH(B12,'Event Log'!$A$2:$A$271,0))</f>
        <v>Iran</v>
      </c>
      <c r="E12" s="6" t="str">
        <f aca="false">INDEX('Event Log'!$F$2:$F$271,MATCH(B12,'Event Log'!$A$2:$A$271,0))</f>
        <v>Downs a US Apache helicopter over the Strait (US says a Shahed drone did it)</v>
      </c>
      <c r="F12" s="6" t="n">
        <v>46</v>
      </c>
      <c r="G12" s="7" t="n">
        <f aca="false">INDEX('Event Log'!$B$2:$B$271,MATCH(F12,'Event Log'!$A$2:$A$271,0))</f>
        <v>46182</v>
      </c>
      <c r="H12" s="6" t="str">
        <f aca="false">INDEX('Event Log'!$C$2:$C$271,MATCH(F12,'Event Log'!$A$2:$A$271,0))</f>
        <v>US</v>
      </c>
      <c r="I12" s="6" t="str">
        <f aca="false">INDEX('Event Log'!$F$2:$F$271,MATCH(F12,'Event Log'!$A$2:$A$271,0))</f>
        <v>US strikes Iranian air-defense, ground-control and surveillance radar sites near the Strait after Iran downs a US Apache (CENTCOM: 'proportional response')</v>
      </c>
      <c r="J12" s="6" t="n">
        <f aca="false">G12-C12</f>
        <v>1</v>
      </c>
      <c r="K12" s="6" t="s">
        <v>1193</v>
      </c>
      <c r="L12" s="6" t="s">
        <v>1194</v>
      </c>
      <c r="M12" s="6" t="s">
        <v>1206</v>
      </c>
    </row>
    <row r="13" customFormat="false" ht="46.25" hidden="false" customHeight="false" outlineLevel="0" collapsed="false">
      <c r="A13" s="6" t="n">
        <v>12</v>
      </c>
      <c r="B13" s="6" t="n">
        <v>46</v>
      </c>
      <c r="C13" s="7" t="n">
        <f aca="false">INDEX('Event Log'!$B$2:$B$271,MATCH(B13,'Event Log'!$A$2:$A$271,0))</f>
        <v>46182</v>
      </c>
      <c r="D13" s="6" t="str">
        <f aca="false">INDEX('Event Log'!$C$2:$C$271,MATCH(B13,'Event Log'!$A$2:$A$271,0))</f>
        <v>US</v>
      </c>
      <c r="E13" s="6" t="str">
        <f aca="false">INDEX('Event Log'!$F$2:$F$271,MATCH(B13,'Event Log'!$A$2:$A$271,0))</f>
        <v>US strikes Iranian air-defense, ground-control and surveillance radar sites near the Strait after Iran downs a US Apache (CENTCOM: 'proportional response')</v>
      </c>
      <c r="F13" s="6" t="n">
        <v>47</v>
      </c>
      <c r="G13" s="7" t="n">
        <f aca="false">INDEX('Event Log'!$B$2:$B$271,MATCH(F13,'Event Log'!$A$2:$A$271,0))</f>
        <v>46183</v>
      </c>
      <c r="H13" s="6" t="str">
        <f aca="false">INDEX('Event Log'!$C$2:$C$271,MATCH(F13,'Event Log'!$A$2:$A$271,0))</f>
        <v>Iran</v>
      </c>
      <c r="I13" s="6" t="str">
        <f aca="false">INDEX('Event Log'!$F$2:$F$271,MATCH(F13,'Event Log'!$A$2:$A$271,0))</f>
        <v>Strikes Muwaffaq Salti AB plus bases in Kuwait and Bahrain</v>
      </c>
      <c r="J13" s="6" t="n">
        <f aca="false">G13-C13</f>
        <v>1</v>
      </c>
      <c r="K13" s="6" t="s">
        <v>1193</v>
      </c>
      <c r="L13" s="6" t="s">
        <v>1194</v>
      </c>
      <c r="M13" s="6" t="s">
        <v>1207</v>
      </c>
    </row>
    <row r="14" customFormat="false" ht="35.05" hidden="false" customHeight="false" outlineLevel="0" collapsed="false">
      <c r="A14" s="6" t="n">
        <v>13</v>
      </c>
      <c r="B14" s="6" t="n">
        <v>54</v>
      </c>
      <c r="C14" s="7" t="n">
        <f aca="false">INDEX('Event Log'!$B$2:$B$271,MATCH(B14,'Event Log'!$A$2:$A$271,0))</f>
        <v>46198</v>
      </c>
      <c r="D14" s="6" t="str">
        <f aca="false">INDEX('Event Log'!$C$2:$C$271,MATCH(B14,'Event Log'!$A$2:$A$271,0))</f>
        <v>Iran</v>
      </c>
      <c r="E14" s="6" t="str">
        <f aca="false">INDEX('Event Log'!$F$2:$F$271,MATCH(B14,'Event Log'!$A$2:$A$271,0))</f>
        <v>Iranian drones attack the container ship Ever Lovely near Oman in the Strait; Trump calls it a 'foolish violation' of the Jun 17 memorandum</v>
      </c>
      <c r="F14" s="6" t="n">
        <v>55</v>
      </c>
      <c r="G14" s="7" t="n">
        <f aca="false">INDEX('Event Log'!$B$2:$B$271,MATCH(F14,'Event Log'!$A$2:$A$271,0))</f>
        <v>46199</v>
      </c>
      <c r="H14" s="6" t="str">
        <f aca="false">INDEX('Event Log'!$C$2:$C$271,MATCH(F14,'Event Log'!$A$2:$A$271,0))</f>
        <v>US</v>
      </c>
      <c r="I14" s="6" t="str">
        <f aca="false">INDEX('Event Log'!$F$2:$F$271,MATCH(F14,'Event Log'!$A$2:$A$271,0))</f>
        <v>~1 hour of retaliatory strikes on missile/drone sites and coastal radar</v>
      </c>
      <c r="J14" s="6" t="n">
        <f aca="false">G14-C14</f>
        <v>1</v>
      </c>
      <c r="K14" s="6" t="s">
        <v>1201</v>
      </c>
      <c r="L14" s="6" t="s">
        <v>1194</v>
      </c>
      <c r="M14" s="6" t="s">
        <v>1208</v>
      </c>
    </row>
    <row r="15" customFormat="false" ht="46.25" hidden="false" customHeight="false" outlineLevel="0" collapsed="false">
      <c r="A15" s="6" t="n">
        <v>14</v>
      </c>
      <c r="B15" s="6" t="n">
        <v>55</v>
      </c>
      <c r="C15" s="7" t="n">
        <f aca="false">INDEX('Event Log'!$B$2:$B$271,MATCH(B15,'Event Log'!$A$2:$A$271,0))</f>
        <v>46199</v>
      </c>
      <c r="D15" s="6" t="str">
        <f aca="false">INDEX('Event Log'!$C$2:$C$271,MATCH(B15,'Event Log'!$A$2:$A$271,0))</f>
        <v>US</v>
      </c>
      <c r="E15" s="6" t="str">
        <f aca="false">INDEX('Event Log'!$F$2:$F$271,MATCH(B15,'Event Log'!$A$2:$A$271,0))</f>
        <v>~1 hour of retaliatory strikes on missile/drone sites and coastal radar</v>
      </c>
      <c r="F15" s="6" t="n">
        <v>56</v>
      </c>
      <c r="G15" s="7" t="n">
        <f aca="false">INDEX('Event Log'!$B$2:$B$271,MATCH(F15,'Event Log'!$A$2:$A$271,0))</f>
        <v>46200</v>
      </c>
      <c r="H15" s="6" t="str">
        <f aca="false">INDEX('Event Log'!$C$2:$C$271,MATCH(F15,'Event Log'!$A$2:$A$271,0))</f>
        <v>Iran</v>
      </c>
      <c r="I15" s="6" t="str">
        <f aca="false">INDEX('Event Log'!$F$2:$F$271,MATCH(F15,'Event Log'!$A$2:$A$271,0))</f>
        <v>Tanker Kiku hit by a one-way drone near Hormuz (Jun 27, per CENTCOM; Iran has not confirmed); overnight Jun 27-28 the IRGC fires drones and missiles at Kuwait (intercepted) and Bahrain</v>
      </c>
      <c r="J15" s="6" t="n">
        <f aca="false">G15-C15</f>
        <v>1</v>
      </c>
      <c r="K15" s="6" t="s">
        <v>1193</v>
      </c>
      <c r="L15" s="6" t="s">
        <v>1194</v>
      </c>
      <c r="M15" s="6" t="s">
        <v>1209</v>
      </c>
    </row>
    <row r="16" customFormat="false" ht="35.05" hidden="false" customHeight="false" outlineLevel="0" collapsed="false">
      <c r="A16" s="6" t="n">
        <v>15</v>
      </c>
      <c r="B16" s="6" t="n">
        <v>57</v>
      </c>
      <c r="C16" s="7" t="n">
        <f aca="false">INDEX('Event Log'!$B$2:$B$271,MATCH(B16,'Event Log'!$A$2:$A$271,0))</f>
        <v>46210</v>
      </c>
      <c r="D16" s="6" t="str">
        <f aca="false">INDEX('Event Log'!$C$2:$C$271,MATCH(B16,'Event Log'!$A$2:$A$271,0))</f>
        <v>Iran</v>
      </c>
      <c r="E16" s="6" t="str">
        <f aca="false">INDEX('Event Log'!$F$2:$F$271,MATCH(B16,'Event Log'!$A$2:$A$271,0))</f>
        <v>Strikes three vessels in the Strait - second, larger MOU violation</v>
      </c>
      <c r="F16" s="6" t="n">
        <v>58</v>
      </c>
      <c r="G16" s="7" t="n">
        <f aca="false">INDEX('Event Log'!$B$2:$B$271,MATCH(F16,'Event Log'!$A$2:$A$271,0))</f>
        <v>46210</v>
      </c>
      <c r="H16" s="6" t="str">
        <f aca="false">INDEX('Event Log'!$C$2:$C$271,MATCH(F16,'Event Log'!$A$2:$A$271,0))</f>
        <v>US</v>
      </c>
      <c r="I16" s="6" t="str">
        <f aca="false">INDEX('Event Log'!$F$2:$F$271,MATCH(F16,'Event Log'!$A$2:$A$271,0))</f>
        <v>Treasury withdraws the general license allowing Iranian oil sales (wind-down to Jul 17) after the tanker attacks</v>
      </c>
      <c r="J16" s="6" t="n">
        <f aca="false">G16-C16</f>
        <v>0</v>
      </c>
      <c r="K16" s="6" t="s">
        <v>1201</v>
      </c>
      <c r="L16" s="6" t="s">
        <v>1194</v>
      </c>
      <c r="M16" s="6" t="s">
        <v>1210</v>
      </c>
    </row>
    <row r="17" customFormat="false" ht="46.25" hidden="false" customHeight="false" outlineLevel="0" collapsed="false">
      <c r="A17" s="6" t="n">
        <v>16</v>
      </c>
      <c r="B17" s="6" t="n">
        <v>59</v>
      </c>
      <c r="C17" s="7" t="n">
        <f aca="false">INDEX('Event Log'!$B$2:$B$271,MATCH(B17,'Event Log'!$A$2:$A$271,0))</f>
        <v>46210</v>
      </c>
      <c r="D17" s="6" t="str">
        <f aca="false">INDEX('Event Log'!$C$2:$C$271,MATCH(B17,'Event Log'!$A$2:$A$271,0))</f>
        <v>US</v>
      </c>
      <c r="E17" s="6" t="str">
        <f aca="false">INDEX('Event Log'!$F$2:$F$271,MATCH(B17,'Event Log'!$A$2:$A$271,0))</f>
        <v>Trump declares the ceasefire 'over' at the NATO summit</v>
      </c>
      <c r="F17" s="6" t="n">
        <v>60</v>
      </c>
      <c r="G17" s="7" t="n">
        <f aca="false">INDEX('Event Log'!$B$2:$B$271,MATCH(F17,'Event Log'!$A$2:$A$271,0))</f>
        <v>46211</v>
      </c>
      <c r="H17" s="6" t="str">
        <f aca="false">INDEX('Event Log'!$C$2:$C$271,MATCH(F17,'Event Log'!$A$2:$A$271,0))</f>
        <v>US</v>
      </c>
      <c r="I17" s="6" t="str">
        <f aca="false">INDEX('Event Log'!$F$2:$F$271,MATCH(F17,'Event Log'!$A$2:$A$271,0))</f>
        <v>About 90 targets along Iran's coast (air defenses, coastal surveillance, missile and drone storage, naval and logistics sites), the second night in a row after ~80 on Jul 7 (CENTCOM)</v>
      </c>
      <c r="J17" s="6" t="n">
        <f aca="false">G17-C17</f>
        <v>1</v>
      </c>
      <c r="K17" s="6" t="s">
        <v>1198</v>
      </c>
      <c r="L17" s="6" t="s">
        <v>1194</v>
      </c>
      <c r="M17" s="6" t="s">
        <v>1211</v>
      </c>
    </row>
    <row r="18" customFormat="false" ht="46.25" hidden="false" customHeight="false" outlineLevel="0" collapsed="false">
      <c r="A18" s="6" t="n">
        <v>17</v>
      </c>
      <c r="B18" s="6" t="n">
        <v>60</v>
      </c>
      <c r="C18" s="7" t="n">
        <f aca="false">INDEX('Event Log'!$B$2:$B$271,MATCH(B18,'Event Log'!$A$2:$A$271,0))</f>
        <v>46211</v>
      </c>
      <c r="D18" s="6" t="str">
        <f aca="false">INDEX('Event Log'!$C$2:$C$271,MATCH(B18,'Event Log'!$A$2:$A$271,0))</f>
        <v>US</v>
      </c>
      <c r="E18" s="6" t="str">
        <f aca="false">INDEX('Event Log'!$F$2:$F$271,MATCH(B18,'Event Log'!$A$2:$A$271,0))</f>
        <v>About 90 targets along Iran's coast (air defenses, coastal surveillance, missile and drone storage, naval and logistics sites), the second night in a row after ~80 on Jul 7 (CENTCOM)</v>
      </c>
      <c r="F18" s="6" t="n">
        <v>61</v>
      </c>
      <c r="G18" s="7" t="n">
        <f aca="false">INDEX('Event Log'!$B$2:$B$271,MATCH(F18,'Event Log'!$A$2:$A$271,0))</f>
        <v>46212</v>
      </c>
      <c r="H18" s="6" t="str">
        <f aca="false">INDEX('Event Log'!$C$2:$C$271,MATCH(F18,'Event Log'!$A$2:$A$271,0))</f>
        <v>Iran</v>
      </c>
      <c r="I18" s="6" t="str">
        <f aca="false">INDEX('Event Log'!$F$2:$F$271,MATCH(F18,'Event Log'!$A$2:$A$271,0))</f>
        <v>Iran's IRGC says it fired 10 ballistic missiles at the Azraq base in Jordan (Muwaffaq Salti AB is at Azraq); Jordan says it intercepted 8</v>
      </c>
      <c r="J18" s="6" t="n">
        <f aca="false">G18-C18</f>
        <v>1</v>
      </c>
      <c r="K18" s="6" t="s">
        <v>1193</v>
      </c>
      <c r="L18" s="6" t="s">
        <v>1194</v>
      </c>
      <c r="M18" s="6" t="s">
        <v>1212</v>
      </c>
    </row>
    <row r="19" customFormat="false" ht="46.25" hidden="false" customHeight="false" outlineLevel="0" collapsed="false">
      <c r="A19" s="6" t="n">
        <v>18</v>
      </c>
      <c r="B19" s="6" t="n">
        <v>60</v>
      </c>
      <c r="C19" s="7" t="n">
        <f aca="false">INDEX('Event Log'!$B$2:$B$271,MATCH(B19,'Event Log'!$A$2:$A$271,0))</f>
        <v>46211</v>
      </c>
      <c r="D19" s="6" t="str">
        <f aca="false">INDEX('Event Log'!$C$2:$C$271,MATCH(B19,'Event Log'!$A$2:$A$271,0))</f>
        <v>US</v>
      </c>
      <c r="E19" s="6" t="str">
        <f aca="false">INDEX('Event Log'!$F$2:$F$271,MATCH(B19,'Event Log'!$A$2:$A$271,0))</f>
        <v>About 90 targets along Iran's coast (air defenses, coastal surveillance, missile and drone storage, naval and logistics sites), the second night in a row after ~80 on Jul 7 (CENTCOM)</v>
      </c>
      <c r="F19" s="6" t="n">
        <v>62</v>
      </c>
      <c r="G19" s="7" t="n">
        <f aca="false">INDEX('Event Log'!$B$2:$B$271,MATCH(F19,'Event Log'!$A$2:$A$271,0))</f>
        <v>46215</v>
      </c>
      <c r="H19" s="6" t="str">
        <f aca="false">INDEX('Event Log'!$C$2:$C$271,MATCH(F19,'Event Log'!$A$2:$A$271,0))</f>
        <v>Iran</v>
      </c>
      <c r="I19" s="6" t="str">
        <f aca="false">INDEX('Event Log'!$F$2:$F$271,MATCH(F19,'Event Log'!$A$2:$A$271,0))</f>
        <v>Simultaneous strikes framed as retaliation for a '3rd round of US strikes within a week' (~140 sites)</v>
      </c>
      <c r="J19" s="6" t="n">
        <f aca="false">G19-C19</f>
        <v>4</v>
      </c>
      <c r="K19" s="6" t="s">
        <v>1193</v>
      </c>
      <c r="L19" s="6" t="s">
        <v>1191</v>
      </c>
      <c r="M19" s="6" t="s">
        <v>1213</v>
      </c>
    </row>
    <row r="20" customFormat="false" ht="35.05" hidden="false" customHeight="false" outlineLevel="0" collapsed="false">
      <c r="A20" s="6" t="n">
        <v>19</v>
      </c>
      <c r="B20" s="6" t="n">
        <v>70</v>
      </c>
      <c r="C20" s="7" t="n">
        <f aca="false">INDEX('Event Log'!$B$2:$B$271,MATCH(B20,'Event Log'!$A$2:$A$271,0))</f>
        <v>46264</v>
      </c>
      <c r="D20" s="6" t="str">
        <f aca="false">INDEX('Event Log'!$C$2:$C$271,MATCH(B20,'Event Log'!$A$2:$A$271,0))</f>
        <v>US</v>
      </c>
      <c r="E20" s="6" t="str">
        <f aca="false">INDEX('Event Log'!$F$2:$F$271,MATCH(B20,'Event Log'!$A$2:$A$271,0))</f>
        <v>Strikes 2 IRGC rocket launchers on Larak Island, said to be preparing sea mines</v>
      </c>
      <c r="F20" s="6" t="n">
        <v>71</v>
      </c>
      <c r="G20" s="7" t="n">
        <f aca="false">INDEX('Event Log'!$B$2:$B$271,MATCH(F20,'Event Log'!$A$2:$A$271,0))</f>
        <v>46265</v>
      </c>
      <c r="H20" s="6" t="str">
        <f aca="false">INDEX('Event Log'!$C$2:$C$271,MATCH(F20,'Event Log'!$A$2:$A$271,0))</f>
        <v>Iran</v>
      </c>
      <c r="I20" s="6" t="str">
        <f aca="false">INDEX('Event Log'!$F$2:$F$271,MATCH(F20,'Event Log'!$A$2:$A$271,0))</f>
        <v>'Punishment of the Aggressor': strikes King Hussein AB and Al Azraq AB</v>
      </c>
      <c r="J20" s="6" t="n">
        <f aca="false">G20-C20</f>
        <v>1</v>
      </c>
      <c r="K20" s="6" t="s">
        <v>1190</v>
      </c>
      <c r="L20" s="6" t="s">
        <v>1194</v>
      </c>
      <c r="M20" s="6" t="s">
        <v>1214</v>
      </c>
    </row>
    <row r="21" customFormat="false" ht="35.05" hidden="false" customHeight="false" outlineLevel="0" collapsed="false">
      <c r="A21" s="6" t="n">
        <v>20</v>
      </c>
      <c r="B21" s="6" t="n">
        <v>74</v>
      </c>
      <c r="C21" s="7" t="n">
        <f aca="false">INDEX('Event Log'!$B$2:$B$271,MATCH(B21,'Event Log'!$A$2:$A$271,0))</f>
        <v>46266</v>
      </c>
      <c r="D21" s="6" t="str">
        <f aca="false">INDEX('Event Log'!$C$2:$C$271,MATCH(B21,'Event Log'!$A$2:$A$271,0))</f>
        <v>US</v>
      </c>
      <c r="E21" s="6" t="str">
        <f aca="false">INDEX('Event Log'!$F$2:$F$271,MATCH(B21,'Event Log'!$A$2:$A$271,0))</f>
        <v>Kuhestak/Sirik wedding strike, part of the same wave as #73</v>
      </c>
      <c r="F21" s="6" t="n">
        <v>75</v>
      </c>
      <c r="G21" s="7" t="n">
        <f aca="false">INDEX('Event Log'!$B$2:$B$271,MATCH(F21,'Event Log'!$A$2:$A$271,0))</f>
        <v>46266</v>
      </c>
      <c r="H21" s="6" t="str">
        <f aca="false">INDEX('Event Log'!$C$2:$C$271,MATCH(F21,'Event Log'!$A$2:$A$271,0))</f>
        <v>Iran</v>
      </c>
      <c r="I21" s="6" t="str">
        <f aca="false">INDEX('Event Log'!$F$2:$F$271,MATCH(F21,'Event Log'!$A$2:$A$271,0))</f>
        <v>Strikes Camp Titin and Prince Hassan AB</v>
      </c>
      <c r="J21" s="6" t="n">
        <f aca="false">G21-C21</f>
        <v>0</v>
      </c>
      <c r="K21" s="6" t="s">
        <v>1190</v>
      </c>
      <c r="L21" s="6" t="s">
        <v>1194</v>
      </c>
      <c r="M21" s="6" t="s">
        <v>1215</v>
      </c>
    </row>
    <row r="22" customFormat="false" ht="46.25" hidden="false" customHeight="false" outlineLevel="0" collapsed="false">
      <c r="A22" s="6" t="n">
        <v>22</v>
      </c>
      <c r="B22" s="6" t="n">
        <v>78</v>
      </c>
      <c r="C22" s="7" t="n">
        <f aca="false">INDEX('Event Log'!$B$2:$B$271,MATCH(B22,'Event Log'!$A$2:$A$271,0))</f>
        <v>46273</v>
      </c>
      <c r="D22" s="6" t="str">
        <f aca="false">INDEX('Event Log'!$C$2:$C$271,MATCH(B22,'Event Log'!$A$2:$A$271,0))</f>
        <v>Iran</v>
      </c>
      <c r="E22" s="6" t="str">
        <f aca="false">INDEX('Event Log'!$F$2:$F$271,MATCH(B22,'Event Log'!$A$2:$A$271,0))</f>
        <v>IRGC fires ballistic missiles at a US warship for the second time in two days</v>
      </c>
      <c r="F22" s="6" t="n">
        <v>79</v>
      </c>
      <c r="G22" s="7" t="n">
        <f aca="false">INDEX('Event Log'!$B$2:$B$271,MATCH(F22,'Event Log'!$A$2:$A$271,0))</f>
        <v>46273</v>
      </c>
      <c r="H22" s="6" t="str">
        <f aca="false">INDEX('Event Log'!$C$2:$C$271,MATCH(F22,'Event Log'!$A$2:$A$271,0))</f>
        <v>US</v>
      </c>
      <c r="I22" s="6" t="str">
        <f aca="false">INDEX('Event Log'!$F$2:$F$271,MATCH(F22,'Event Log'!$A$2:$A$271,0))</f>
        <v>CENTCOM destroys five IRGC crude oil carriers (four in the Gulf of Oman, one near Kharg Island) after the IRGC's missile attempts on a US warship</v>
      </c>
      <c r="J22" s="6" t="n">
        <f aca="false">G22-C22</f>
        <v>0</v>
      </c>
      <c r="K22" s="6" t="s">
        <v>1193</v>
      </c>
      <c r="L22" s="6" t="s">
        <v>1194</v>
      </c>
      <c r="M22" s="6" t="s">
        <v>1216</v>
      </c>
    </row>
    <row r="23" customFormat="false" ht="46.25" hidden="false" customHeight="false" outlineLevel="0" collapsed="false">
      <c r="A23" s="6" t="n">
        <v>23</v>
      </c>
      <c r="B23" s="6" t="n">
        <v>79</v>
      </c>
      <c r="C23" s="7" t="n">
        <f aca="false">INDEX('Event Log'!$B$2:$B$271,MATCH(B23,'Event Log'!$A$2:$A$271,0))</f>
        <v>46273</v>
      </c>
      <c r="D23" s="6" t="str">
        <f aca="false">INDEX('Event Log'!$C$2:$C$271,MATCH(B23,'Event Log'!$A$2:$A$271,0))</f>
        <v>US</v>
      </c>
      <c r="E23" s="6" t="str">
        <f aca="false">INDEX('Event Log'!$F$2:$F$271,MATCH(B23,'Event Log'!$A$2:$A$271,0))</f>
        <v>CENTCOM destroys five IRGC crude oil carriers (four in the Gulf of Oman, one near Kharg Island) after the IRGC's missile attempts on a US warship</v>
      </c>
      <c r="F23" s="6" t="n">
        <v>80</v>
      </c>
      <c r="G23" s="7" t="n">
        <f aca="false">INDEX('Event Log'!$B$2:$B$271,MATCH(F23,'Event Log'!$A$2:$A$271,0))</f>
        <v>46274</v>
      </c>
      <c r="H23" s="6" t="str">
        <f aca="false">INDEX('Event Log'!$C$2:$C$271,MATCH(F23,'Event Log'!$A$2:$A$271,0))</f>
        <v>Iran</v>
      </c>
      <c r="I23" s="6" t="str">
        <f aca="false">INDEX('Event Log'!$F$2:$F$271,MATCH(F23,'Event Log'!$A$2:$A$271,0))</f>
        <v>Strikes Muwaffaq Salti AB: 1 A-10 loses a wing, ~8 F-15s lightly damaged</v>
      </c>
      <c r="J23" s="6" t="n">
        <f aca="false">G23-C23</f>
        <v>1</v>
      </c>
      <c r="K23" s="6" t="s">
        <v>1201</v>
      </c>
      <c r="L23" s="6" t="s">
        <v>1194</v>
      </c>
      <c r="M23" s="6" t="s">
        <v>1217</v>
      </c>
    </row>
    <row r="24" customFormat="false" ht="35.05" hidden="false" customHeight="false" outlineLevel="0" collapsed="false">
      <c r="A24" s="6" t="n">
        <v>24</v>
      </c>
      <c r="B24" s="6" t="n">
        <v>81</v>
      </c>
      <c r="C24" s="7" t="n">
        <f aca="false">INDEX('Event Log'!$B$2:$B$271,MATCH(B24,'Event Log'!$A$2:$A$271,0))</f>
        <v>46288</v>
      </c>
      <c r="D24" s="6" t="str">
        <f aca="false">INDEX('Event Log'!$C$2:$C$271,MATCH(B24,'Event Log'!$A$2:$A$271,0))</f>
        <v>Iran</v>
      </c>
      <c r="E24" s="6" t="str">
        <f aca="false">INDEX('Event Log'!$F$2:$F$271,MATCH(B24,'Event Log'!$A$2:$A$271,0))</f>
        <v>FM Araghchi's 7-day roadmap at UNGA: ceasefire, blockade lift, Strait reopens on day 7</v>
      </c>
      <c r="F24" s="6" t="n">
        <v>82</v>
      </c>
      <c r="G24" s="7" t="n">
        <f aca="false">INDEX('Event Log'!$B$2:$B$271,MATCH(F24,'Event Log'!$A$2:$A$271,0))</f>
        <v>46291</v>
      </c>
      <c r="H24" s="6" t="str">
        <f aca="false">INDEX('Event Log'!$C$2:$C$271,MATCH(F24,'Event Log'!$A$2:$A$271,0))</f>
        <v>US</v>
      </c>
      <c r="I24" s="6" t="str">
        <f aca="false">INDEX('Event Log'!$F$2:$F$271,MATCH(F24,'Event Log'!$A$2:$A$271,0))</f>
        <v>Trump rejects the proposal; officials say he expects to resume bombing after the November midterms</v>
      </c>
      <c r="J24" s="6" t="n">
        <f aca="false">G24-C24</f>
        <v>3</v>
      </c>
      <c r="K24" s="6" t="s">
        <v>1198</v>
      </c>
      <c r="L24" s="6" t="s">
        <v>1194</v>
      </c>
      <c r="M24" s="6" t="s">
        <v>1218</v>
      </c>
    </row>
    <row r="25" customFormat="false" ht="46.25" hidden="false" customHeight="false" outlineLevel="0" collapsed="false">
      <c r="A25" s="6" t="n">
        <v>300</v>
      </c>
      <c r="B25" s="6" t="n">
        <v>300</v>
      </c>
      <c r="C25" s="7" t="n">
        <f aca="false">INDEX('Event Log'!$B$2:$B$271,MATCH(B25,'Event Log'!$A$2:$A$271,0))</f>
        <v>29163</v>
      </c>
      <c r="D25" s="6" t="str">
        <f aca="false">INDEX('Event Log'!$C$2:$C$271,MATCH(B25,'Event Log'!$A$2:$A$271,0))</f>
        <v>Iran (students with state backing)</v>
      </c>
      <c r="E25" s="6" t="str">
        <f aca="false">INDEX('Event Log'!$F$2:$F$271,MATCH(B25,'Event Log'!$A$2:$A$271,0))</f>
        <v>Students seize the US embassy in Tehran and hold about 60 Americans, first demanding the Shah's return; Revolutionary Guards loyal to Khomeini keep the compound</v>
      </c>
      <c r="F25" s="6" t="n">
        <v>304</v>
      </c>
      <c r="G25" s="7" t="n">
        <f aca="false">INDEX('Event Log'!$B$2:$B$271,MATCH(F25,'Event Log'!$A$2:$A$271,0))</f>
        <v>29335</v>
      </c>
      <c r="H25" s="6" t="str">
        <f aca="false">INDEX('Event Log'!$C$2:$C$271,MATCH(F25,'Event Log'!$A$2:$A$271,0))</f>
        <v>US</v>
      </c>
      <c r="I25" s="6" t="str">
        <f aca="false">INDEX('Event Log'!$F$2:$F$271,MATCH(F25,'Event Log'!$A$2:$A$271,0))</f>
        <v>A US mission to free the hostages is called off after helicopter failures in the desert</v>
      </c>
      <c r="J25" s="6" t="n">
        <f aca="false">G25-C25</f>
        <v>172</v>
      </c>
      <c r="K25" s="6" t="s">
        <v>1190</v>
      </c>
      <c r="L25" s="6" t="s">
        <v>1191</v>
      </c>
      <c r="M25" s="6" t="s">
        <v>1219</v>
      </c>
    </row>
    <row r="26" customFormat="false" ht="35.05" hidden="false" customHeight="false" outlineLevel="0" collapsed="false">
      <c r="A26" s="6" t="n">
        <v>301</v>
      </c>
      <c r="B26" s="6" t="n">
        <v>319</v>
      </c>
      <c r="C26" s="7" t="n">
        <f aca="false">INDEX('Event Log'!$B$2:$B$271,MATCH(B26,'Event Log'!$A$2:$A$271,0))</f>
        <v>32066</v>
      </c>
      <c r="D26" s="6" t="str">
        <f aca="false">INDEX('Event Log'!$C$2:$C$271,MATCH(B26,'Event Log'!$A$2:$A$271,0))</f>
        <v>Iran</v>
      </c>
      <c r="E26" s="6" t="str">
        <f aca="false">INDEX('Event Log'!$F$2:$F$271,MATCH(B26,'Event Log'!$A$2:$A$271,0))</f>
        <v>A second Silkworm hits the US-flagged tanker Sea Isle City at the Kuwaiti terminal</v>
      </c>
      <c r="F26" s="6" t="n">
        <v>320</v>
      </c>
      <c r="G26" s="7" t="n">
        <f aca="false">INDEX('Event Log'!$B$2:$B$271,MATCH(F26,'Event Log'!$A$2:$A$271,0))</f>
        <v>32069</v>
      </c>
      <c r="H26" s="6" t="str">
        <f aca="false">INDEX('Event Log'!$C$2:$C$271,MATCH(F26,'Event Log'!$A$2:$A$271,0))</f>
        <v>US</v>
      </c>
      <c r="I26" s="6" t="str">
        <f aca="false">INDEX('Event Log'!$F$2:$F$271,MATCH(F26,'Event Log'!$A$2:$A$271,0))</f>
        <v>Four US destroyers shell and set ablaze an Iranian military platform; Reagan calls it a reprisal for the Silkworm attacks</v>
      </c>
      <c r="J26" s="6" t="n">
        <f aca="false">G26-C26</f>
        <v>3</v>
      </c>
      <c r="K26" s="6" t="s">
        <v>1193</v>
      </c>
      <c r="L26" s="6" t="s">
        <v>1194</v>
      </c>
      <c r="M26" s="6" t="s">
        <v>1220</v>
      </c>
    </row>
    <row r="27" customFormat="false" ht="35.05" hidden="false" customHeight="false" outlineLevel="0" collapsed="false">
      <c r="A27" s="6" t="n">
        <v>302</v>
      </c>
      <c r="B27" s="6" t="n">
        <v>320</v>
      </c>
      <c r="C27" s="7" t="n">
        <f aca="false">INDEX('Event Log'!$B$2:$B$271,MATCH(B27,'Event Log'!$A$2:$A$271,0))</f>
        <v>32069</v>
      </c>
      <c r="D27" s="6" t="str">
        <f aca="false">INDEX('Event Log'!$C$2:$C$271,MATCH(B27,'Event Log'!$A$2:$A$271,0))</f>
        <v>US</v>
      </c>
      <c r="E27" s="6" t="str">
        <f aca="false">INDEX('Event Log'!$F$2:$F$271,MATCH(B27,'Event Log'!$A$2:$A$271,0))</f>
        <v>Four US destroyers shell and set ablaze an Iranian military platform; Reagan calls it a reprisal for the Silkworm attacks</v>
      </c>
      <c r="F27" s="6" t="n">
        <v>321</v>
      </c>
      <c r="G27" s="7" t="n">
        <f aca="false">INDEX('Event Log'!$B$2:$B$271,MATCH(F27,'Event Log'!$A$2:$A$271,0))</f>
        <v>32072</v>
      </c>
      <c r="H27" s="6" t="str">
        <f aca="false">INDEX('Event Log'!$C$2:$C$271,MATCH(F27,'Event Log'!$A$2:$A$271,0))</f>
        <v>Iran</v>
      </c>
      <c r="I27" s="6" t="str">
        <f aca="false">INDEX('Event Log'!$F$2:$F$271,MATCH(F27,'Event Log'!$A$2:$A$271,0))</f>
        <v>A Silkworm hits Kuwait's Sea Island loading terminal and sets tanks on fire; the Washington Post ties it to the US reprisal</v>
      </c>
      <c r="J27" s="6" t="n">
        <f aca="false">G27-C27</f>
        <v>3</v>
      </c>
      <c r="K27" s="6" t="s">
        <v>1193</v>
      </c>
      <c r="L27" s="6" t="s">
        <v>1191</v>
      </c>
      <c r="M27" s="6" t="s">
        <v>1221</v>
      </c>
    </row>
    <row r="28" customFormat="false" ht="35.05" hidden="false" customHeight="false" outlineLevel="0" collapsed="false">
      <c r="A28" s="6" t="n">
        <v>303</v>
      </c>
      <c r="B28" s="6" t="n">
        <v>322</v>
      </c>
      <c r="C28" s="7" t="n">
        <f aca="false">INDEX('Event Log'!$B$2:$B$271,MATCH(B28,'Event Log'!$A$2:$A$271,0))</f>
        <v>32247</v>
      </c>
      <c r="D28" s="6" t="str">
        <f aca="false">INDEX('Event Log'!$C$2:$C$271,MATCH(B28,'Event Log'!$A$2:$A$271,0))</f>
        <v>Iran (mine, per US)</v>
      </c>
      <c r="E28" s="6" t="str">
        <f aca="false">INDEX('Event Log'!$F$2:$F$271,MATCH(B28,'Event Log'!$A$2:$A$271,0))</f>
        <v>The frigate USS Samuel B. Roberts hits an Iranian mine and is badly damaged</v>
      </c>
      <c r="F28" s="6" t="n">
        <v>323</v>
      </c>
      <c r="G28" s="7" t="n">
        <f aca="false">INDEX('Event Log'!$B$2:$B$271,MATCH(F28,'Event Log'!$A$2:$A$271,0))</f>
        <v>32251</v>
      </c>
      <c r="H28" s="6" t="str">
        <f aca="false">INDEX('Event Log'!$C$2:$C$271,MATCH(F28,'Event Log'!$A$2:$A$271,0))</f>
        <v>US</v>
      </c>
      <c r="I28" s="6" t="str">
        <f aca="false">INDEX('Event Log'!$F$2:$F$271,MATCH(F28,'Event Log'!$A$2:$A$271,0))</f>
        <v>The Navy destroys two Iranian oil platforms and sinks or cripples Iranian warships, the largest US surface action since World War II</v>
      </c>
      <c r="J28" s="6" t="n">
        <f aca="false">G28-C28</f>
        <v>4</v>
      </c>
      <c r="K28" s="6" t="s">
        <v>1193</v>
      </c>
      <c r="L28" s="6" t="s">
        <v>1191</v>
      </c>
      <c r="M28" s="6" t="s">
        <v>1222</v>
      </c>
    </row>
    <row r="29" customFormat="false" ht="35.05" hidden="false" customHeight="false" outlineLevel="0" collapsed="false">
      <c r="A29" s="6" t="n">
        <v>304</v>
      </c>
      <c r="B29" s="6" t="n">
        <v>323</v>
      </c>
      <c r="C29" s="7" t="n">
        <f aca="false">INDEX('Event Log'!$B$2:$B$271,MATCH(B29,'Event Log'!$A$2:$A$271,0))</f>
        <v>32251</v>
      </c>
      <c r="D29" s="6" t="str">
        <f aca="false">INDEX('Event Log'!$C$2:$C$271,MATCH(B29,'Event Log'!$A$2:$A$271,0))</f>
        <v>US</v>
      </c>
      <c r="E29" s="6" t="str">
        <f aca="false">INDEX('Event Log'!$F$2:$F$271,MATCH(B29,'Event Log'!$A$2:$A$271,0))</f>
        <v>The Navy destroys two Iranian oil platforms and sinks or cripples Iranian warships, the largest US surface action since World War II</v>
      </c>
      <c r="F29" s="6" t="n">
        <v>324</v>
      </c>
      <c r="G29" s="7" t="n">
        <f aca="false">INDEX('Event Log'!$B$2:$B$271,MATCH(F29,'Event Log'!$A$2:$A$271,0))</f>
        <v>32251</v>
      </c>
      <c r="H29" s="6" t="str">
        <f aca="false">INDEX('Event Log'!$C$2:$C$271,MATCH(F29,'Event Log'!$A$2:$A$271,0))</f>
        <v>Iran</v>
      </c>
      <c r="I29" s="6" t="str">
        <f aca="false">INDEX('Event Log'!$F$2:$F$271,MATCH(F29,'Event Log'!$A$2:$A$271,0))</f>
        <v>The same day Iranian gunboats damage three merchant ships and the missile boat Joshan fires a Harpoon at USS Wainwright</v>
      </c>
      <c r="J29" s="6" t="n">
        <f aca="false">G29-C29</f>
        <v>0</v>
      </c>
      <c r="K29" s="6" t="s">
        <v>1193</v>
      </c>
      <c r="L29" s="6" t="s">
        <v>1194</v>
      </c>
      <c r="M29" s="6" t="s">
        <v>1223</v>
      </c>
    </row>
    <row r="30" customFormat="false" ht="35.05" hidden="false" customHeight="false" outlineLevel="0" collapsed="false">
      <c r="A30" s="6" t="n">
        <v>305</v>
      </c>
      <c r="B30" s="6" t="n">
        <v>359</v>
      </c>
      <c r="C30" s="7" t="n">
        <f aca="false">INDEX('Event Log'!$B$2:$B$271,MATCH(B30,'Event Log'!$A$2:$A$271,0))</f>
        <v>42122</v>
      </c>
      <c r="D30" s="6" t="str">
        <f aca="false">INDEX('Event Log'!$C$2:$C$271,MATCH(B30,'Event Log'!$A$2:$A$271,0))</f>
        <v>Iran</v>
      </c>
      <c r="E30" s="6" t="str">
        <f aca="false">INDEX('Event Log'!$F$2:$F$271,MATCH(B30,'Event Log'!$A$2:$A$271,0))</f>
        <v>Iranian forces fire on and board the Marshall Islands-flagged container ship Maersk Tigris</v>
      </c>
      <c r="F30" s="6" t="n">
        <v>360</v>
      </c>
      <c r="G30" s="7" t="n">
        <f aca="false">INDEX('Event Log'!$B$2:$B$271,MATCH(F30,'Event Log'!$A$2:$A$271,0))</f>
        <v>42122</v>
      </c>
      <c r="H30" s="6" t="str">
        <f aca="false">INDEX('Event Log'!$C$2:$C$271,MATCH(F30,'Event Log'!$A$2:$A$271,0))</f>
        <v>US</v>
      </c>
      <c r="I30" s="6" t="str">
        <f aca="false">INDEX('Event Log'!$F$2:$F$271,MATCH(F30,'Event Log'!$A$2:$A$271,0))</f>
        <v>The Pentagon sends surveillance aircraft and orders the destroyer USS Farragut toward the Tigris</v>
      </c>
      <c r="J30" s="6" t="n">
        <f aca="false">G30-C30</f>
        <v>0</v>
      </c>
      <c r="K30" s="6" t="s">
        <v>1193</v>
      </c>
      <c r="L30" s="6" t="s">
        <v>1194</v>
      </c>
      <c r="M30" s="6" t="s">
        <v>1224</v>
      </c>
    </row>
    <row r="31" customFormat="false" ht="35.05" hidden="false" customHeight="false" outlineLevel="0" collapsed="false">
      <c r="A31" s="6" t="n">
        <v>26</v>
      </c>
      <c r="B31" s="6" t="n">
        <v>212</v>
      </c>
      <c r="C31" s="7" t="n">
        <f aca="false">INDEX('Event Log'!$B$2:$B$271,MATCH(B31,'Event Log'!$A$2:$A$271,0))</f>
        <v>43826</v>
      </c>
      <c r="D31" s="6" t="str">
        <f aca="false">INDEX('Event Log'!$C$2:$C$271,MATCH(B31,'Event Log'!$A$2:$A$271,0))</f>
        <v>Kataib Hezbollah (Iran-backed, per US)</v>
      </c>
      <c r="E31" s="6" t="str">
        <f aca="false">INDEX('Event Log'!$F$2:$F$271,MATCH(B31,'Event Log'!$A$2:$A$271,0))</f>
        <v>Rocket attack on the K-1 base near Kirkuk kills a US contractor; the US blames Kataib Hezbollah</v>
      </c>
      <c r="F31" s="6" t="n">
        <v>213</v>
      </c>
      <c r="G31" s="7" t="n">
        <f aca="false">INDEX('Event Log'!$B$2:$B$271,MATCH(F31,'Event Log'!$A$2:$A$271,0))</f>
        <v>43828</v>
      </c>
      <c r="H31" s="6" t="str">
        <f aca="false">INDEX('Event Log'!$C$2:$C$271,MATCH(F31,'Event Log'!$A$2:$A$271,0))</f>
        <v>US</v>
      </c>
      <c r="I31" s="6" t="str">
        <f aca="false">INDEX('Event Log'!$F$2:$F$271,MATCH(F31,'Event Log'!$A$2:$A$271,0))</f>
        <v>US strikes five Kataib Hezbollah sites in Iraq and Syria in retaliation for the K-1 attack</v>
      </c>
      <c r="J31" s="6" t="n">
        <f aca="false">G31-C31</f>
        <v>2</v>
      </c>
      <c r="K31" s="6" t="s">
        <v>1190</v>
      </c>
      <c r="L31" s="6" t="s">
        <v>1191</v>
      </c>
      <c r="M31" s="6" t="s">
        <v>1225</v>
      </c>
    </row>
    <row r="32" customFormat="false" ht="46.25" hidden="false" customHeight="false" outlineLevel="0" collapsed="false">
      <c r="A32" s="6" t="n">
        <v>27</v>
      </c>
      <c r="B32" s="6" t="n">
        <v>213</v>
      </c>
      <c r="C32" s="7" t="n">
        <f aca="false">INDEX('Event Log'!$B$2:$B$271,MATCH(B32,'Event Log'!$A$2:$A$271,0))</f>
        <v>43828</v>
      </c>
      <c r="D32" s="6" t="str">
        <f aca="false">INDEX('Event Log'!$C$2:$C$271,MATCH(B32,'Event Log'!$A$2:$A$271,0))</f>
        <v>US</v>
      </c>
      <c r="E32" s="6" t="str">
        <f aca="false">INDEX('Event Log'!$F$2:$F$271,MATCH(B32,'Event Log'!$A$2:$A$271,0))</f>
        <v>US strikes five Kataib Hezbollah sites in Iraq and Syria in retaliation for the K-1 attack</v>
      </c>
      <c r="F32" s="6" t="n">
        <v>214</v>
      </c>
      <c r="G32" s="7" t="n">
        <f aca="false">INDEX('Event Log'!$B$2:$B$271,MATCH(F32,'Event Log'!$A$2:$A$271,0))</f>
        <v>43830</v>
      </c>
      <c r="H32" s="6" t="str">
        <f aca="false">INDEX('Event Log'!$C$2:$C$271,MATCH(F32,'Event Log'!$A$2:$A$271,0))</f>
        <v>Kataib Hezbollah supporters (Iran-backed)</v>
      </c>
      <c r="I32" s="6" t="str">
        <f aca="false">INDEX('Event Log'!$F$2:$F$271,MATCH(F32,'Event Log'!$A$2:$A$271,0))</f>
        <v>Militia supporters storm the outer compound of the US embassy in Baghdad after the US strikes</v>
      </c>
      <c r="J32" s="6" t="n">
        <f aca="false">G32-C32</f>
        <v>2</v>
      </c>
      <c r="K32" s="6" t="s">
        <v>1190</v>
      </c>
      <c r="L32" s="6" t="s">
        <v>1194</v>
      </c>
      <c r="M32" s="6" t="s">
        <v>1226</v>
      </c>
    </row>
    <row r="33" customFormat="false" ht="35.05" hidden="false" customHeight="false" outlineLevel="0" collapsed="false">
      <c r="A33" s="6" t="n">
        <v>28</v>
      </c>
      <c r="B33" s="6" t="n">
        <v>215</v>
      </c>
      <c r="C33" s="7" t="n">
        <f aca="false">INDEX('Event Log'!$B$2:$B$271,MATCH(B33,'Event Log'!$A$2:$A$271,0))</f>
        <v>43833</v>
      </c>
      <c r="D33" s="6" t="str">
        <f aca="false">INDEX('Event Log'!$C$2:$C$271,MATCH(B33,'Event Log'!$A$2:$A$271,0))</f>
        <v>US</v>
      </c>
      <c r="E33" s="6" t="str">
        <f aca="false">INDEX('Event Log'!$F$2:$F$271,MATCH(B33,'Event Log'!$A$2:$A$271,0))</f>
        <v>US drone strike at Baghdad airport kills IRGC Quds Force commander Qassem Soleimani and militia leader Abu Mahdi al-Muhandis</v>
      </c>
      <c r="F33" s="6" t="n">
        <v>216</v>
      </c>
      <c r="G33" s="7" t="n">
        <f aca="false">INDEX('Event Log'!$B$2:$B$271,MATCH(F33,'Event Log'!$A$2:$A$271,0))</f>
        <v>43838</v>
      </c>
      <c r="H33" s="6" t="str">
        <f aca="false">INDEX('Event Log'!$C$2:$C$271,MATCH(F33,'Event Log'!$A$2:$A$271,0))</f>
        <v>Iran</v>
      </c>
      <c r="I33" s="6" t="str">
        <f aca="false">INDEX('Event Log'!$F$2:$F$271,MATCH(F33,'Event Log'!$A$2:$A$271,0))</f>
        <v>Iran fires ballistic missiles at bases housing US troops in Iraq in revenge for Soleimani</v>
      </c>
      <c r="J33" s="6" t="n">
        <f aca="false">G33-C33</f>
        <v>5</v>
      </c>
      <c r="K33" s="6" t="s">
        <v>1190</v>
      </c>
      <c r="L33" s="6" t="s">
        <v>1191</v>
      </c>
      <c r="M33" s="6" t="s">
        <v>1227</v>
      </c>
    </row>
    <row r="34" customFormat="false" ht="35.05" hidden="false" customHeight="false" outlineLevel="0" collapsed="false">
      <c r="A34" s="6" t="n">
        <v>29</v>
      </c>
      <c r="B34" s="6" t="n">
        <v>218</v>
      </c>
      <c r="C34" s="7" t="n">
        <f aca="false">INDEX('Event Log'!$B$2:$B$271,MATCH(B34,'Event Log'!$A$2:$A$271,0))</f>
        <v>43901</v>
      </c>
      <c r="D34" s="6" t="str">
        <f aca="false">INDEX('Event Log'!$C$2:$C$271,MATCH(B34,'Event Log'!$A$2:$A$271,0))</f>
        <v>Kataib Hezbollah (Iran-backed, per US)</v>
      </c>
      <c r="E34" s="6" t="str">
        <f aca="false">INDEX('Event Log'!$F$2:$F$271,MATCH(B34,'Event Log'!$A$2:$A$271,0))</f>
        <v>Rocket attack on Camp Taji kills two US troops and a British soldier</v>
      </c>
      <c r="F34" s="6" t="n">
        <v>219</v>
      </c>
      <c r="G34" s="7" t="n">
        <f aca="false">INDEX('Event Log'!$B$2:$B$271,MATCH(F34,'Event Log'!$A$2:$A$271,0))</f>
        <v>43902</v>
      </c>
      <c r="H34" s="6" t="str">
        <f aca="false">INDEX('Event Log'!$C$2:$C$271,MATCH(F34,'Event Log'!$A$2:$A$271,0))</f>
        <v>US</v>
      </c>
      <c r="I34" s="6" t="str">
        <f aca="false">INDEX('Event Log'!$F$2:$F$271,MATCH(F34,'Event Log'!$A$2:$A$271,0))</f>
        <v>US strikes Kataib Hezbollah weapons storage sites in Iraq after the Taji attack</v>
      </c>
      <c r="J34" s="6" t="n">
        <f aca="false">G34-C34</f>
        <v>1</v>
      </c>
      <c r="K34" s="6" t="s">
        <v>1190</v>
      </c>
      <c r="L34" s="6" t="s">
        <v>1194</v>
      </c>
      <c r="M34" s="6" t="s">
        <v>1228</v>
      </c>
    </row>
    <row r="35" customFormat="false" ht="35.05" hidden="false" customHeight="false" outlineLevel="0" collapsed="false">
      <c r="A35" s="6" t="n">
        <v>30</v>
      </c>
      <c r="B35" s="6" t="n">
        <v>219</v>
      </c>
      <c r="C35" s="7" t="n">
        <f aca="false">INDEX('Event Log'!$B$2:$B$271,MATCH(B35,'Event Log'!$A$2:$A$271,0))</f>
        <v>43902</v>
      </c>
      <c r="D35" s="6" t="str">
        <f aca="false">INDEX('Event Log'!$C$2:$C$271,MATCH(B35,'Event Log'!$A$2:$A$271,0))</f>
        <v>US</v>
      </c>
      <c r="E35" s="6" t="str">
        <f aca="false">INDEX('Event Log'!$F$2:$F$271,MATCH(B35,'Event Log'!$A$2:$A$271,0))</f>
        <v>US strikes Kataib Hezbollah weapons storage sites in Iraq after the Taji attack</v>
      </c>
      <c r="F35" s="6" t="n">
        <v>220</v>
      </c>
      <c r="G35" s="7" t="n">
        <f aca="false">INDEX('Event Log'!$B$2:$B$271,MATCH(F35,'Event Log'!$A$2:$A$271,0))</f>
        <v>43904</v>
      </c>
      <c r="H35" s="6" t="str">
        <f aca="false">INDEX('Event Log'!$C$2:$C$271,MATCH(F35,'Event Log'!$A$2:$A$271,0))</f>
        <v>Unknown (Iran-backed militia suspected)</v>
      </c>
      <c r="I35" s="6" t="str">
        <f aca="false">INDEX('Event Log'!$F$2:$F$271,MATCH(F35,'Event Log'!$A$2:$A$271,0))</f>
        <v>At least 25 rockets hit Camp Taji a day after the US strikes; no group named</v>
      </c>
      <c r="J35" s="6" t="n">
        <f aca="false">G35-C35</f>
        <v>2</v>
      </c>
      <c r="K35" s="6" t="s">
        <v>1193</v>
      </c>
      <c r="L35" s="6" t="s">
        <v>1191</v>
      </c>
      <c r="M35" s="6" t="s">
        <v>1229</v>
      </c>
    </row>
    <row r="36" customFormat="false" ht="35.05" hidden="false" customHeight="false" outlineLevel="0" collapsed="false">
      <c r="A36" s="6" t="n">
        <v>31</v>
      </c>
      <c r="B36" s="6" t="n">
        <v>223</v>
      </c>
      <c r="C36" s="7" t="n">
        <f aca="false">INDEX('Event Log'!$B$2:$B$271,MATCH(B36,'Event Log'!$A$2:$A$271,0))</f>
        <v>44374</v>
      </c>
      <c r="D36" s="6" t="str">
        <f aca="false">INDEX('Event Log'!$C$2:$C$271,MATCH(B36,'Event Log'!$A$2:$A$271,0))</f>
        <v>US</v>
      </c>
      <c r="E36" s="6" t="str">
        <f aca="false">INDEX('Event Log'!$F$2:$F$271,MATCH(B36,'Event Log'!$A$2:$A$271,0))</f>
        <v>US strikes facilities used by Iran-backed militias near the Iraq-Syria border</v>
      </c>
      <c r="F36" s="6" t="n">
        <v>224</v>
      </c>
      <c r="G36" s="7" t="n">
        <f aca="false">INDEX('Event Log'!$B$2:$B$271,MATCH(F36,'Event Log'!$A$2:$A$271,0))</f>
        <v>44375</v>
      </c>
      <c r="H36" s="6" t="str">
        <f aca="false">INDEX('Event Log'!$C$2:$C$271,MATCH(F36,'Event Log'!$A$2:$A$271,0))</f>
        <v>Unknown (Iran-backed militia suspected)</v>
      </c>
      <c r="I36" s="6" t="str">
        <f aca="false">INDEX('Event Log'!$F$2:$F$271,MATCH(F36,'Event Log'!$A$2:$A$271,0))</f>
        <v>Rockets fired at US forces in eastern Syria the day after the US strikes</v>
      </c>
      <c r="J36" s="6" t="n">
        <f aca="false">G36-C36</f>
        <v>1</v>
      </c>
      <c r="K36" s="6" t="s">
        <v>1193</v>
      </c>
      <c r="L36" s="6" t="s">
        <v>1194</v>
      </c>
      <c r="M36" s="6" t="s">
        <v>1230</v>
      </c>
    </row>
    <row r="37" customFormat="false" ht="35.05" hidden="false" customHeight="false" outlineLevel="0" collapsed="false">
      <c r="A37" s="6" t="n">
        <v>32</v>
      </c>
      <c r="B37" s="6" t="n">
        <v>225</v>
      </c>
      <c r="C37" s="7" t="n">
        <f aca="false">INDEX('Event Log'!$B$2:$B$271,MATCH(B37,'Event Log'!$A$2:$A$271,0))</f>
        <v>44797</v>
      </c>
      <c r="D37" s="6" t="str">
        <f aca="false">INDEX('Event Log'!$C$2:$C$271,MATCH(B37,'Event Log'!$A$2:$A$271,0))</f>
        <v>US</v>
      </c>
      <c r="E37" s="6" t="str">
        <f aca="false">INDEX('Event Log'!$F$2:$F$271,MATCH(B37,'Event Log'!$A$2:$A$271,0))</f>
        <v>US strikes bunkers in Deir ez-Zor used by militias backed by the IRGC; the US later says 4 militia members were killed</v>
      </c>
      <c r="F37" s="6" t="n">
        <v>226</v>
      </c>
      <c r="G37" s="7" t="n">
        <f aca="false">INDEX('Event Log'!$B$2:$B$271,MATCH(F37,'Event Log'!$A$2:$A$271,0))</f>
        <v>44797</v>
      </c>
      <c r="H37" s="6" t="str">
        <f aca="false">INDEX('Event Log'!$C$2:$C$271,MATCH(F37,'Event Log'!$A$2:$A$271,0))</f>
        <v>Militias (Iran-backed, per US)</v>
      </c>
      <c r="I37" s="6" t="str">
        <f aca="false">INDEX('Event Log'!$F$2:$F$271,MATCH(F37,'Event Log'!$A$2:$A$271,0))</f>
        <v>Militia rockets hit Green Village and the Conoco gas field within hours of the US strikes</v>
      </c>
      <c r="J37" s="6" t="n">
        <f aca="false">G37-C37</f>
        <v>0</v>
      </c>
      <c r="K37" s="6" t="s">
        <v>1193</v>
      </c>
      <c r="L37" s="6" t="s">
        <v>1191</v>
      </c>
      <c r="M37" s="6" t="s">
        <v>1231</v>
      </c>
    </row>
    <row r="38" customFormat="false" ht="35.05" hidden="false" customHeight="false" outlineLevel="0" collapsed="false">
      <c r="A38" s="6" t="n">
        <v>33</v>
      </c>
      <c r="B38" s="6" t="n">
        <v>227</v>
      </c>
      <c r="C38" s="7" t="n">
        <f aca="false">INDEX('Event Log'!$B$2:$B$271,MATCH(B38,'Event Log'!$A$2:$A$271,0))</f>
        <v>45008</v>
      </c>
      <c r="D38" s="6" t="str">
        <f aca="false">INDEX('Event Log'!$C$2:$C$271,MATCH(B38,'Event Log'!$A$2:$A$271,0))</f>
        <v>Militia (Iranian-made drone, per US)</v>
      </c>
      <c r="E38" s="6" t="str">
        <f aca="false">INDEX('Event Log'!$F$2:$F$271,MATCH(B38,'Event Log'!$A$2:$A$271,0))</f>
        <v>A drone of Iranian origin hits a US maintenance facility near Hasakah, killing a US contractor</v>
      </c>
      <c r="F38" s="6" t="n">
        <v>228</v>
      </c>
      <c r="G38" s="7" t="n">
        <f aca="false">INDEX('Event Log'!$B$2:$B$271,MATCH(F38,'Event Log'!$A$2:$A$271,0))</f>
        <v>45008</v>
      </c>
      <c r="H38" s="6" t="str">
        <f aca="false">INDEX('Event Log'!$C$2:$C$271,MATCH(F38,'Event Log'!$A$2:$A$271,0))</f>
        <v>US</v>
      </c>
      <c r="I38" s="6" t="str">
        <f aca="false">INDEX('Event Log'!$F$2:$F$271,MATCH(F38,'Event Log'!$A$2:$A$271,0))</f>
        <v>US F-15s strike facilities in eastern Syria used by groups affiliated with the IRGC</v>
      </c>
      <c r="J38" s="6" t="n">
        <f aca="false">G38-C38</f>
        <v>0</v>
      </c>
      <c r="K38" s="6" t="s">
        <v>1190</v>
      </c>
      <c r="L38" s="6" t="s">
        <v>1194</v>
      </c>
      <c r="M38" s="6" t="s">
        <v>1232</v>
      </c>
    </row>
    <row r="39" customFormat="false" ht="35.05" hidden="false" customHeight="false" outlineLevel="0" collapsed="false">
      <c r="A39" s="6" t="n">
        <v>34</v>
      </c>
      <c r="B39" s="6" t="n">
        <v>228</v>
      </c>
      <c r="C39" s="7" t="n">
        <f aca="false">INDEX('Event Log'!$B$2:$B$271,MATCH(B39,'Event Log'!$A$2:$A$271,0))</f>
        <v>45008</v>
      </c>
      <c r="D39" s="6" t="str">
        <f aca="false">INDEX('Event Log'!$C$2:$C$271,MATCH(B39,'Event Log'!$A$2:$A$271,0))</f>
        <v>US</v>
      </c>
      <c r="E39" s="6" t="str">
        <f aca="false">INDEX('Event Log'!$F$2:$F$271,MATCH(B39,'Event Log'!$A$2:$A$271,0))</f>
        <v>US F-15s strike facilities in eastern Syria used by groups affiliated with the IRGC</v>
      </c>
      <c r="F39" s="6" t="n">
        <v>229</v>
      </c>
      <c r="G39" s="7" t="n">
        <f aca="false">INDEX('Event Log'!$B$2:$B$271,MATCH(F39,'Event Log'!$A$2:$A$271,0))</f>
        <v>45009</v>
      </c>
      <c r="H39" s="6" t="str">
        <f aca="false">INDEX('Event Log'!$C$2:$C$271,MATCH(F39,'Event Log'!$A$2:$A$271,0))</f>
        <v>Militias (Iran-backed, suspected)</v>
      </c>
      <c r="I39" s="6" t="str">
        <f aca="false">INDEX('Event Log'!$F$2:$F$271,MATCH(F39,'Event Log'!$A$2:$A$271,0))</f>
        <v>Rockets and drones target US bases in northeast Syria the day after the US strikes</v>
      </c>
      <c r="J39" s="6" t="n">
        <f aca="false">G39-C39</f>
        <v>1</v>
      </c>
      <c r="K39" s="6" t="s">
        <v>1193</v>
      </c>
      <c r="L39" s="6" t="s">
        <v>1191</v>
      </c>
      <c r="M39" s="6" t="s">
        <v>1233</v>
      </c>
    </row>
    <row r="40" customFormat="false" ht="46.25" hidden="false" customHeight="false" outlineLevel="0" collapsed="false">
      <c r="A40" s="6" t="n">
        <v>35</v>
      </c>
      <c r="B40" s="6" t="n">
        <v>238</v>
      </c>
      <c r="C40" s="7" t="n">
        <f aca="false">INDEX('Event Log'!$B$2:$B$271,MATCH(B40,'Event Log'!$A$2:$A$271,0))</f>
        <v>45319</v>
      </c>
      <c r="D40" s="6" t="str">
        <f aca="false">INDEX('Event Log'!$C$2:$C$271,MATCH(B40,'Event Log'!$A$2:$A$271,0))</f>
        <v>Islamic Resistance in Iraq (Iran-backed)</v>
      </c>
      <c r="E40" s="6" t="str">
        <f aca="false">INDEX('Event Log'!$F$2:$F$271,MATCH(B40,'Event Log'!$A$2:$A$271,0))</f>
        <v>Drone attack on Tower 22 in Jordan kills three US soldiers and wounds dozens</v>
      </c>
      <c r="F40" s="6" t="n">
        <v>240</v>
      </c>
      <c r="G40" s="7" t="n">
        <f aca="false">INDEX('Event Log'!$B$2:$B$271,MATCH(F40,'Event Log'!$A$2:$A$271,0))</f>
        <v>45324</v>
      </c>
      <c r="H40" s="6" t="str">
        <f aca="false">INDEX('Event Log'!$C$2:$C$271,MATCH(F40,'Event Log'!$A$2:$A$271,0))</f>
        <v>US</v>
      </c>
      <c r="I40" s="6" t="str">
        <f aca="false">INDEX('Event Log'!$F$2:$F$271,MATCH(F40,'Event Log'!$A$2:$A$271,0))</f>
        <v>US strikes more than 85 targets in Iraq and Syria linked to the IRGC Quds Force and affiliated militias, in retaliation for Tower 22</v>
      </c>
      <c r="J40" s="6" t="n">
        <f aca="false">G40-C40</f>
        <v>5</v>
      </c>
      <c r="K40" s="6" t="s">
        <v>1190</v>
      </c>
      <c r="L40" s="6" t="s">
        <v>1194</v>
      </c>
      <c r="M40" s="6" t="s">
        <v>1234</v>
      </c>
    </row>
    <row r="41" customFormat="false" ht="46.25" hidden="false" customHeight="false" outlineLevel="0" collapsed="false">
      <c r="A41" s="6" t="n">
        <v>36</v>
      </c>
      <c r="B41" s="6" t="n">
        <v>240</v>
      </c>
      <c r="C41" s="7" t="n">
        <f aca="false">INDEX('Event Log'!$B$2:$B$271,MATCH(B41,'Event Log'!$A$2:$A$271,0))</f>
        <v>45324</v>
      </c>
      <c r="D41" s="6" t="str">
        <f aca="false">INDEX('Event Log'!$C$2:$C$271,MATCH(B41,'Event Log'!$A$2:$A$271,0))</f>
        <v>US</v>
      </c>
      <c r="E41" s="6" t="str">
        <f aca="false">INDEX('Event Log'!$F$2:$F$271,MATCH(B41,'Event Log'!$A$2:$A$271,0))</f>
        <v>US strikes more than 85 targets in Iraq and Syria linked to the IRGC Quds Force and affiliated militias, in retaliation for Tower 22</v>
      </c>
      <c r="F41" s="6" t="n">
        <v>241</v>
      </c>
      <c r="G41" s="7" t="n">
        <f aca="false">INDEX('Event Log'!$B$2:$B$271,MATCH(F41,'Event Log'!$A$2:$A$271,0))</f>
        <v>45326</v>
      </c>
      <c r="H41" s="6" t="str">
        <f aca="false">INDEX('Event Log'!$C$2:$C$271,MATCH(F41,'Event Log'!$A$2:$A$271,0))</f>
        <v>Islamic Resistance in Iraq (Iran-backed)</v>
      </c>
      <c r="I41" s="6" t="str">
        <f aca="false">INDEX('Event Log'!$F$2:$F$271,MATCH(F41,'Event Log'!$A$2:$A$271,0))</f>
        <v>Drone attack on al-Omar base, which houses US troops, kills six US-allied Kurdish fighters</v>
      </c>
      <c r="J41" s="6" t="n">
        <f aca="false">G41-C41</f>
        <v>2</v>
      </c>
      <c r="K41" s="6" t="s">
        <v>1193</v>
      </c>
      <c r="L41" s="6" t="s">
        <v>1191</v>
      </c>
      <c r="M41" s="6" t="s">
        <v>1235</v>
      </c>
    </row>
    <row r="42" customFormat="false" ht="35.05" hidden="false" customHeight="false" outlineLevel="0" collapsed="false">
      <c r="A42" s="6" t="n">
        <v>37</v>
      </c>
      <c r="B42" s="6" t="n">
        <v>255</v>
      </c>
      <c r="C42" s="7" t="n">
        <f aca="false">INDEX('Event Log'!$B$2:$B$271,MATCH(B42,'Event Log'!$A$2:$A$271,0))</f>
        <v>45830</v>
      </c>
      <c r="D42" s="6" t="str">
        <f aca="false">INDEX('Event Log'!$C$2:$C$271,MATCH(B42,'Event Log'!$A$2:$A$271,0))</f>
        <v>US</v>
      </c>
      <c r="E42" s="6" t="str">
        <f aca="false">INDEX('Event Log'!$F$2:$F$271,MATCH(B42,'Event Log'!$A$2:$A$271,0))</f>
        <v>Operation Midnight Hammer: US bombers and missiles strike Iran's Fordow, Natanz and Isfahan nuclear sites</v>
      </c>
      <c r="F42" s="6" t="n">
        <v>256</v>
      </c>
      <c r="G42" s="7" t="n">
        <f aca="false">INDEX('Event Log'!$B$2:$B$271,MATCH(F42,'Event Log'!$A$2:$A$271,0))</f>
        <v>45831</v>
      </c>
      <c r="H42" s="6" t="str">
        <f aca="false">INDEX('Event Log'!$C$2:$C$271,MATCH(F42,'Event Log'!$A$2:$A$271,0))</f>
        <v>Iran</v>
      </c>
      <c r="I42" s="6" t="str">
        <f aca="false">INDEX('Event Log'!$F$2:$F$271,MATCH(F42,'Event Log'!$A$2:$A$271,0))</f>
        <v>Iran fires 19 missiles at Al Udeid air base; one hits; Trump thanks Iran for 'early notice'</v>
      </c>
      <c r="J42" s="6" t="n">
        <f aca="false">G42-C42</f>
        <v>1</v>
      </c>
      <c r="K42" s="6" t="s">
        <v>1193</v>
      </c>
      <c r="L42" s="6" t="s">
        <v>1194</v>
      </c>
      <c r="M42" s="6" t="s">
        <v>1236</v>
      </c>
    </row>
    <row r="44" customFormat="false" ht="15" hidden="false" customHeight="false" outlineLevel="0" collapsed="false">
      <c r="A44" s="14" t="s">
        <v>1237</v>
      </c>
      <c r="B44" s="14" t="n">
        <f aca="false">AVERAGE(J2:J42)</f>
        <v>5.60975609756098</v>
      </c>
    </row>
    <row r="45" customFormat="false" ht="15" hidden="false" customHeight="false" outlineLevel="0" collapsed="false">
      <c r="A45" s="14" t="s">
        <v>1238</v>
      </c>
      <c r="B45" s="14" t="n">
        <f aca="false">MEDIAN(J2:J42)</f>
        <v>1</v>
      </c>
    </row>
    <row r="46" customFormat="false" ht="15" hidden="false" customHeight="false" outlineLevel="0" collapsed="false">
      <c r="A46" s="14" t="s">
        <v>1239</v>
      </c>
      <c r="B46" s="14" t="n">
        <f aca="false">COUNT(J2:J42)</f>
        <v>41</v>
      </c>
    </row>
    <row r="47" customFormat="false" ht="15" hidden="false" customHeight="false" outlineLevel="0" collapsed="false">
      <c r="A47" s="14" t="s">
        <v>1240</v>
      </c>
      <c r="B47" s="15" t="n">
        <f aca="false">COUNTIF(J2:J42,"&lt;=1")/COUNT(J2:J42)</f>
        <v>0.634146341463415</v>
      </c>
    </row>
    <row r="49" customFormat="false" ht="15" hidden="false" customHeight="false" outlineLevel="0" collapsed="false">
      <c r="A49" s="14" t="s">
        <v>1241</v>
      </c>
    </row>
    <row r="50" customFormat="false" ht="15" hidden="false" customHeight="false" outlineLevel="0" collapsed="false">
      <c r="A50" s="16" t="s">
        <v>1242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1243</v>
      </c>
      <c r="B1" s="17"/>
      <c r="C1" s="17"/>
      <c r="D1" s="17"/>
      <c r="E1" s="17"/>
      <c r="F1" s="17"/>
      <c r="G1" s="17"/>
      <c r="H1" s="17"/>
    </row>
    <row r="2" customFormat="false" ht="23.85" hidden="false" customHeight="true" outlineLevel="0" collapsed="false">
      <c r="A2" s="18" t="s">
        <v>1244</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1187</v>
      </c>
      <c r="B5" s="20" t="s">
        <v>1245</v>
      </c>
      <c r="C5" s="20" t="s">
        <v>1246</v>
      </c>
      <c r="D5" s="20" t="s">
        <v>1247</v>
      </c>
      <c r="E5" s="20" t="s">
        <v>1248</v>
      </c>
      <c r="F5" s="20" t="s">
        <v>1249</v>
      </c>
      <c r="G5" s="20" t="s">
        <v>1250</v>
      </c>
      <c r="H5" s="20" t="s">
        <v>1251</v>
      </c>
    </row>
    <row r="6" customFormat="false" ht="15" hidden="false" customHeight="false" outlineLevel="0" collapsed="false">
      <c r="A6" s="21" t="s">
        <v>1190</v>
      </c>
      <c r="B6" s="21" t="n">
        <f aca="false">COUNTIF('Action-Reaction Pairs'!$K$2:$K$42,A6)</f>
        <v>12</v>
      </c>
      <c r="C6" s="22" t="n">
        <f aca="false">AVERAGEIF('Action-Reaction Pairs'!$K$2:$K$42,A6,'Action-Reaction Pairs'!$J$2:$J$42)</f>
        <v>15.75</v>
      </c>
      <c r="D6" s="23" t="n">
        <f aca="false">SUMPRODUCT(('Action-Reaction Pairs'!$K$2:$K$42=A6)*('Action-Reaction Pairs'!$J$2:$J$42&lt;=1))/COUNTIF('Action-Reaction Pairs'!$K$2:$K$42,A6)</f>
        <v>0.583333333333333</v>
      </c>
      <c r="E6" s="23" t="n">
        <f aca="false">MAX(0,((D6+(1.96^2)/(2*B6)))/(1+(1.96^2)/B6)-(1.96*SQRT((D6*(1-D6)/B6)+((1.96^2)/(4*B6^2))))/(1+(1.96^2)/B6))</f>
        <v>0.319507335655373</v>
      </c>
      <c r="F6" s="23" t="n">
        <f aca="false">MIN(1,((D6+(1.96^2)/(2*B6)))/(1+(1.96^2)/B6)+(1.96*SQRT((D6*(1-D6)/B6)+((1.96^2)/(4*B6^2))))/(1+(1.96^2)/B6))</f>
        <v>0.806742538094754</v>
      </c>
      <c r="G6" s="23" t="n">
        <f aca="false">SUMPRODUCT(('Action-Reaction Pairs'!$K$2:$K$42=A6)*('Action-Reaction Pairs'!$J$2:$J$42&lt;=2))/COUNTIF('Action-Reaction Pairs'!$K$2:$K$42,A6)</f>
        <v>0.75</v>
      </c>
      <c r="H6" s="23" t="n">
        <f aca="false">COUNTIFS('Action-Reaction Pairs'!$K$2:$K$42,A6,'Action-Reaction Pairs'!$L$2:$L$42,"Y")/COUNTIF('Action-Reaction Pairs'!$K$2:$K$42,A6)</f>
        <v>0.416666666666667</v>
      </c>
    </row>
    <row r="7" customFormat="false" ht="15" hidden="false" customHeight="false" outlineLevel="0" collapsed="false">
      <c r="A7" s="21" t="s">
        <v>1193</v>
      </c>
      <c r="B7" s="21" t="n">
        <f aca="false">COUNTIF('Action-Reaction Pairs'!$K$2:$K$42,A7)</f>
        <v>20</v>
      </c>
      <c r="C7" s="22" t="n">
        <f aca="false">AVERAGEIF('Action-Reaction Pairs'!$K$2:$K$42,A7,'Action-Reaction Pairs'!$J$2:$J$42)</f>
        <v>1.25</v>
      </c>
      <c r="D7" s="23" t="n">
        <f aca="false">SUMPRODUCT(('Action-Reaction Pairs'!$K$2:$K$42=A7)*('Action-Reaction Pairs'!$J$2:$J$42&lt;=1))/COUNTIF('Action-Reaction Pairs'!$K$2:$K$42,A7)</f>
        <v>0.7</v>
      </c>
      <c r="E7" s="23" t="n">
        <f aca="false">MAX(0,((D7+(1.96^2)/(2*B7)))/(1+(1.96^2)/B7)-(1.96*SQRT((D7*(1-D7)/B7)+((1.96^2)/(4*B7^2))))/(1+(1.96^2)/B7))</f>
        <v>0.481023223771021</v>
      </c>
      <c r="F7" s="23" t="n">
        <f aca="false">MIN(1,((D7+(1.96^2)/(2*B7)))/(1+(1.96^2)/B7)+(1.96*SQRT((D7*(1-D7)/B7)+((1.96^2)/(4*B7^2))))/(1+(1.96^2)/B7))</f>
        <v>0.854524726031006</v>
      </c>
      <c r="G7" s="23" t="n">
        <f aca="false">SUMPRODUCT(('Action-Reaction Pairs'!$K$2:$K$42=A7)*('Action-Reaction Pairs'!$J$2:$J$42&lt;=2))/COUNTIF('Action-Reaction Pairs'!$K$2:$K$42,A7)</f>
        <v>0.8</v>
      </c>
      <c r="H7" s="23" t="n">
        <f aca="false">COUNTIFS('Action-Reaction Pairs'!$K$2:$K$42,A7,'Action-Reaction Pairs'!$L$2:$L$42,"Y")/COUNTIF('Action-Reaction Pairs'!$K$2:$K$42,A7)</f>
        <v>0.4</v>
      </c>
    </row>
    <row r="8" customFormat="false" ht="15" hidden="false" customHeight="false" outlineLevel="0" collapsed="false">
      <c r="A8" s="21" t="s">
        <v>1201</v>
      </c>
      <c r="B8" s="21" t="n">
        <f aca="false">COUNTIF('Action-Reaction Pairs'!$K$2:$K$42,A8)</f>
        <v>5</v>
      </c>
      <c r="C8" s="22" t="n">
        <f aca="false">AVERAGEIF('Action-Reaction Pairs'!$K$2:$K$42,A8,'Action-Reaction Pairs'!$J$2:$J$42)</f>
        <v>2</v>
      </c>
      <c r="D8" s="23" t="n">
        <f aca="false">SUMPRODUCT(('Action-Reaction Pairs'!$K$2:$K$42=A8)*('Action-Reaction Pairs'!$J$2:$J$42&lt;=1))/COUNTIF('Action-Reaction Pairs'!$K$2:$K$42,A8)</f>
        <v>0.6</v>
      </c>
      <c r="E8" s="23" t="n">
        <f aca="false">MAX(0,((D8+(1.96^2)/(2*B8)))/(1+(1.96^2)/B8)-(1.96*SQRT((D8*(1-D8)/B8)+((1.96^2)/(4*B8^2))))/(1+(1.96^2)/B8))</f>
        <v>0.230719932208837</v>
      </c>
      <c r="F8" s="23" t="n">
        <f aca="false">MIN(1,((D8+(1.96^2)/(2*B8)))/(1+(1.96^2)/B8)+(1.96*SQRT((D8*(1-D8)/B8)+((1.96^2)/(4*B8^2))))/(1+(1.96^2)/B8))</f>
        <v>0.882381768840747</v>
      </c>
      <c r="G8" s="23" t="n">
        <f aca="false">SUMPRODUCT(('Action-Reaction Pairs'!$K$2:$K$42=A8)*('Action-Reaction Pairs'!$J$2:$J$42&lt;=2))/COUNTIF('Action-Reaction Pairs'!$K$2:$K$42,A8)</f>
        <v>0.6</v>
      </c>
      <c r="H8" s="23" t="n">
        <f aca="false">COUNTIFS('Action-Reaction Pairs'!$K$2:$K$42,A8,'Action-Reaction Pairs'!$L$2:$L$42,"Y")/COUNTIF('Action-Reaction Pairs'!$K$2:$K$42,A8)</f>
        <v>0</v>
      </c>
    </row>
    <row r="9" customFormat="false" ht="15" hidden="false" customHeight="false" outlineLevel="0" collapsed="false">
      <c r="A9" s="21" t="s">
        <v>1198</v>
      </c>
      <c r="B9" s="21" t="n">
        <f aca="false">COUNTIF('Action-Reaction Pairs'!$K$2:$K$42,A9)</f>
        <v>4</v>
      </c>
      <c r="C9" s="22" t="n">
        <f aca="false">AVERAGEIF('Action-Reaction Pairs'!$K$2:$K$42,A9,'Action-Reaction Pairs'!$J$2:$J$42)</f>
        <v>1.5</v>
      </c>
      <c r="D9" s="23" t="n">
        <f aca="false">SUMPRODUCT(('Action-Reaction Pairs'!$K$2:$K$42=A9)*('Action-Reaction Pairs'!$J$2:$J$42&lt;=1))/COUNTIF('Action-Reaction Pairs'!$K$2:$K$42,A9)</f>
        <v>0.5</v>
      </c>
      <c r="E9" s="23" t="n">
        <f aca="false">MAX(0,((D9+(1.96^2)/(2*B9)))/(1+(1.96^2)/B9)-(1.96*SQRT((D9*(1-D9)/B9)+((1.96^2)/(4*B9^2))))/(1+(1.96^2)/B9))</f>
        <v>0.150035708820171</v>
      </c>
      <c r="F9" s="23" t="n">
        <f aca="false">MIN(1,((D9+(1.96^2)/(2*B9)))/(1+(1.96^2)/B9)+(1.96*SQRT((D9*(1-D9)/B9)+((1.96^2)/(4*B9^2))))/(1+(1.96^2)/B9))</f>
        <v>0.849964291179829</v>
      </c>
      <c r="G9" s="23" t="n">
        <f aca="false">SUMPRODUCT(('Action-Reaction Pairs'!$K$2:$K$42=A9)*('Action-Reaction Pairs'!$J$2:$J$42&lt;=2))/COUNTIF('Action-Reaction Pairs'!$K$2:$K$42,A9)</f>
        <v>0.75</v>
      </c>
      <c r="H9" s="23" t="n">
        <f aca="false">COUNTIFS('Action-Reaction Pairs'!$K$2:$K$42,A9,'Action-Reaction Pairs'!$L$2:$L$42,"Y")/COUNTIF('Action-Reaction Pairs'!$K$2:$K$42,A9)</f>
        <v>0</v>
      </c>
    </row>
    <row r="11" customFormat="false" ht="23.85" hidden="false" customHeight="true" outlineLevel="0" collapsed="false">
      <c r="A11" s="18" t="s">
        <v>1252</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1253</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1254</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1255</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1256</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1257</v>
      </c>
      <c r="B1" s="17"/>
      <c r="C1" s="17"/>
      <c r="D1" s="17"/>
      <c r="E1" s="17"/>
      <c r="F1" s="17"/>
      <c r="G1" s="17"/>
      <c r="H1" s="17"/>
      <c r="I1" s="17"/>
      <c r="J1" s="17"/>
      <c r="K1" s="17"/>
    </row>
    <row r="2" customFormat="false" ht="15" hidden="false" customHeight="true" outlineLevel="0" collapsed="false">
      <c r="A2" s="18" t="s">
        <v>1258</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1187</v>
      </c>
      <c r="B5" s="20" t="s">
        <v>1259</v>
      </c>
      <c r="C5" s="20" t="s">
        <v>1260</v>
      </c>
      <c r="D5" s="20" t="s">
        <v>1261</v>
      </c>
      <c r="E5" s="20" t="s">
        <v>1262</v>
      </c>
      <c r="F5" s="20" t="s">
        <v>1263</v>
      </c>
      <c r="G5" s="20" t="s">
        <v>1264</v>
      </c>
      <c r="H5" s="20" t="s">
        <v>1265</v>
      </c>
      <c r="I5" s="20" t="s">
        <v>1266</v>
      </c>
      <c r="J5" s="20" t="s">
        <v>1267</v>
      </c>
      <c r="K5" s="20" t="s">
        <v>1268</v>
      </c>
    </row>
    <row r="6" customFormat="false" ht="15" hidden="false" customHeight="false" outlineLevel="0" collapsed="false">
      <c r="A6" s="21" t="s">
        <v>1190</v>
      </c>
      <c r="B6" s="21" t="n">
        <f aca="false">C6+D6</f>
        <v>7</v>
      </c>
      <c r="C6" s="21" t="n">
        <f aca="false">COUNTIFS($F$24:$F$97,A6,$G$24:$G$97,"R-strong")+COUNTIFS($F$24:$F$97,A6,$G$24:$G$97,"R-weak")+COUNTIFS($F$24:$F$97,A6,$G$24:$G$97,"R-proxy")</f>
        <v>6</v>
      </c>
      <c r="D6" s="21" t="n">
        <f aca="false">COUNTIFS($F$24:$F$97,A6,$G$24:$G$97,"N")</f>
        <v>1</v>
      </c>
      <c r="E6" s="21" t="n">
        <f aca="false">COUNTIFS($F$24:$F$97,A6,$G$24:$G$97,"Unclear")</f>
        <v>0</v>
      </c>
      <c r="F6" s="21" t="n">
        <f aca="false">COUNTIFS($F$24:$F$97,A6,$G$24:$G$97,"Unverified")</f>
        <v>0</v>
      </c>
      <c r="G6" s="23" t="n">
        <f aca="false">COUNTIFS($F$24:$F$97,A6,$G$24:$G$97,"R-strong")/(B6+E6)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1193</v>
      </c>
      <c r="B7" s="21" t="n">
        <f aca="false">C7+D7</f>
        <v>19</v>
      </c>
      <c r="C7" s="21" t="n">
        <f aca="false">COUNTIFS($F$24:$F$97,A7,$G$24:$G$97,"R-strong")+COUNTIFS($F$24:$F$97,A7,$G$24:$G$97,"R-weak")+COUNTIFS($F$24:$F$97,A7,$G$24:$G$97,"R-proxy")</f>
        <v>17</v>
      </c>
      <c r="D7" s="21" t="n">
        <f aca="false">COUNTIFS($F$24:$F$97,A7,$G$24:$G$97,"N")</f>
        <v>2</v>
      </c>
      <c r="E7" s="21" t="n">
        <f aca="false">COUNTIFS($F$24:$F$97,A7,$G$24:$G$97,"Unclear")</f>
        <v>2</v>
      </c>
      <c r="F7" s="21" t="n">
        <f aca="false">COUNTIFS($F$24:$F$97,A7,$G$24:$G$97,"Unverified")</f>
        <v>1</v>
      </c>
      <c r="G7" s="23" t="n">
        <f aca="false">COUNTIFS($F$24:$F$97,A7,$G$24:$G$97,"R-strong")/(B7+E7)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1201</v>
      </c>
      <c r="B8" s="21" t="n">
        <f aca="false">C8+D8</f>
        <v>38</v>
      </c>
      <c r="C8" s="21" t="n">
        <f aca="false">COUNTIFS($F$24:$F$97,A8,$G$24:$G$97,"R-strong")+COUNTIFS($F$24:$F$97,A8,$G$24:$G$97,"R-weak")+COUNTIFS($F$24:$F$97,A8,$G$24:$G$97,"R-proxy")</f>
        <v>8</v>
      </c>
      <c r="D8" s="21" t="n">
        <f aca="false">COUNTIFS($F$24:$F$97,A8,$G$24:$G$97,"N")</f>
        <v>30</v>
      </c>
      <c r="E8" s="21" t="n">
        <f aca="false">COUNTIFS($F$24:$F$97,A8,$G$24:$G$97,"Unclear")</f>
        <v>5</v>
      </c>
      <c r="F8" s="21" t="n">
        <f aca="false">COUNTIFS($F$24:$F$97,A8,$G$24:$G$97,"Unverified")</f>
        <v>2</v>
      </c>
      <c r="G8" s="23" t="n">
        <f aca="false">COUNTIFS($F$24:$F$97,A8,$G$24:$G$97,"R-strong")/(B8+E8)</f>
        <v>0.116279069767442</v>
      </c>
      <c r="H8" s="23" t="n">
        <f aca="false">C8/B8</f>
        <v>0.210526315789474</v>
      </c>
      <c r="I8" s="23" t="n">
        <f aca="false">(C8+E8)/(B8+E8)</f>
        <v>0.302325581395349</v>
      </c>
      <c r="J8" s="23" t="n">
        <f aca="false">MAX(0,((H8+(1.96^2)/(2*B8)))/(1+(1.96^2)/B8)-(1.96*SQRT((H8*(1-H8)/B8)+((1.96^2)/(4*B8^2))))/(1+(1.96^2)/B8))</f>
        <v>0.110746603520959</v>
      </c>
      <c r="K8" s="23" t="n">
        <f aca="false">MIN(1,((H8+(1.96^2)/(2*B8)))/(1+(1.96^2)/B8)+(1.96*SQRT((H8*(1-H8)/B8)+((1.96^2)/(4*B8^2))))/(1+(1.96^2)/B8))</f>
        <v>0.363460883764422</v>
      </c>
    </row>
    <row r="10" customFormat="false" ht="23.85" hidden="false" customHeight="true" outlineLevel="0" collapsed="false">
      <c r="A10" s="18" t="s">
        <v>1269</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1270</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1271</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1272</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1273</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1274</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1275</v>
      </c>
      <c r="F23" s="13" t="s">
        <v>1187</v>
      </c>
      <c r="G23" s="13" t="s">
        <v>1276</v>
      </c>
      <c r="H23" s="13" t="s">
        <v>1277</v>
      </c>
      <c r="I23" s="13" t="s">
        <v>1278</v>
      </c>
    </row>
    <row r="24" customFormat="false" ht="35.05" hidden="false" customHeight="false" outlineLevel="0" collapsed="false">
      <c r="A24" s="6" t="n">
        <v>2</v>
      </c>
      <c r="B24" s="7" t="n">
        <f aca="false">INDEX('Event Log'!$B$2:$B$271,MATCH(A24,'Event Log'!$A$2:$A$271,0))</f>
        <v>46081</v>
      </c>
      <c r="C24" s="6" t="str">
        <f aca="false">INDEX('Event Log'!$C$2:$C$271,MATCH(A24,'Event Log'!$A$2:$A$271,0))</f>
        <v>US/Israel</v>
      </c>
      <c r="D24" s="6" t="str">
        <f aca="false">INDEX('Event Log'!$D$2:$D$271,MATCH(A24,'Event Log'!$A$2:$A$271,0))</f>
        <v>Strike (war start)</v>
      </c>
      <c r="E24" s="6" t="str">
        <f aca="false">INDEX('Event Log'!$F$2:$F$271,MATCH(A24,'Event Log'!$A$2:$A$271,0))</f>
        <v>Operation Epic Fury opens: Pentagon says 1,000+ targets hit in the first 24 hours; Khamenei and ~40 senior officials killed; a strike near Minab hits a girls' school</v>
      </c>
      <c r="F24" s="6" t="s">
        <v>1190</v>
      </c>
      <c r="G24" s="8" t="s">
        <v>1279</v>
      </c>
      <c r="H24" s="6" t="s">
        <v>1280</v>
      </c>
      <c r="I24" s="6" t="s">
        <v>1281</v>
      </c>
    </row>
    <row r="25" customFormat="false" ht="35.05" hidden="false" customHeight="false" outlineLevel="0" collapsed="false">
      <c r="A25" s="6" t="n">
        <v>31</v>
      </c>
      <c r="B25" s="7" t="n">
        <f aca="false">INDEX('Event Log'!$B$2:$B$271,MATCH(A25,'Event Log'!$A$2:$A$271,0))</f>
        <v>46120</v>
      </c>
      <c r="C25" s="6" t="str">
        <f aca="false">INDEX('Event Log'!$C$2:$C$271,MATCH(A25,'Event Log'!$A$2:$A$271,0))</f>
        <v>Iran</v>
      </c>
      <c r="D25" s="6" t="str">
        <f aca="false">INDEX('Event Log'!$D$2:$D$271,MATCH(A25,'Event Log'!$A$2:$A$271,0))</f>
        <v>Blockade re-escalation</v>
      </c>
      <c r="E25" s="6" t="str">
        <f aca="false">INDEX('Event Log'!$F$2:$F$271,MATCH(A25,'Event Log'!$A$2:$A$271,0))</f>
        <v>Iran restricts/resumes blockade, citing the Lebanon strikes as a ceasefire violation</v>
      </c>
      <c r="F25" s="6" t="s">
        <v>1201</v>
      </c>
      <c r="G25" s="10" t="s">
        <v>1282</v>
      </c>
      <c r="H25" s="6" t="s">
        <v>1283</v>
      </c>
      <c r="I25" s="6" t="s">
        <v>1284</v>
      </c>
    </row>
    <row r="26" customFormat="false" ht="35.05" hidden="false" customHeight="false" outlineLevel="0" collapsed="false">
      <c r="A26" s="6" t="n">
        <v>33</v>
      </c>
      <c r="B26" s="7" t="n">
        <f aca="false">INDEX('Event Log'!$B$2:$B$271,MATCH(A26,'Event Log'!$A$2:$A$271,0))</f>
        <v>46123</v>
      </c>
      <c r="C26" s="6" t="str">
        <f aca="false">INDEX('Event Log'!$C$2:$C$271,MATCH(A26,'Event Log'!$A$2:$A$271,0))</f>
        <v>US</v>
      </c>
      <c r="D26" s="6" t="str">
        <f aca="false">INDEX('Event Log'!$D$2:$D$271,MATCH(A26,'Event Log'!$A$2:$A$271,0))</f>
        <v>Blockade-adjacent action</v>
      </c>
      <c r="E26" s="6" t="str">
        <f aca="false">INDEX('Event Log'!$F$2:$F$271,MATCH(A26,'Event Log'!$A$2:$A$271,0))</f>
        <v>US Navy destroyers transit the Strait for the first time since the war began (mine-clearance framing)</v>
      </c>
      <c r="F26" s="6" t="s">
        <v>1201</v>
      </c>
      <c r="G26" s="11" t="s">
        <v>1194</v>
      </c>
      <c r="H26" s="6" t="s">
        <v>1285</v>
      </c>
      <c r="I26" s="6" t="s">
        <v>1286</v>
      </c>
    </row>
    <row r="27" customFormat="false" ht="15" hidden="false" customHeight="false" outlineLevel="0" collapsed="false">
      <c r="A27" s="6" t="n">
        <v>35</v>
      </c>
      <c r="B27" s="7" t="n">
        <f aca="false">INDEX('Event Log'!$B$2:$B$271,MATCH(A27,'Event Log'!$A$2:$A$271,0))</f>
        <v>46125</v>
      </c>
      <c r="C27" s="6" t="str">
        <f aca="false">INDEX('Event Log'!$C$2:$C$271,MATCH(A27,'Event Log'!$A$2:$A$271,0))</f>
        <v>US</v>
      </c>
      <c r="D27" s="6" t="str">
        <f aca="false">INDEX('Event Log'!$D$2:$D$271,MATCH(A27,'Event Log'!$A$2:$A$271,0))</f>
        <v>Blockade start</v>
      </c>
      <c r="E27" s="6" t="str">
        <f aca="false">INDEX('Event Log'!$F$2:$F$271,MATCH(A27,'Event Log'!$A$2:$A$271,0))</f>
        <v>US naval blockade of Iran begins</v>
      </c>
      <c r="F27" s="6" t="s">
        <v>1201</v>
      </c>
      <c r="G27" s="8" t="s">
        <v>1279</v>
      </c>
      <c r="H27" s="6" t="s">
        <v>1287</v>
      </c>
      <c r="I27" s="6" t="s">
        <v>1288</v>
      </c>
    </row>
    <row r="28" customFormat="false" ht="35.05" hidden="false" customHeight="false" outlineLevel="0" collapsed="false">
      <c r="A28" s="6" t="n">
        <v>36</v>
      </c>
      <c r="B28" s="7" t="n">
        <f aca="false">INDEX('Event Log'!$B$2:$B$271,MATCH(A28,'Event Log'!$A$2:$A$271,0))</f>
        <v>46130</v>
      </c>
      <c r="C28" s="6" t="str">
        <f aca="false">INDEX('Event Log'!$C$2:$C$271,MATCH(A28,'Event Log'!$A$2:$A$271,0))</f>
        <v>Iran</v>
      </c>
      <c r="D28" s="6" t="str">
        <f aca="false">INDEX('Event Log'!$D$2:$D$271,MATCH(A28,'Event Log'!$A$2:$A$271,0))</f>
        <v>Blockade re-escalation</v>
      </c>
      <c r="E28" s="6" t="str">
        <f aca="false">INDEX('Event Log'!$F$2:$F$271,MATCH(A28,'Event Log'!$A$2:$A$271,0))</f>
        <v>Iran announces the Strait closed again, citing continuation of the US blockade</v>
      </c>
      <c r="F28" s="6" t="s">
        <v>1201</v>
      </c>
      <c r="G28" s="10" t="s">
        <v>1282</v>
      </c>
      <c r="H28" s="6" t="s">
        <v>1289</v>
      </c>
      <c r="I28" s="6" t="s">
        <v>1290</v>
      </c>
    </row>
    <row r="29" customFormat="false" ht="46.25" hidden="false" customHeight="false" outlineLevel="0" collapsed="false">
      <c r="A29" s="6" t="n">
        <v>37</v>
      </c>
      <c r="B29" s="7" t="n">
        <f aca="false">INDEX('Event Log'!$B$2:$B$271,MATCH(A29,'Event Log'!$A$2:$A$271,0))</f>
        <v>46131</v>
      </c>
      <c r="C29" s="6" t="str">
        <f aca="false">INDEX('Event Log'!$C$2:$C$271,MATCH(A29,'Event Log'!$A$2:$A$271,0))</f>
        <v>US</v>
      </c>
      <c r="D29" s="6" t="str">
        <f aca="false">INDEX('Event Log'!$D$2:$D$271,MATCH(A29,'Event Log'!$A$2:$A$271,0))</f>
        <v>Seizure</v>
      </c>
      <c r="E29" s="6" t="str">
        <f aca="false">INDEX('Event Log'!$F$2:$F$271,MATCH(A29,'Event Log'!$A$2:$A$271,0))</f>
        <v>US disables the Iranian container ship Touska with gunfire from USS Spruance (Apr 19, USNI); tankers Tifani and Majestic X interdicted in the Indian Ocean around Apr 22-24 (dates not confirmed by an allowed outlet)</v>
      </c>
      <c r="F29" s="6" t="s">
        <v>1201</v>
      </c>
      <c r="G29" s="8" t="s">
        <v>1279</v>
      </c>
      <c r="H29" s="6" t="s">
        <v>1291</v>
      </c>
      <c r="I29" s="6" t="s">
        <v>1292</v>
      </c>
    </row>
    <row r="30" customFormat="false" ht="23.85" hidden="false" customHeight="false" outlineLevel="0" collapsed="false">
      <c r="A30" s="6" t="n">
        <v>38</v>
      </c>
      <c r="B30" s="7" t="n">
        <f aca="false">INDEX('Event Log'!$B$2:$B$271,MATCH(A30,'Event Log'!$A$2:$A$271,0))</f>
        <v>46134</v>
      </c>
      <c r="C30" s="6" t="str">
        <f aca="false">INDEX('Event Log'!$C$2:$C$271,MATCH(A30,'Event Log'!$A$2:$A$271,0))</f>
        <v>Iran</v>
      </c>
      <c r="D30" s="6" t="str">
        <f aca="false">INDEX('Event Log'!$D$2:$D$271,MATCH(A30,'Event Log'!$A$2:$A$271,0))</f>
        <v>Seizure (retaliation)</v>
      </c>
      <c r="E30" s="6" t="str">
        <f aca="false">INDEX('Event Log'!$F$2:$F$271,MATCH(A30,'Event Log'!$A$2:$A$271,0))</f>
        <v>IRGC seizes container ships MSC Epaminondas and MSC Francesca</v>
      </c>
      <c r="F30" s="6" t="s">
        <v>1201</v>
      </c>
      <c r="G30" s="12" t="s">
        <v>1293</v>
      </c>
      <c r="H30" s="6" t="s">
        <v>1294</v>
      </c>
      <c r="I30" s="6" t="s">
        <v>1295</v>
      </c>
    </row>
    <row r="31" customFormat="false" ht="46.25" hidden="false" customHeight="false" outlineLevel="0" collapsed="false">
      <c r="A31" s="6" t="n">
        <v>40</v>
      </c>
      <c r="B31" s="7" t="n">
        <f aca="false">INDEX('Event Log'!$B$2:$B$271,MATCH(A31,'Event Log'!$A$2:$A$271,0))</f>
        <v>46146</v>
      </c>
      <c r="C31" s="6" t="str">
        <f aca="false">INDEX('Event Log'!$C$2:$C$271,MATCH(A31,'Event Log'!$A$2:$A$271,0))</f>
        <v>US</v>
      </c>
      <c r="D31" s="6" t="str">
        <f aca="false">INDEX('Event Log'!$D$2:$D$271,MATCH(A31,'Event Log'!$A$2:$A$271,0))</f>
        <v>Operation</v>
      </c>
      <c r="E31" s="6" t="str">
        <f aca="false">INDEX('Event Log'!$F$2:$F$271,MATCH(A31,'Event Log'!$A$2:$A$271,0))</f>
        <v>Operation Project Freedom: announced May 3, began May 4; Navy escort mission for stranded ships; US says six boats sunk (Trump said seven); pause announced May 5 US time (May 6 Gulf time)</v>
      </c>
      <c r="F31" s="6" t="s">
        <v>1193</v>
      </c>
      <c r="G31" s="10" t="s">
        <v>1282</v>
      </c>
      <c r="H31" s="6" t="s">
        <v>1296</v>
      </c>
      <c r="I31" s="6" t="s">
        <v>1297</v>
      </c>
    </row>
    <row r="32" customFormat="false" ht="23.85" hidden="false" customHeight="false" outlineLevel="0" collapsed="false">
      <c r="A32" s="6" t="n">
        <v>41</v>
      </c>
      <c r="B32" s="7" t="n">
        <f aca="false">INDEX('Event Log'!$B$2:$B$271,MATCH(A32,'Event Log'!$A$2:$A$271,0))</f>
        <v>46149</v>
      </c>
      <c r="C32" s="6" t="str">
        <f aca="false">INDEX('Event Log'!$C$2:$C$271,MATCH(A32,'Event Log'!$A$2:$A$271,0))</f>
        <v>Iran</v>
      </c>
      <c r="D32" s="6" t="str">
        <f aca="false">INDEX('Event Log'!$D$2:$D$271,MATCH(A32,'Event Log'!$A$2:$A$271,0))</f>
        <v>Strike</v>
      </c>
      <c r="E32" s="6" t="str">
        <f aca="false">INDEX('Event Log'!$F$2:$F$271,MATCH(A32,'Event Log'!$A$2:$A$271,0))</f>
        <v>Missiles, drones and small boats attack 3 US destroyers transiting the Strait</v>
      </c>
      <c r="F32" s="6" t="s">
        <v>1193</v>
      </c>
      <c r="G32" s="8" t="s">
        <v>1279</v>
      </c>
      <c r="H32" s="6" t="s">
        <v>1298</v>
      </c>
      <c r="I32" s="6" t="s">
        <v>1299</v>
      </c>
    </row>
    <row r="33" customFormat="false" ht="35.05" hidden="false" customHeight="false" outlineLevel="0" collapsed="false">
      <c r="A33" s="6" t="n">
        <v>42</v>
      </c>
      <c r="B33" s="7" t="n">
        <f aca="false">INDEX('Event Log'!$B$2:$B$271,MATCH(A33,'Event Log'!$A$2:$A$271,0))</f>
        <v>46149</v>
      </c>
      <c r="C33" s="6" t="str">
        <f aca="false">INDEX('Event Log'!$C$2:$C$271,MATCH(A33,'Event Log'!$A$2:$A$271,0))</f>
        <v>US</v>
      </c>
      <c r="D33" s="6" t="str">
        <f aca="false">INDEX('Event Log'!$D$2:$D$271,MATCH(A33,'Event Log'!$A$2:$A$271,0))</f>
        <v>Retaliation strike</v>
      </c>
      <c r="E33" s="6" t="str">
        <f aca="false">INDEX('Event Log'!$F$2:$F$271,MATCH(A33,'Event Log'!$A$2:$A$271,0))</f>
        <v>US strikes sites near Bandar Abbas and Qeshm Island (CENTCOM did not name the IRGC)</v>
      </c>
      <c r="F33" s="6" t="s">
        <v>1193</v>
      </c>
      <c r="G33" s="10" t="s">
        <v>1282</v>
      </c>
      <c r="H33" s="6" t="s">
        <v>1300</v>
      </c>
      <c r="I33" s="6" t="s">
        <v>1301</v>
      </c>
    </row>
    <row r="34" customFormat="false" ht="15" hidden="false" customHeight="false" outlineLevel="0" collapsed="false">
      <c r="A34" s="6" t="n">
        <v>44</v>
      </c>
      <c r="B34" s="7" t="n">
        <f aca="false">INDEX('Event Log'!$B$2:$B$271,MATCH(A34,'Event Log'!$A$2:$A$271,0))</f>
        <v>46181</v>
      </c>
      <c r="C34" s="6" t="str">
        <f aca="false">INDEX('Event Log'!$C$2:$C$271,MATCH(A34,'Event Log'!$A$2:$A$271,0))</f>
        <v>Israel</v>
      </c>
      <c r="D34" s="6" t="str">
        <f aca="false">INDEX('Event Log'!$D$2:$D$271,MATCH(A34,'Event Log'!$A$2:$A$271,0))</f>
        <v>Strike (ceasefire violation)</v>
      </c>
      <c r="E34" s="6" t="str">
        <f aca="false">INDEX('Event Log'!$F$2:$F$271,MATCH(A34,'Event Log'!$A$2:$A$271,0))</f>
        <v>Strikes kill members of Iran's air-defense units</v>
      </c>
      <c r="F34" s="6" t="s">
        <v>1190</v>
      </c>
      <c r="G34" s="8" t="s">
        <v>1279</v>
      </c>
      <c r="H34" s="6" t="s">
        <v>1302</v>
      </c>
      <c r="I34" s="6" t="s">
        <v>1303</v>
      </c>
    </row>
    <row r="35" customFormat="false" ht="23.85" hidden="false" customHeight="false" outlineLevel="0" collapsed="false">
      <c r="A35" s="6" t="n">
        <v>45</v>
      </c>
      <c r="B35" s="7" t="n">
        <f aca="false">INDEX('Event Log'!$B$2:$B$271,MATCH(A35,'Event Log'!$A$2:$A$271,0))</f>
        <v>46181</v>
      </c>
      <c r="C35" s="6" t="str">
        <f aca="false">INDEX('Event Log'!$C$2:$C$271,MATCH(A35,'Event Log'!$A$2:$A$271,0))</f>
        <v>Iran</v>
      </c>
      <c r="D35" s="6" t="str">
        <f aca="false">INDEX('Event Log'!$D$2:$D$271,MATCH(A35,'Event Log'!$A$2:$A$271,0))</f>
        <v>Retaliation</v>
      </c>
      <c r="E35" s="6" t="str">
        <f aca="false">INDEX('Event Log'!$F$2:$F$271,MATCH(A35,'Event Log'!$A$2:$A$271,0))</f>
        <v>Downs a US Apache helicopter over the Strait (US says a Shahed drone did it)</v>
      </c>
      <c r="F35" s="6" t="s">
        <v>1193</v>
      </c>
      <c r="G35" s="8" t="s">
        <v>1279</v>
      </c>
      <c r="H35" s="6" t="s">
        <v>1304</v>
      </c>
      <c r="I35" s="6" t="s">
        <v>1305</v>
      </c>
    </row>
    <row r="36" customFormat="false" ht="35.05" hidden="false" customHeight="false" outlineLevel="0" collapsed="false">
      <c r="A36" s="6" t="n">
        <v>46</v>
      </c>
      <c r="B36" s="7" t="n">
        <f aca="false">INDEX('Event Log'!$B$2:$B$271,MATCH(A36,'Event Log'!$A$2:$A$271,0))</f>
        <v>46182</v>
      </c>
      <c r="C36" s="6" t="str">
        <f aca="false">INDEX('Event Log'!$C$2:$C$271,MATCH(A36,'Event Log'!$A$2:$A$271,0))</f>
        <v>US</v>
      </c>
      <c r="D36" s="6" t="str">
        <f aca="false">INDEX('Event Log'!$D$2:$D$271,MATCH(A36,'Event Log'!$A$2:$A$271,0))</f>
        <v>Retaliation strike</v>
      </c>
      <c r="E36" s="6" t="str">
        <f aca="false">INDEX('Event Log'!$F$2:$F$271,MATCH(A36,'Event Log'!$A$2:$A$271,0))</f>
        <v>US strikes Iranian air-defense, ground-control and surveillance radar sites near the Strait after Iran downs a US Apache (CENTCOM: 'proportional response')</v>
      </c>
      <c r="F36" s="6" t="s">
        <v>1193</v>
      </c>
      <c r="G36" s="8" t="s">
        <v>1279</v>
      </c>
      <c r="H36" s="6" t="s">
        <v>1306</v>
      </c>
      <c r="I36" s="6" t="s">
        <v>1307</v>
      </c>
    </row>
    <row r="37" customFormat="false" ht="23.85" hidden="false" customHeight="false" outlineLevel="0" collapsed="false">
      <c r="A37" s="6" t="n">
        <v>47</v>
      </c>
      <c r="B37" s="7" t="n">
        <f aca="false">INDEX('Event Log'!$B$2:$B$271,MATCH(A37,'Event Log'!$A$2:$A$271,0))</f>
        <v>46183</v>
      </c>
      <c r="C37" s="6" t="str">
        <f aca="false">INDEX('Event Log'!$C$2:$C$271,MATCH(A37,'Event Log'!$A$2:$A$271,0))</f>
        <v>Iran</v>
      </c>
      <c r="D37" s="6" t="str">
        <f aca="false">INDEX('Event Log'!$D$2:$D$271,MATCH(A37,'Event Log'!$A$2:$A$271,0))</f>
        <v>Retaliation strike</v>
      </c>
      <c r="E37" s="6" t="str">
        <f aca="false">INDEX('Event Log'!$F$2:$F$271,MATCH(A37,'Event Log'!$A$2:$A$271,0))</f>
        <v>Strikes Muwaffaq Salti AB plus bases in Kuwait and Bahrain</v>
      </c>
      <c r="F37" s="6" t="s">
        <v>1193</v>
      </c>
      <c r="G37" s="10" t="s">
        <v>1282</v>
      </c>
      <c r="H37" s="6" t="s">
        <v>1308</v>
      </c>
      <c r="I37" s="6" t="s">
        <v>1295</v>
      </c>
    </row>
    <row r="38" customFormat="false" ht="23.85" hidden="false" customHeight="false" outlineLevel="0" collapsed="false">
      <c r="A38" s="6" t="n">
        <v>48</v>
      </c>
      <c r="B38" s="7" t="n">
        <f aca="false">INDEX('Event Log'!$B$2:$B$271,MATCH(A38,'Event Log'!$A$2:$A$271,0))</f>
        <v>46184</v>
      </c>
      <c r="C38" s="6" t="str">
        <f aca="false">INDEX('Event Log'!$C$2:$C$271,MATCH(A38,'Event Log'!$A$2:$A$271,0))</f>
        <v>Iran</v>
      </c>
      <c r="D38" s="6" t="str">
        <f aca="false">INDEX('Event Log'!$D$2:$D$271,MATCH(A38,'Event Log'!$A$2:$A$271,0))</f>
        <v>Retaliation strike</v>
      </c>
      <c r="E38" s="6" t="str">
        <f aca="false">INDEX('Event Log'!$F$2:$F$271,MATCH(A38,'Event Log'!$A$2:$A$271,0))</f>
        <v>Iranian missile wave at a Jordan base near Azraq; Jordan says it intercepted all 20 incoming missiles</v>
      </c>
      <c r="F38" s="6" t="s">
        <v>1193</v>
      </c>
      <c r="G38" s="10" t="s">
        <v>1262</v>
      </c>
      <c r="H38" s="6" t="s">
        <v>1309</v>
      </c>
      <c r="I38" s="6" t="s">
        <v>1310</v>
      </c>
    </row>
    <row r="39" customFormat="false" ht="35.05" hidden="false" customHeight="false" outlineLevel="0" collapsed="false">
      <c r="A39" s="6" t="n">
        <v>53</v>
      </c>
      <c r="B39" s="7" t="n">
        <f aca="false">INDEX('Event Log'!$B$2:$B$271,MATCH(A39,'Event Log'!$A$2:$A$271,0))</f>
        <v>46193</v>
      </c>
      <c r="C39" s="6" t="str">
        <f aca="false">INDEX('Event Log'!$C$2:$C$271,MATCH(A39,'Event Log'!$A$2:$A$271,0))</f>
        <v>Iran</v>
      </c>
      <c r="D39" s="6" t="str">
        <f aca="false">INDEX('Event Log'!$D$2:$D$271,MATCH(A39,'Event Log'!$A$2:$A$271,0))</f>
        <v>Blockade re-escalation</v>
      </c>
      <c r="E39" s="6" t="str">
        <f aca="false">INDEX('Event Log'!$F$2:$F$271,MATCH(A39,'Event Log'!$A$2:$A$271,0))</f>
        <v>Iran claims the Strait closed again, citing Israeli ceasefire violations in Lebanon</v>
      </c>
      <c r="F39" s="6" t="s">
        <v>1201</v>
      </c>
      <c r="G39" s="11" t="s">
        <v>1194</v>
      </c>
      <c r="H39" s="6" t="s">
        <v>1311</v>
      </c>
      <c r="I39" s="6" t="s">
        <v>1312</v>
      </c>
    </row>
    <row r="40" customFormat="false" ht="35.05" hidden="false" customHeight="false" outlineLevel="0" collapsed="false">
      <c r="A40" s="6" t="n">
        <v>54</v>
      </c>
      <c r="B40" s="7" t="n">
        <f aca="false">INDEX('Event Log'!$B$2:$B$271,MATCH(A40,'Event Log'!$A$2:$A$271,0))</f>
        <v>46198</v>
      </c>
      <c r="C40" s="6" t="str">
        <f aca="false">INDEX('Event Log'!$C$2:$C$271,MATCH(A40,'Event Log'!$A$2:$A$271,0))</f>
        <v>Iran</v>
      </c>
      <c r="D40" s="6" t="str">
        <f aca="false">INDEX('Event Log'!$D$2:$D$271,MATCH(A40,'Event Log'!$A$2:$A$271,0))</f>
        <v>MOU violation</v>
      </c>
      <c r="E40" s="6" t="str">
        <f aca="false">INDEX('Event Log'!$F$2:$F$271,MATCH(A40,'Event Log'!$A$2:$A$271,0))</f>
        <v>Iranian drones attack the container ship Ever Lovely near Oman in the Strait; Trump calls it a 'foolish violation' of the Jun 17 memorandum</v>
      </c>
      <c r="F40" s="6" t="s">
        <v>1201</v>
      </c>
      <c r="G40" s="8" t="s">
        <v>1279</v>
      </c>
      <c r="H40" s="6" t="s">
        <v>1313</v>
      </c>
      <c r="I40" s="6" t="s">
        <v>1314</v>
      </c>
    </row>
    <row r="41" customFormat="false" ht="23.85" hidden="false" customHeight="false" outlineLevel="0" collapsed="false">
      <c r="A41" s="6" t="n">
        <v>55</v>
      </c>
      <c r="B41" s="7" t="n">
        <f aca="false">INDEX('Event Log'!$B$2:$B$271,MATCH(A41,'Event Log'!$A$2:$A$271,0))</f>
        <v>46199</v>
      </c>
      <c r="C41" s="6" t="str">
        <f aca="false">INDEX('Event Log'!$C$2:$C$271,MATCH(A41,'Event Log'!$A$2:$A$271,0))</f>
        <v>US</v>
      </c>
      <c r="D41" s="6" t="str">
        <f aca="false">INDEX('Event Log'!$D$2:$D$271,MATCH(A41,'Event Log'!$A$2:$A$271,0))</f>
        <v>Retaliation strike</v>
      </c>
      <c r="E41" s="6" t="str">
        <f aca="false">INDEX('Event Log'!$F$2:$F$271,MATCH(A41,'Event Log'!$A$2:$A$271,0))</f>
        <v>~1 hour of retaliatory strikes on missile/drone sites and coastal radar</v>
      </c>
      <c r="F41" s="6" t="s">
        <v>1193</v>
      </c>
      <c r="G41" s="8" t="s">
        <v>1279</v>
      </c>
      <c r="H41" s="6" t="s">
        <v>1315</v>
      </c>
      <c r="I41" s="6" t="s">
        <v>1316</v>
      </c>
    </row>
    <row r="42" customFormat="false" ht="46.25" hidden="false" customHeight="false" outlineLevel="0" collapsed="false">
      <c r="A42" s="6" t="n">
        <v>56</v>
      </c>
      <c r="B42" s="7" t="n">
        <f aca="false">INDEX('Event Log'!$B$2:$B$271,MATCH(A42,'Event Log'!$A$2:$A$271,0))</f>
        <v>46200</v>
      </c>
      <c r="C42" s="6" t="str">
        <f aca="false">INDEX('Event Log'!$C$2:$C$271,MATCH(A42,'Event Log'!$A$2:$A$271,0))</f>
        <v>Iran</v>
      </c>
      <c r="D42" s="6" t="str">
        <f aca="false">INDEX('Event Log'!$D$2:$D$271,MATCH(A42,'Event Log'!$A$2:$A$271,0))</f>
        <v>Retaliation strike</v>
      </c>
      <c r="E42" s="6" t="str">
        <f aca="false">INDEX('Event Log'!$F$2:$F$271,MATCH(A42,'Event Log'!$A$2:$A$271,0))</f>
        <v>Tanker Kiku hit by a one-way drone near Hormuz (Jun 27, per CENTCOM; Iran has not confirmed); overnight Jun 27-28 the IRGC fires drones and missiles at Kuwait (intercepted) and Bahrain</v>
      </c>
      <c r="F42" s="6" t="s">
        <v>1193</v>
      </c>
      <c r="G42" s="8" t="s">
        <v>1279</v>
      </c>
      <c r="H42" s="6" t="s">
        <v>1317</v>
      </c>
      <c r="I42" s="6" t="s">
        <v>1318</v>
      </c>
    </row>
    <row r="43" customFormat="false" ht="23.85" hidden="false" customHeight="false" outlineLevel="0" collapsed="false">
      <c r="A43" s="6" t="n">
        <v>57</v>
      </c>
      <c r="B43" s="7" t="n">
        <f aca="false">INDEX('Event Log'!$B$2:$B$271,MATCH(A43,'Event Log'!$A$2:$A$271,0))</f>
        <v>46210</v>
      </c>
      <c r="C43" s="6" t="str">
        <f aca="false">INDEX('Event Log'!$C$2:$C$271,MATCH(A43,'Event Log'!$A$2:$A$271,0))</f>
        <v>Iran</v>
      </c>
      <c r="D43" s="6" t="str">
        <f aca="false">INDEX('Event Log'!$D$2:$D$271,MATCH(A43,'Event Log'!$A$2:$A$271,0))</f>
        <v>MOU violation (major)</v>
      </c>
      <c r="E43" s="6" t="str">
        <f aca="false">INDEX('Event Log'!$F$2:$F$271,MATCH(A43,'Event Log'!$A$2:$A$271,0))</f>
        <v>Strikes three vessels in the Strait - second, larger MOU violation</v>
      </c>
      <c r="F43" s="6" t="s">
        <v>1201</v>
      </c>
      <c r="G43" s="8" t="s">
        <v>1279</v>
      </c>
      <c r="H43" s="6" t="s">
        <v>1319</v>
      </c>
      <c r="I43" s="6" t="s">
        <v>1320</v>
      </c>
    </row>
    <row r="44" customFormat="false" ht="46.25" hidden="false" customHeight="false" outlineLevel="0" collapsed="false">
      <c r="A44" s="6" t="n">
        <v>60</v>
      </c>
      <c r="B44" s="7" t="n">
        <f aca="false">INDEX('Event Log'!$B$2:$B$271,MATCH(A44,'Event Log'!$A$2:$A$271,0))</f>
        <v>46211</v>
      </c>
      <c r="C44" s="6" t="str">
        <f aca="false">INDEX('Event Log'!$C$2:$C$271,MATCH(A44,'Event Log'!$A$2:$A$271,0))</f>
        <v>US</v>
      </c>
      <c r="D44" s="6" t="str">
        <f aca="false">INDEX('Event Log'!$D$2:$D$271,MATCH(A44,'Event Log'!$A$2:$A$271,0))</f>
        <v>Strike (major escalation)</v>
      </c>
      <c r="E44" s="6" t="str">
        <f aca="false">INDEX('Event Log'!$F$2:$F$271,MATCH(A44,'Event Log'!$A$2:$A$271,0))</f>
        <v>About 90 targets along Iran's coast (air defenses, coastal surveillance, missile and drone storage, naval and logistics sites), the second night in a row after ~80 on Jul 7 (CENTCOM)</v>
      </c>
      <c r="F44" s="6" t="s">
        <v>1193</v>
      </c>
      <c r="G44" s="8" t="s">
        <v>1279</v>
      </c>
      <c r="H44" s="6" t="s">
        <v>1321</v>
      </c>
      <c r="I44" s="6" t="s">
        <v>1322</v>
      </c>
    </row>
    <row r="45" customFormat="false" ht="23.85" hidden="false" customHeight="false" outlineLevel="0" collapsed="false">
      <c r="A45" s="6" t="n">
        <v>70</v>
      </c>
      <c r="B45" s="7" t="n">
        <f aca="false">INDEX('Event Log'!$B$2:$B$271,MATCH(A45,'Event Log'!$A$2:$A$271,0))</f>
        <v>46264</v>
      </c>
      <c r="C45" s="6" t="str">
        <f aca="false">INDEX('Event Log'!$C$2:$C$271,MATCH(A45,'Event Log'!$A$2:$A$271,0))</f>
        <v>US</v>
      </c>
      <c r="D45" s="6" t="str">
        <f aca="false">INDEX('Event Log'!$D$2:$D$271,MATCH(A45,'Event Log'!$A$2:$A$271,0))</f>
        <v>Strike</v>
      </c>
      <c r="E45" s="6" t="str">
        <f aca="false">INDEX('Event Log'!$F$2:$F$271,MATCH(A45,'Event Log'!$A$2:$A$271,0))</f>
        <v>Strikes 2 IRGC rocket launchers on Larak Island, said to be preparing sea mines</v>
      </c>
      <c r="F45" s="6" t="s">
        <v>1190</v>
      </c>
      <c r="G45" s="8" t="s">
        <v>1279</v>
      </c>
      <c r="H45" s="6" t="s">
        <v>1323</v>
      </c>
      <c r="I45" s="6" t="s">
        <v>1324</v>
      </c>
    </row>
    <row r="46" customFormat="false" ht="23.85" hidden="false" customHeight="false" outlineLevel="0" collapsed="false">
      <c r="A46" s="6" t="n">
        <v>71</v>
      </c>
      <c r="B46" s="7" t="n">
        <f aca="false">INDEX('Event Log'!$B$2:$B$271,MATCH(A46,'Event Log'!$A$2:$A$271,0))</f>
        <v>46265</v>
      </c>
      <c r="C46" s="6" t="str">
        <f aca="false">INDEX('Event Log'!$C$2:$C$271,MATCH(A46,'Event Log'!$A$2:$A$271,0))</f>
        <v>Iran</v>
      </c>
      <c r="D46" s="6" t="str">
        <f aca="false">INDEX('Event Log'!$D$2:$D$271,MATCH(A46,'Event Log'!$A$2:$A$271,0))</f>
        <v>Retaliation strike</v>
      </c>
      <c r="E46" s="6" t="str">
        <f aca="false">INDEX('Event Log'!$F$2:$F$271,MATCH(A46,'Event Log'!$A$2:$A$271,0))</f>
        <v>'Punishment of the Aggressor': strikes King Hussein AB and Al Azraq AB</v>
      </c>
      <c r="F46" s="6" t="s">
        <v>1193</v>
      </c>
      <c r="G46" s="8" t="s">
        <v>1279</v>
      </c>
      <c r="H46" s="6" t="s">
        <v>1325</v>
      </c>
      <c r="I46" s="6" t="s">
        <v>1326</v>
      </c>
    </row>
    <row r="47" customFormat="false" ht="15" hidden="false" customHeight="false" outlineLevel="0" collapsed="false">
      <c r="A47" s="6" t="n">
        <v>74</v>
      </c>
      <c r="B47" s="7" t="n">
        <f aca="false">INDEX('Event Log'!$B$2:$B$271,MATCH(A47,'Event Log'!$A$2:$A$271,0))</f>
        <v>46266</v>
      </c>
      <c r="C47" s="6" t="str">
        <f aca="false">INDEX('Event Log'!$C$2:$C$271,MATCH(A47,'Event Log'!$A$2:$A$271,0))</f>
        <v>US</v>
      </c>
      <c r="D47" s="6" t="str">
        <f aca="false">INDEX('Event Log'!$D$2:$D$271,MATCH(A47,'Event Log'!$A$2:$A$271,0))</f>
        <v>Strike (controversial)</v>
      </c>
      <c r="E47" s="6" t="str">
        <f aca="false">INDEX('Event Log'!$F$2:$F$271,MATCH(A47,'Event Log'!$A$2:$A$271,0))</f>
        <v>Kuhestak/Sirik wedding strike, part of the same wave as #73</v>
      </c>
      <c r="F47" s="6" t="s">
        <v>1190</v>
      </c>
      <c r="G47" s="8" t="s">
        <v>1279</v>
      </c>
      <c r="H47" s="6" t="s">
        <v>1327</v>
      </c>
      <c r="I47" s="6" t="s">
        <v>1328</v>
      </c>
    </row>
    <row r="48" customFormat="false" ht="23.85" hidden="false" customHeight="false" outlineLevel="0" collapsed="false">
      <c r="A48" s="6" t="n">
        <v>75</v>
      </c>
      <c r="B48" s="7" t="n">
        <f aca="false">INDEX('Event Log'!$B$2:$B$271,MATCH(A48,'Event Log'!$A$2:$A$271,0))</f>
        <v>46266</v>
      </c>
      <c r="C48" s="6" t="str">
        <f aca="false">INDEX('Event Log'!$C$2:$C$271,MATCH(A48,'Event Log'!$A$2:$A$271,0))</f>
        <v>Iran</v>
      </c>
      <c r="D48" s="6" t="str">
        <f aca="false">INDEX('Event Log'!$D$2:$D$271,MATCH(A48,'Event Log'!$A$2:$A$271,0))</f>
        <v>Retaliation strike</v>
      </c>
      <c r="E48" s="6" t="str">
        <f aca="false">INDEX('Event Log'!$F$2:$F$271,MATCH(A48,'Event Log'!$A$2:$A$271,0))</f>
        <v>Strikes Camp Titin and Prince Hassan AB</v>
      </c>
      <c r="F48" s="6" t="s">
        <v>1193</v>
      </c>
      <c r="G48" s="12" t="s">
        <v>1293</v>
      </c>
      <c r="H48" s="6" t="s">
        <v>1329</v>
      </c>
      <c r="I48" s="6" t="s">
        <v>1310</v>
      </c>
    </row>
    <row r="49" customFormat="false" ht="35.05" hidden="false" customHeight="false" outlineLevel="0" collapsed="false">
      <c r="A49" s="6" t="n">
        <v>77</v>
      </c>
      <c r="B49" s="7" t="n">
        <f aca="false">INDEX('Event Log'!$B$2:$B$271,MATCH(A49,'Event Log'!$A$2:$A$271,0))</f>
        <v>46270</v>
      </c>
      <c r="C49" s="6" t="str">
        <f aca="false">INDEX('Event Log'!$C$2:$C$271,MATCH(A49,'Event Log'!$A$2:$A$271,0))</f>
        <v>US</v>
      </c>
      <c r="D49" s="6" t="str">
        <f aca="false">INDEX('Event Log'!$D$2:$D$271,MATCH(A49,'Event Log'!$A$2:$A$271,0))</f>
        <v>Strike</v>
      </c>
      <c r="E49" s="6" t="str">
        <f aca="false">INDEX('Event Log'!$F$2:$F$271,MATCH(A49,'Event Log'!$A$2:$A$271,0))</f>
        <v>Strikes 3 Iranian crude tankers (MT Kylo and others)</v>
      </c>
      <c r="F49" s="6" t="s">
        <v>1201</v>
      </c>
      <c r="G49" s="10" t="s">
        <v>1282</v>
      </c>
      <c r="H49" s="6" t="s">
        <v>1330</v>
      </c>
      <c r="I49" s="6" t="s">
        <v>1331</v>
      </c>
    </row>
    <row r="50" customFormat="false" ht="23.85" hidden="false" customHeight="false" outlineLevel="0" collapsed="false">
      <c r="A50" s="6" t="n">
        <v>78</v>
      </c>
      <c r="B50" s="7" t="n">
        <f aca="false">INDEX('Event Log'!$B$2:$B$271,MATCH(A50,'Event Log'!$A$2:$A$271,0))</f>
        <v>46273</v>
      </c>
      <c r="C50" s="6" t="str">
        <f aca="false">INDEX('Event Log'!$C$2:$C$271,MATCH(A50,'Event Log'!$A$2:$A$271,0))</f>
        <v>Iran</v>
      </c>
      <c r="D50" s="6" t="str">
        <f aca="false">INDEX('Event Log'!$D$2:$D$271,MATCH(A50,'Event Log'!$A$2:$A$271,0))</f>
        <v>Strike</v>
      </c>
      <c r="E50" s="6" t="str">
        <f aca="false">INDEX('Event Log'!$F$2:$F$271,MATCH(A50,'Event Log'!$A$2:$A$271,0))</f>
        <v>IRGC fires ballistic missiles at a US warship for the second time in two days</v>
      </c>
      <c r="F50" s="6" t="s">
        <v>1193</v>
      </c>
      <c r="G50" s="8" t="s">
        <v>1279</v>
      </c>
      <c r="H50" s="6" t="s">
        <v>1332</v>
      </c>
      <c r="I50" s="6" t="s">
        <v>1333</v>
      </c>
    </row>
    <row r="51" customFormat="false" ht="35.05" hidden="false" customHeight="false" outlineLevel="0" collapsed="false">
      <c r="A51" s="6" t="n">
        <v>79</v>
      </c>
      <c r="B51" s="7" t="n">
        <f aca="false">INDEX('Event Log'!$B$2:$B$271,MATCH(A51,'Event Log'!$A$2:$A$271,0))</f>
        <v>46273</v>
      </c>
      <c r="C51" s="6" t="str">
        <f aca="false">INDEX('Event Log'!$C$2:$C$271,MATCH(A51,'Event Log'!$A$2:$A$271,0))</f>
        <v>US</v>
      </c>
      <c r="D51" s="6" t="str">
        <f aca="false">INDEX('Event Log'!$D$2:$D$271,MATCH(A51,'Event Log'!$A$2:$A$271,0))</f>
        <v>Retaliation strike</v>
      </c>
      <c r="E51" s="6" t="str">
        <f aca="false">INDEX('Event Log'!$F$2:$F$271,MATCH(A51,'Event Log'!$A$2:$A$271,0))</f>
        <v>CENTCOM destroys five IRGC crude oil carriers (four in the Gulf of Oman, one near Kharg Island) after the IRGC's missile attempts on a US warship</v>
      </c>
      <c r="F51" s="6" t="s">
        <v>1201</v>
      </c>
      <c r="G51" s="8" t="s">
        <v>1279</v>
      </c>
      <c r="H51" s="6" t="s">
        <v>1334</v>
      </c>
      <c r="I51" s="6" t="s">
        <v>1335</v>
      </c>
    </row>
    <row r="52" customFormat="false" ht="35.05" hidden="false" customHeight="false" outlineLevel="0" collapsed="false">
      <c r="A52" s="6" t="n">
        <v>80</v>
      </c>
      <c r="B52" s="7" t="n">
        <f aca="false">INDEX('Event Log'!$B$2:$B$271,MATCH(A52,'Event Log'!$A$2:$A$271,0))</f>
        <v>46274</v>
      </c>
      <c r="C52" s="6" t="str">
        <f aca="false">INDEX('Event Log'!$C$2:$C$271,MATCH(A52,'Event Log'!$A$2:$A$271,0))</f>
        <v>Iran</v>
      </c>
      <c r="D52" s="6" t="str">
        <f aca="false">INDEX('Event Log'!$D$2:$D$271,MATCH(A52,'Event Log'!$A$2:$A$271,0))</f>
        <v>Retaliation strike</v>
      </c>
      <c r="E52" s="6" t="str">
        <f aca="false">INDEX('Event Log'!$F$2:$F$271,MATCH(A52,'Event Log'!$A$2:$A$271,0))</f>
        <v>Strikes Muwaffaq Salti AB: 1 A-10 loses a wing, ~8 F-15s lightly damaged</v>
      </c>
      <c r="F52" s="6" t="s">
        <v>1193</v>
      </c>
      <c r="G52" s="11" t="s">
        <v>1194</v>
      </c>
      <c r="H52" s="6" t="s">
        <v>1336</v>
      </c>
      <c r="I52" s="6" t="s">
        <v>1337</v>
      </c>
    </row>
    <row r="53" customFormat="false" ht="35.05" hidden="false" customHeight="false" outlineLevel="0" collapsed="false">
      <c r="A53" s="6" t="n">
        <v>85</v>
      </c>
      <c r="B53" s="7" t="n">
        <f aca="false">INDEX('Event Log'!$B$2:$B$271,MATCH(A53,'Event Log'!$A$2:$A$271,0))</f>
        <v>46294</v>
      </c>
      <c r="C53" s="6" t="str">
        <f aca="false">INDEX('Event Log'!$C$2:$C$271,MATCH(A53,'Event Log'!$A$2:$A$271,0))</f>
        <v>US</v>
      </c>
      <c r="D53" s="6" t="str">
        <f aca="false">INDEX('Event Log'!$D$2:$D$271,MATCH(A53,'Event Log'!$A$2:$A$271,0))</f>
        <v>Sanctions response</v>
      </c>
      <c r="E53" s="6" t="str">
        <f aca="false">INDEX('Event Log'!$F$2:$F$271,MATCH(A53,'Event Log'!$A$2:$A$271,0))</f>
        <v>Treasury imposes new sanctions on 10 individuals/entities for supporting Iran's military supply chain</v>
      </c>
      <c r="F53" s="6" t="s">
        <v>1201</v>
      </c>
      <c r="G53" s="11" t="s">
        <v>1194</v>
      </c>
      <c r="H53" s="6" t="s">
        <v>1338</v>
      </c>
      <c r="I53" s="6" t="s">
        <v>1339</v>
      </c>
    </row>
    <row r="54" customFormat="false" ht="35.05" hidden="false" customHeight="false" outlineLevel="0" collapsed="false">
      <c r="A54" s="6" t="n">
        <v>87</v>
      </c>
      <c r="B54" s="7" t="n">
        <f aca="false">INDEX('Event Log'!$B$2:$B$271,MATCH(A54,'Event Log'!$A$2:$A$271,0))</f>
        <v>46296</v>
      </c>
      <c r="C54" s="6" t="str">
        <f aca="false">INDEX('Event Log'!$C$2:$C$271,MATCH(A54,'Event Log'!$A$2:$A$271,0))</f>
        <v>US</v>
      </c>
      <c r="D54" s="6" t="str">
        <f aca="false">INDEX('Event Log'!$D$2:$D$271,MATCH(A54,'Event Log'!$A$2:$A$271,0))</f>
        <v>Sanctions response</v>
      </c>
      <c r="E54" s="6" t="str">
        <f aca="false">INDEX('Event Log'!$F$2:$F$271,MATCH(A54,'Event Log'!$A$2:$A$271,0))</f>
        <v>Treasury sanctions Iran's automotive and rail sectors and a shadow banking network, calling the targets 'some of the last significant elements of Iran's failing industrial infrastructure'</v>
      </c>
      <c r="F54" s="6" t="s">
        <v>1201</v>
      </c>
      <c r="G54" s="11" t="s">
        <v>1194</v>
      </c>
      <c r="H54" s="6" t="s">
        <v>1340</v>
      </c>
      <c r="I54" s="6" t="s">
        <v>1339</v>
      </c>
    </row>
    <row r="55" customFormat="false" ht="57.45" hidden="false" customHeight="false" outlineLevel="0" collapsed="false">
      <c r="A55" s="6" t="n">
        <v>104</v>
      </c>
      <c r="B55" s="7" t="n">
        <f aca="false">INDEX('Event Log'!$B$2:$B$271,MATCH(A55,'Event Log'!$A$2:$A$271,0))</f>
        <v>46306</v>
      </c>
      <c r="C55" s="6" t="str">
        <f aca="false">INDEX('Event Log'!$C$2:$C$271,MATCH(A55,'Event Log'!$A$2:$A$271,0))</f>
        <v>US</v>
      </c>
      <c r="D55" s="6" t="str">
        <f aca="false">INDEX('Event Log'!$D$2:$D$271,MATCH(A55,'Event Log'!$A$2:$A$271,0))</f>
        <v>Blockade enforcement strike</v>
      </c>
      <c r="E55" s="6" t="str">
        <f aca="false">INDEX('Event Log'!$F$2:$F$271,MATCH(A55,'Event Log'!$A$2:$A$271,0))</f>
        <v>CENTCOM releases footage of a fighter jet bombing the stern of a cargo ship it says was running the blockade of Iranian ports, disabling it (strike Oct 10 or 11)</v>
      </c>
      <c r="F55" s="6" t="s">
        <v>1201</v>
      </c>
      <c r="G55" s="10" t="s">
        <v>1262</v>
      </c>
      <c r="H55" s="6" t="s">
        <v>1341</v>
      </c>
      <c r="I55" s="6" t="s">
        <v>1295</v>
      </c>
    </row>
    <row r="56" customFormat="false" ht="46.25" hidden="false" customHeight="false" outlineLevel="0" collapsed="false">
      <c r="A56" s="6" t="n">
        <v>106</v>
      </c>
      <c r="B56" s="7" t="n">
        <f aca="false">INDEX('Event Log'!$B$2:$B$271,MATCH(A56,'Event Log'!$A$2:$A$271,0))</f>
        <v>46301</v>
      </c>
      <c r="C56" s="6" t="str">
        <f aca="false">INDEX('Event Log'!$C$2:$C$271,MATCH(A56,'Event Log'!$A$2:$A$271,0))</f>
        <v>US</v>
      </c>
      <c r="D56" s="6" t="str">
        <f aca="false">INDEX('Event Log'!$D$2:$D$271,MATCH(A56,'Event Log'!$A$2:$A$271,0))</f>
        <v>Strike (IRGC-linked boat)</v>
      </c>
      <c r="E56" s="6" t="str">
        <f aca="false">INDEX('Event Log'!$F$2:$F$271,MATCH(A56,'Event Log'!$A$2:$A$271,0))</f>
        <v>US forces destroy an Iranian-affiliated dhow that CENTCOM says was 'conducting surveillance and targeting U.S. Navy ships' in the Gulf of Oman; crew removed first (announced Oct 14)</v>
      </c>
      <c r="F56" s="6" t="s">
        <v>1193</v>
      </c>
      <c r="G56" s="10" t="s">
        <v>1262</v>
      </c>
      <c r="H56" s="6" t="s">
        <v>1342</v>
      </c>
      <c r="I56" s="6" t="s">
        <v>1295</v>
      </c>
    </row>
    <row r="57" customFormat="false" ht="35.05" hidden="false" customHeight="false" outlineLevel="0" collapsed="false">
      <c r="A57" s="6" t="n">
        <v>107</v>
      </c>
      <c r="B57" s="7" t="n">
        <f aca="false">INDEX('Event Log'!$B$2:$B$271,MATCH(A57,'Event Log'!$A$2:$A$271,0))</f>
        <v>46303</v>
      </c>
      <c r="C57" s="6" t="str">
        <f aca="false">INDEX('Event Log'!$C$2:$C$271,MATCH(A57,'Event Log'!$A$2:$A$271,0))</f>
        <v>US</v>
      </c>
      <c r="D57" s="6" t="str">
        <f aca="false">INDEX('Event Log'!$D$2:$D$271,MATCH(A57,'Event Log'!$A$2:$A$271,0))</f>
        <v>Sanctions response</v>
      </c>
      <c r="E57" s="6" t="str">
        <f aca="false">INDEX('Event Log'!$F$2:$F$271,MATCH(A57,'Event Log'!$A$2:$A$271,0))</f>
        <v>Treasury sanctions 17 companies and 17 'shadow fleet' tankers carrying Iranian oil (Operation Economic Outcast)</v>
      </c>
      <c r="F57" s="6" t="s">
        <v>1201</v>
      </c>
      <c r="G57" s="10" t="s">
        <v>1262</v>
      </c>
      <c r="H57" s="6" t="s">
        <v>1343</v>
      </c>
      <c r="I57" s="6" t="s">
        <v>1295</v>
      </c>
    </row>
    <row r="58" customFormat="false" ht="46.25" hidden="false" customHeight="false" outlineLevel="0" collapsed="false">
      <c r="A58" s="6" t="n">
        <v>110</v>
      </c>
      <c r="B58" s="7" t="n">
        <f aca="false">INDEX('Event Log'!$B$2:$B$271,MATCH(A58,'Event Log'!$A$2:$A$271,0))</f>
        <v>46310</v>
      </c>
      <c r="C58" s="6" t="str">
        <f aca="false">INDEX('Event Log'!$C$2:$C$271,MATCH(A58,'Event Log'!$A$2:$A$271,0))</f>
        <v>US</v>
      </c>
      <c r="D58" s="6" t="str">
        <f aca="false">INDEX('Event Log'!$D$2:$D$271,MATCH(A58,'Event Log'!$A$2:$A$271,0))</f>
        <v>Sanctions response</v>
      </c>
      <c r="E58" s="6" t="str">
        <f aca="false">INDEX('Event Log'!$F$2:$F$271,MATCH(A58,'Event Log'!$A$2:$A$271,0))</f>
        <v>Treasury sanctions 10 entities and 16 people in Iran's shadow-banking and exchange-house network, plus Iranian religious-charity networks; State sanctions a Cuban bank serving an Iranian bank</v>
      </c>
      <c r="F58" s="6" t="s">
        <v>1201</v>
      </c>
      <c r="G58" s="10" t="s">
        <v>1262</v>
      </c>
      <c r="H58" s="6" t="s">
        <v>1344</v>
      </c>
      <c r="I58" s="6" t="s">
        <v>1295</v>
      </c>
    </row>
    <row r="59" customFormat="false" ht="35.05" hidden="false" customHeight="false" outlineLevel="0" collapsed="false">
      <c r="A59" s="6" t="n">
        <v>119</v>
      </c>
      <c r="B59" s="7" t="n">
        <f aca="false">INDEX('Event Log'!$B$2:$B$271,MATCH(A59,'Event Log'!$A$2:$A$271,0))</f>
        <v>46316</v>
      </c>
      <c r="C59" s="6" t="str">
        <f aca="false">INDEX('Event Log'!$C$2:$C$271,MATCH(A59,'Event Log'!$A$2:$A$271,0))</f>
        <v>US</v>
      </c>
      <c r="D59" s="6" t="str">
        <f aca="false">INDEX('Event Log'!$D$2:$D$271,MATCH(A59,'Event Log'!$A$2:$A$271,0))</f>
        <v>Sanctions response</v>
      </c>
      <c r="E59" s="6" t="str">
        <f aca="false">INDEX('Event Log'!$F$2:$F$271,MATCH(A59,'Event Log'!$A$2:$A$271,0))</f>
        <v>Treasury sanctions 4 entities, 5 people and 9 vessels in Iran's shadow-fleet oil network (Operation Economic Outcast)</v>
      </c>
      <c r="F59" s="6" t="s">
        <v>1201</v>
      </c>
      <c r="G59" s="12" t="s">
        <v>1293</v>
      </c>
      <c r="H59" s="6" t="s">
        <v>1345</v>
      </c>
      <c r="I59" s="6" t="s">
        <v>1295</v>
      </c>
    </row>
    <row r="60" customFormat="false" ht="23.85" hidden="false" customHeight="false" outlineLevel="0" collapsed="false">
      <c r="A60" s="6" t="n">
        <v>206</v>
      </c>
      <c r="B60" s="7" t="n">
        <f aca="false">INDEX('Event Log'!$B$2:$B$271,MATCH(A60,'Event Log'!$A$2:$A$271,0))</f>
        <v>43640</v>
      </c>
      <c r="C60" s="6" t="str">
        <f aca="false">INDEX('Event Log'!$C$2:$C$271,MATCH(A60,'Event Log'!$A$2:$A$271,0))</f>
        <v>US</v>
      </c>
      <c r="D60" s="6" t="str">
        <f aca="false">INDEX('Event Log'!$D$2:$D$271,MATCH(A60,'Event Log'!$A$2:$A$271,0))</f>
        <v>Sanctions response</v>
      </c>
      <c r="E60" s="6" t="str">
        <f aca="false">INDEX('Event Log'!$F$2:$F$271,MATCH(A60,'Event Log'!$A$2:$A$271,0))</f>
        <v>Trump signs an executive order sanctioning Supreme Leader Khamenei and his office</v>
      </c>
      <c r="F60" s="6" t="s">
        <v>1201</v>
      </c>
      <c r="G60" s="11" t="s">
        <v>1194</v>
      </c>
      <c r="H60" s="6" t="s">
        <v>1346</v>
      </c>
      <c r="I60" s="6" t="s">
        <v>1295</v>
      </c>
    </row>
    <row r="61" customFormat="false" ht="46.25" hidden="false" customHeight="false" outlineLevel="0" collapsed="false">
      <c r="A61" s="6" t="n">
        <v>208</v>
      </c>
      <c r="B61" s="7" t="n">
        <f aca="false">INDEX('Event Log'!$B$2:$B$271,MATCH(A61,'Event Log'!$A$2:$A$271,0))</f>
        <v>43677</v>
      </c>
      <c r="C61" s="6" t="str">
        <f aca="false">INDEX('Event Log'!$C$2:$C$271,MATCH(A61,'Event Log'!$A$2:$A$271,0))</f>
        <v>US</v>
      </c>
      <c r="D61" s="6" t="str">
        <f aca="false">INDEX('Event Log'!$D$2:$D$271,MATCH(A61,'Event Log'!$A$2:$A$271,0))</f>
        <v>Sanctions response</v>
      </c>
      <c r="E61" s="6" t="str">
        <f aca="false">INDEX('Event Log'!$F$2:$F$271,MATCH(A61,'Event Log'!$A$2:$A$271,0))</f>
        <v>Treasury sanctions Foreign Minister Javad Zarif</v>
      </c>
      <c r="F61" s="6" t="s">
        <v>1201</v>
      </c>
      <c r="G61" s="11" t="s">
        <v>1194</v>
      </c>
      <c r="H61" s="6" t="s">
        <v>1347</v>
      </c>
      <c r="I61" s="6" t="s">
        <v>1295</v>
      </c>
    </row>
    <row r="62" customFormat="false" ht="23.85" hidden="false" customHeight="false" outlineLevel="0" collapsed="false">
      <c r="A62" s="6" t="n">
        <v>210</v>
      </c>
      <c r="B62" s="7" t="n">
        <f aca="false">INDEX('Event Log'!$B$2:$B$271,MATCH(A62,'Event Log'!$A$2:$A$271,0))</f>
        <v>43728</v>
      </c>
      <c r="C62" s="6" t="str">
        <f aca="false">INDEX('Event Log'!$C$2:$C$271,MATCH(A62,'Event Log'!$A$2:$A$271,0))</f>
        <v>US</v>
      </c>
      <c r="D62" s="6" t="str">
        <f aca="false">INDEX('Event Log'!$D$2:$D$271,MATCH(A62,'Event Log'!$A$2:$A$271,0))</f>
        <v>Sanctions response</v>
      </c>
      <c r="E62" s="6" t="str">
        <f aca="false">INDEX('Event Log'!$F$2:$F$271,MATCH(A62,'Event Log'!$A$2:$A$271,0))</f>
        <v>Treasury sanctions Iran's central bank and national development fund after the Saudi oil attack</v>
      </c>
      <c r="F62" s="6" t="s">
        <v>1201</v>
      </c>
      <c r="G62" s="11" t="s">
        <v>1194</v>
      </c>
      <c r="H62" s="6" t="s">
        <v>1348</v>
      </c>
      <c r="I62" s="6" t="s">
        <v>1295</v>
      </c>
    </row>
    <row r="63" customFormat="false" ht="23.85" hidden="false" customHeight="false" outlineLevel="0" collapsed="false">
      <c r="A63" s="6" t="n">
        <v>213</v>
      </c>
      <c r="B63" s="7" t="n">
        <f aca="false">INDEX('Event Log'!$B$2:$B$271,MATCH(A63,'Event Log'!$A$2:$A$271,0))</f>
        <v>43828</v>
      </c>
      <c r="C63" s="6" t="str">
        <f aca="false">INDEX('Event Log'!$C$2:$C$271,MATCH(A63,'Event Log'!$A$2:$A$271,0))</f>
        <v>US</v>
      </c>
      <c r="D63" s="6" t="str">
        <f aca="false">INDEX('Event Log'!$D$2:$D$271,MATCH(A63,'Event Log'!$A$2:$A$271,0))</f>
        <v>Strike (militia sites)</v>
      </c>
      <c r="E63" s="6" t="str">
        <f aca="false">INDEX('Event Log'!$F$2:$F$271,MATCH(A63,'Event Log'!$A$2:$A$271,0))</f>
        <v>US strikes five Kataib Hezbollah sites in Iraq and Syria in retaliation for the K-1 attack</v>
      </c>
      <c r="F63" s="6" t="s">
        <v>1190</v>
      </c>
      <c r="G63" s="10" t="s">
        <v>1349</v>
      </c>
      <c r="H63" s="6" t="s">
        <v>1350</v>
      </c>
      <c r="I63" s="6" t="s">
        <v>1351</v>
      </c>
    </row>
    <row r="64" customFormat="false" ht="35.05" hidden="false" customHeight="false" outlineLevel="0" collapsed="false">
      <c r="A64" s="6" t="n">
        <v>215</v>
      </c>
      <c r="B64" s="7" t="n">
        <f aca="false">INDEX('Event Log'!$B$2:$B$271,MATCH(A64,'Event Log'!$A$2:$A$271,0))</f>
        <v>43833</v>
      </c>
      <c r="C64" s="6" t="str">
        <f aca="false">INDEX('Event Log'!$C$2:$C$271,MATCH(A64,'Event Log'!$A$2:$A$271,0))</f>
        <v>US</v>
      </c>
      <c r="D64" s="6" t="str">
        <f aca="false">INDEX('Event Log'!$D$2:$D$271,MATCH(A64,'Event Log'!$A$2:$A$271,0))</f>
        <v>Assassination strike</v>
      </c>
      <c r="E64" s="6" t="str">
        <f aca="false">INDEX('Event Log'!$F$2:$F$271,MATCH(A64,'Event Log'!$A$2:$A$271,0))</f>
        <v>US drone strike at Baghdad airport kills IRGC Quds Force commander Qassem Soleimani and militia leader Abu Mahdi al-Muhandis</v>
      </c>
      <c r="F64" s="6" t="s">
        <v>1190</v>
      </c>
      <c r="G64" s="8" t="s">
        <v>1279</v>
      </c>
      <c r="H64" s="6" t="s">
        <v>1352</v>
      </c>
      <c r="I64" s="6" t="s">
        <v>1353</v>
      </c>
    </row>
    <row r="65" customFormat="false" ht="23.85" hidden="false" customHeight="false" outlineLevel="0" collapsed="false">
      <c r="A65" s="6" t="n">
        <v>217</v>
      </c>
      <c r="B65" s="7" t="n">
        <f aca="false">INDEX('Event Log'!$B$2:$B$271,MATCH(A65,'Event Log'!$A$2:$A$271,0))</f>
        <v>43840</v>
      </c>
      <c r="C65" s="6" t="str">
        <f aca="false">INDEX('Event Log'!$C$2:$C$271,MATCH(A65,'Event Log'!$A$2:$A$271,0))</f>
        <v>US</v>
      </c>
      <c r="D65" s="6" t="str">
        <f aca="false">INDEX('Event Log'!$D$2:$D$271,MATCH(A65,'Event Log'!$A$2:$A$271,0))</f>
        <v>Sanctions response</v>
      </c>
      <c r="E65" s="6" t="str">
        <f aca="false">INDEX('Event Log'!$F$2:$F$271,MATCH(A65,'Event Log'!$A$2:$A$271,0))</f>
        <v>Treasury sanctions Iran's steel and metals sectors and senior officials after the missile attack</v>
      </c>
      <c r="F65" s="6" t="s">
        <v>1201</v>
      </c>
      <c r="G65" s="11" t="s">
        <v>1194</v>
      </c>
      <c r="H65" s="6" t="s">
        <v>1354</v>
      </c>
      <c r="I65" s="6" t="s">
        <v>1295</v>
      </c>
    </row>
    <row r="66" customFormat="false" ht="23.85" hidden="false" customHeight="false" outlineLevel="0" collapsed="false">
      <c r="A66" s="6" t="n">
        <v>219</v>
      </c>
      <c r="B66" s="7" t="n">
        <f aca="false">INDEX('Event Log'!$B$2:$B$271,MATCH(A66,'Event Log'!$A$2:$A$271,0))</f>
        <v>43902</v>
      </c>
      <c r="C66" s="6" t="str">
        <f aca="false">INDEX('Event Log'!$C$2:$C$271,MATCH(A66,'Event Log'!$A$2:$A$271,0))</f>
        <v>US</v>
      </c>
      <c r="D66" s="6" t="str">
        <f aca="false">INDEX('Event Log'!$D$2:$D$271,MATCH(A66,'Event Log'!$A$2:$A$271,0))</f>
        <v>Strike (militia weapons sites)</v>
      </c>
      <c r="E66" s="6" t="str">
        <f aca="false">INDEX('Event Log'!$F$2:$F$271,MATCH(A66,'Event Log'!$A$2:$A$271,0))</f>
        <v>US strikes Kataib Hezbollah weapons storage sites in Iraq after the Taji attack</v>
      </c>
      <c r="F66" s="6" t="s">
        <v>1193</v>
      </c>
      <c r="G66" s="10" t="s">
        <v>1349</v>
      </c>
      <c r="H66" s="6" t="s">
        <v>1355</v>
      </c>
      <c r="I66" s="6" t="s">
        <v>1356</v>
      </c>
    </row>
    <row r="67" customFormat="false" ht="23.85" hidden="false" customHeight="false" outlineLevel="0" collapsed="false">
      <c r="A67" s="6" t="n">
        <v>221</v>
      </c>
      <c r="B67" s="7" t="n">
        <f aca="false">INDEX('Event Log'!$B$2:$B$271,MATCH(A67,'Event Log'!$A$2:$A$271,0))</f>
        <v>44057</v>
      </c>
      <c r="C67" s="6" t="str">
        <f aca="false">INDEX('Event Log'!$C$2:$C$271,MATCH(A67,'Event Log'!$A$2:$A$271,0))</f>
        <v>US</v>
      </c>
      <c r="D67" s="6" t="str">
        <f aca="false">INDEX('Event Log'!$D$2:$D$271,MATCH(A67,'Event Log'!$A$2:$A$271,0))</f>
        <v>Seizure (fuel cargoes)</v>
      </c>
      <c r="E67" s="6" t="str">
        <f aca="false">INDEX('Event Log'!$F$2:$F$271,MATCH(A67,'Event Log'!$A$2:$A$271,0))</f>
        <v>US seizes four Iranian fuel cargoes bound for Venezuela</v>
      </c>
      <c r="F67" s="6" t="s">
        <v>1201</v>
      </c>
      <c r="G67" s="11" t="s">
        <v>1194</v>
      </c>
      <c r="H67" s="6" t="s">
        <v>1357</v>
      </c>
      <c r="I67" s="6" t="s">
        <v>1295</v>
      </c>
    </row>
    <row r="68" customFormat="false" ht="35.05" hidden="false" customHeight="false" outlineLevel="0" collapsed="false">
      <c r="A68" s="6" t="n">
        <v>222</v>
      </c>
      <c r="B68" s="7" t="n">
        <f aca="false">INDEX('Event Log'!$B$2:$B$271,MATCH(A68,'Event Log'!$A$2:$A$271,0))</f>
        <v>44252</v>
      </c>
      <c r="C68" s="6" t="str">
        <f aca="false">INDEX('Event Log'!$C$2:$C$271,MATCH(A68,'Event Log'!$A$2:$A$271,0))</f>
        <v>US</v>
      </c>
      <c r="D68" s="6" t="str">
        <f aca="false">INDEX('Event Log'!$D$2:$D$271,MATCH(A68,'Event Log'!$A$2:$A$271,0))</f>
        <v>Strike (militia facilities)</v>
      </c>
      <c r="E68" s="6" t="str">
        <f aca="false">INDEX('Event Log'!$F$2:$F$271,MATCH(A68,'Event Log'!$A$2:$A$271,0))</f>
        <v>First strikes under Biden hit facilities used by Iran-backed militias at a Syria-Iraq border crossing, after a rocket attack in Erbil</v>
      </c>
      <c r="F68" s="6" t="s">
        <v>1193</v>
      </c>
      <c r="G68" s="11" t="s">
        <v>1194</v>
      </c>
      <c r="H68" s="6" t="s">
        <v>1358</v>
      </c>
      <c r="I68" s="6" t="s">
        <v>1295</v>
      </c>
    </row>
    <row r="69" customFormat="false" ht="23.85" hidden="false" customHeight="false" outlineLevel="0" collapsed="false">
      <c r="A69" s="6" t="n">
        <v>223</v>
      </c>
      <c r="B69" s="7" t="n">
        <f aca="false">INDEX('Event Log'!$B$2:$B$271,MATCH(A69,'Event Log'!$A$2:$A$271,0))</f>
        <v>44374</v>
      </c>
      <c r="C69" s="6" t="str">
        <f aca="false">INDEX('Event Log'!$C$2:$C$271,MATCH(A69,'Event Log'!$A$2:$A$271,0))</f>
        <v>US</v>
      </c>
      <c r="D69" s="6" t="str">
        <f aca="false">INDEX('Event Log'!$D$2:$D$271,MATCH(A69,'Event Log'!$A$2:$A$271,0))</f>
        <v>Strike (militia facilities)</v>
      </c>
      <c r="E69" s="6" t="str">
        <f aca="false">INDEX('Event Log'!$F$2:$F$271,MATCH(A69,'Event Log'!$A$2:$A$271,0))</f>
        <v>US strikes facilities used by Iran-backed militias near the Iraq-Syria border</v>
      </c>
      <c r="F69" s="6" t="s">
        <v>1193</v>
      </c>
      <c r="G69" s="10" t="s">
        <v>1349</v>
      </c>
      <c r="H69" s="6" t="s">
        <v>1359</v>
      </c>
      <c r="I69" s="6" t="s">
        <v>1360</v>
      </c>
    </row>
    <row r="70" customFormat="false" ht="23.85" hidden="false" customHeight="false" outlineLevel="0" collapsed="false">
      <c r="A70" s="6" t="n">
        <v>225</v>
      </c>
      <c r="B70" s="7" t="n">
        <f aca="false">INDEX('Event Log'!$B$2:$B$271,MATCH(A70,'Event Log'!$A$2:$A$271,0))</f>
        <v>44797</v>
      </c>
      <c r="C70" s="6" t="str">
        <f aca="false">INDEX('Event Log'!$C$2:$C$271,MATCH(A70,'Event Log'!$A$2:$A$271,0))</f>
        <v>US</v>
      </c>
      <c r="D70" s="6" t="str">
        <f aca="false">INDEX('Event Log'!$D$2:$D$271,MATCH(A70,'Event Log'!$A$2:$A$271,0))</f>
        <v>Strike (militia bunkers)</v>
      </c>
      <c r="E70" s="6" t="str">
        <f aca="false">INDEX('Event Log'!$F$2:$F$271,MATCH(A70,'Event Log'!$A$2:$A$271,0))</f>
        <v>US strikes bunkers in Deir ez-Zor used by militias backed by the IRGC; the US later says 4 militia members were killed</v>
      </c>
      <c r="F70" s="6" t="s">
        <v>1193</v>
      </c>
      <c r="G70" s="10" t="s">
        <v>1349</v>
      </c>
      <c r="H70" s="6" t="s">
        <v>1361</v>
      </c>
      <c r="I70" s="6" t="s">
        <v>1362</v>
      </c>
    </row>
    <row r="71" customFormat="false" ht="23.85" hidden="false" customHeight="false" outlineLevel="0" collapsed="false">
      <c r="A71" s="6" t="n">
        <v>228</v>
      </c>
      <c r="B71" s="7" t="n">
        <f aca="false">INDEX('Event Log'!$B$2:$B$271,MATCH(A71,'Event Log'!$A$2:$A$271,0))</f>
        <v>45008</v>
      </c>
      <c r="C71" s="6" t="str">
        <f aca="false">INDEX('Event Log'!$C$2:$C$271,MATCH(A71,'Event Log'!$A$2:$A$271,0))</f>
        <v>US</v>
      </c>
      <c r="D71" s="6" t="str">
        <f aca="false">INDEX('Event Log'!$D$2:$D$271,MATCH(A71,'Event Log'!$A$2:$A$271,0))</f>
        <v>Strike (IRGC-affiliated facilities)</v>
      </c>
      <c r="E71" s="6" t="str">
        <f aca="false">INDEX('Event Log'!$F$2:$F$271,MATCH(A71,'Event Log'!$A$2:$A$271,0))</f>
        <v>US F-15s strike facilities in eastern Syria used by groups affiliated with the IRGC</v>
      </c>
      <c r="F71" s="6" t="s">
        <v>1193</v>
      </c>
      <c r="G71" s="10" t="s">
        <v>1349</v>
      </c>
      <c r="H71" s="6" t="s">
        <v>1363</v>
      </c>
      <c r="I71" s="6" t="s">
        <v>1364</v>
      </c>
    </row>
    <row r="72" customFormat="false" ht="35.05" hidden="false" customHeight="false" outlineLevel="0" collapsed="false">
      <c r="A72" s="6" t="n">
        <v>240</v>
      </c>
      <c r="B72" s="7" t="n">
        <f aca="false">INDEX('Event Log'!$B$2:$B$271,MATCH(A72,'Event Log'!$A$2:$A$271,0))</f>
        <v>45324</v>
      </c>
      <c r="C72" s="6" t="str">
        <f aca="false">INDEX('Event Log'!$C$2:$C$271,MATCH(A72,'Event Log'!$A$2:$A$271,0))</f>
        <v>US</v>
      </c>
      <c r="D72" s="6" t="str">
        <f aca="false">INDEX('Event Log'!$D$2:$D$271,MATCH(A72,'Event Log'!$A$2:$A$271,0))</f>
        <v>Strike (IRGC Quds Force and militia sites)</v>
      </c>
      <c r="E72" s="6" t="str">
        <f aca="false">INDEX('Event Log'!$F$2:$F$271,MATCH(A72,'Event Log'!$A$2:$A$271,0))</f>
        <v>US strikes more than 85 targets in Iraq and Syria linked to the IRGC Quds Force and affiliated militias, in retaliation for Tower 22</v>
      </c>
      <c r="F72" s="6" t="s">
        <v>1193</v>
      </c>
      <c r="G72" s="10" t="s">
        <v>1349</v>
      </c>
      <c r="H72" s="6" t="s">
        <v>1365</v>
      </c>
      <c r="I72" s="6" t="s">
        <v>1366</v>
      </c>
    </row>
    <row r="73" customFormat="false" ht="23.85" hidden="false" customHeight="false" outlineLevel="0" collapsed="false">
      <c r="A73" s="6" t="n">
        <v>242</v>
      </c>
      <c r="B73" s="7" t="n">
        <f aca="false">INDEX('Event Log'!$B$2:$B$271,MATCH(A73,'Event Log'!$A$2:$A$271,0))</f>
        <v>45329</v>
      </c>
      <c r="C73" s="6" t="str">
        <f aca="false">INDEX('Event Log'!$C$2:$C$271,MATCH(A73,'Event Log'!$A$2:$A$271,0))</f>
        <v>US</v>
      </c>
      <c r="D73" s="6" t="str">
        <f aca="false">INDEX('Event Log'!$D$2:$D$271,MATCH(A73,'Event Log'!$A$2:$A$271,0))</f>
        <v>Assassination strike</v>
      </c>
      <c r="E73" s="6" t="str">
        <f aca="false">INDEX('Event Log'!$F$2:$F$271,MATCH(A73,'Event Log'!$A$2:$A$271,0))</f>
        <v>US drone strike in Baghdad kills a senior Kataib Hezbollah commander</v>
      </c>
      <c r="F73" s="6" t="s">
        <v>1190</v>
      </c>
      <c r="G73" s="11" t="s">
        <v>1194</v>
      </c>
      <c r="H73" s="6" t="s">
        <v>1367</v>
      </c>
      <c r="I73" s="6" t="s">
        <v>1295</v>
      </c>
    </row>
    <row r="74" customFormat="false" ht="23.85" hidden="false" customHeight="false" outlineLevel="0" collapsed="false">
      <c r="A74" s="6" t="n">
        <v>244</v>
      </c>
      <c r="B74" s="7" t="n">
        <f aca="false">INDEX('Event Log'!$B$2:$B$271,MATCH(A74,'Event Log'!$A$2:$A$271,0))</f>
        <v>45400</v>
      </c>
      <c r="C74" s="6" t="str">
        <f aca="false">INDEX('Event Log'!$C$2:$C$271,MATCH(A74,'Event Log'!$A$2:$A$271,0))</f>
        <v>US</v>
      </c>
      <c r="D74" s="6" t="str">
        <f aca="false">INDEX('Event Log'!$D$2:$D$271,MATCH(A74,'Event Log'!$A$2:$A$271,0))</f>
        <v>Sanctions response</v>
      </c>
      <c r="E74" s="6" t="str">
        <f aca="false">INDEX('Event Log'!$F$2:$F$271,MATCH(A74,'Event Log'!$A$2:$A$271,0))</f>
        <v>US and UK sanction Iran's drone program after the attack on Israel</v>
      </c>
      <c r="F74" s="6" t="s">
        <v>1201</v>
      </c>
      <c r="G74" s="11" t="s">
        <v>1194</v>
      </c>
      <c r="H74" s="6" t="s">
        <v>1368</v>
      </c>
      <c r="I74" s="6" t="s">
        <v>1295</v>
      </c>
    </row>
    <row r="75" customFormat="false" ht="23.85" hidden="false" customHeight="false" outlineLevel="0" collapsed="false">
      <c r="A75" s="6" t="n">
        <v>247</v>
      </c>
      <c r="B75" s="7" t="n">
        <f aca="false">INDEX('Event Log'!$B$2:$B$271,MATCH(A75,'Event Log'!$A$2:$A$271,0))</f>
        <v>45692</v>
      </c>
      <c r="C75" s="6" t="str">
        <f aca="false">INDEX('Event Log'!$C$2:$C$271,MATCH(A75,'Event Log'!$A$2:$A$271,0))</f>
        <v>US</v>
      </c>
      <c r="D75" s="6" t="str">
        <f aca="false">INDEX('Event Log'!$D$2:$D$271,MATCH(A75,'Event Log'!$A$2:$A$271,0))</f>
        <v>Sanctions response (maximum pressure)</v>
      </c>
      <c r="E75" s="6" t="str">
        <f aca="false">INDEX('Event Log'!$F$2:$F$271,MATCH(A75,'Event Log'!$A$2:$A$271,0))</f>
        <v>Trump signs a memorandum restoring 'maximum pressure' on Iran, aiming to drive its oil exports to zero</v>
      </c>
      <c r="F75" s="6" t="s">
        <v>1201</v>
      </c>
      <c r="G75" s="11" t="s">
        <v>1194</v>
      </c>
      <c r="H75" s="6" t="s">
        <v>1369</v>
      </c>
      <c r="I75" s="6" t="s">
        <v>1295</v>
      </c>
    </row>
    <row r="76" customFormat="false" ht="23.85" hidden="false" customHeight="false" outlineLevel="0" collapsed="false">
      <c r="A76" s="6" t="n">
        <v>255</v>
      </c>
      <c r="B76" s="7" t="n">
        <f aca="false">INDEX('Event Log'!$B$2:$B$271,MATCH(A76,'Event Log'!$A$2:$A$271,0))</f>
        <v>45830</v>
      </c>
      <c r="C76" s="6" t="str">
        <f aca="false">INDEX('Event Log'!$C$2:$C$271,MATCH(A76,'Event Log'!$A$2:$A$271,0))</f>
        <v>US</v>
      </c>
      <c r="D76" s="6" t="str">
        <f aca="false">INDEX('Event Log'!$D$2:$D$271,MATCH(A76,'Event Log'!$A$2:$A$271,0))</f>
        <v>Strike (nuclear sites)</v>
      </c>
      <c r="E76" s="6" t="str">
        <f aca="false">INDEX('Event Log'!$F$2:$F$271,MATCH(A76,'Event Log'!$A$2:$A$271,0))</f>
        <v>Operation Midnight Hammer: US bombers and missiles strike Iran's Fordow, Natanz and Isfahan nuclear sites</v>
      </c>
      <c r="F76" s="6" t="s">
        <v>1193</v>
      </c>
      <c r="G76" s="8" t="s">
        <v>1279</v>
      </c>
      <c r="H76" s="6" t="s">
        <v>1370</v>
      </c>
      <c r="I76" s="6" t="s">
        <v>1371</v>
      </c>
    </row>
    <row r="77" customFormat="false" ht="23.85" hidden="false" customHeight="false" outlineLevel="0" collapsed="false">
      <c r="A77" s="6" t="n">
        <v>258</v>
      </c>
      <c r="B77" s="7" t="n">
        <f aca="false">INDEX('Event Log'!$B$2:$B$271,MATCH(A77,'Event Log'!$A$2:$A$271,0))</f>
        <v>45868</v>
      </c>
      <c r="C77" s="6" t="str">
        <f aca="false">INDEX('Event Log'!$C$2:$C$271,MATCH(A77,'Event Log'!$A$2:$A$271,0))</f>
        <v>US</v>
      </c>
      <c r="D77" s="6" t="str">
        <f aca="false">INDEX('Event Log'!$D$2:$D$271,MATCH(A77,'Event Log'!$A$2:$A$271,0))</f>
        <v>Sanctions response</v>
      </c>
      <c r="E77" s="6" t="str">
        <f aca="false">INDEX('Event Log'!$F$2:$F$271,MATCH(A77,'Event Log'!$A$2:$A$271,0))</f>
        <v>Largest US sanctions on Iran since 2018 target a shipping network linked to the son of senior official Ali Shamkhani</v>
      </c>
      <c r="F77" s="6" t="s">
        <v>1201</v>
      </c>
      <c r="G77" s="11" t="s">
        <v>1194</v>
      </c>
      <c r="H77" s="6" t="s">
        <v>1372</v>
      </c>
      <c r="I77" s="6" t="s">
        <v>1295</v>
      </c>
    </row>
    <row r="78" customFormat="false" ht="57.45" hidden="false" customHeight="false" outlineLevel="0" collapsed="false">
      <c r="A78" s="6" t="n">
        <v>264</v>
      </c>
      <c r="B78" s="7" t="n">
        <f aca="false">INDEX('Event Log'!$B$2:$B$271,MATCH(A78,'Event Log'!$A$2:$A$271,0))</f>
        <v>43874</v>
      </c>
      <c r="C78" s="6" t="str">
        <f aca="false">INDEX('Event Log'!$C$2:$C$271,MATCH(A78,'Event Log'!$A$2:$A$271,0))</f>
        <v>US</v>
      </c>
      <c r="D78" s="6" t="str">
        <f aca="false">INDEX('Event Log'!$D$2:$D$271,MATCH(A78,'Event Log'!$A$2:$A$271,0))</f>
        <v>Seizure (weapons shipment)</v>
      </c>
      <c r="E78" s="6" t="str">
        <f aca="false">INDEX('Event Log'!$F$2:$F$271,MATCH(A78,'Event Log'!$A$2:$A$271,0))</f>
        <v>USS Normandy's boarding team seizes 150 Iranian-made Dehlavieh anti-tank missiles, 3 Iranian-made surface-to-air missiles and other parts from a dhow (seized Feb 9, announced Feb 13; logged on the announcement date)</v>
      </c>
      <c r="F78" s="6" t="s">
        <v>1201</v>
      </c>
      <c r="G78" s="11" t="s">
        <v>1194</v>
      </c>
      <c r="H78" s="6" t="s">
        <v>1373</v>
      </c>
      <c r="I78" s="6" t="s">
        <v>1295</v>
      </c>
    </row>
    <row r="79" customFormat="false" ht="57.45" hidden="false" customHeight="false" outlineLevel="0" collapsed="false">
      <c r="A79" s="6" t="n">
        <v>265</v>
      </c>
      <c r="B79" s="7" t="n">
        <f aca="false">INDEX('Event Log'!$B$2:$B$271,MATCH(A79,'Event Log'!$A$2:$A$271,0))</f>
        <v>44936</v>
      </c>
      <c r="C79" s="6" t="str">
        <f aca="false">INDEX('Event Log'!$C$2:$C$271,MATCH(A79,'Event Log'!$A$2:$A$271,0))</f>
        <v>US</v>
      </c>
      <c r="D79" s="6" t="str">
        <f aca="false">INDEX('Event Log'!$D$2:$D$271,MATCH(A79,'Event Log'!$A$2:$A$271,0))</f>
        <v>Seizure (weapons shipment)</v>
      </c>
      <c r="E79" s="6" t="str">
        <f aca="false">INDEX('Event Log'!$F$2:$F$271,MATCH(A79,'Event Log'!$A$2:$A$271,0))</f>
        <v>US Navy patrol ships intercept a fishing vessel carrying 2,116 AK-47s on a route from Iran to Yemen (seized Jan 6, announced Jan 10; logged on the announcement date)</v>
      </c>
      <c r="F79" s="6" t="s">
        <v>1201</v>
      </c>
      <c r="G79" s="11" t="s">
        <v>1194</v>
      </c>
      <c r="H79" s="6" t="s">
        <v>1374</v>
      </c>
      <c r="I79" s="6" t="s">
        <v>1295</v>
      </c>
    </row>
    <row r="80" customFormat="false" ht="23.85" hidden="false" customHeight="false" outlineLevel="0" collapsed="false">
      <c r="A80" s="6" t="n">
        <v>301</v>
      </c>
      <c r="B80" s="7" t="n">
        <f aca="false">INDEX('Event Log'!$B$2:$B$271,MATCH(A80,'Event Log'!$A$2:$A$271,0))</f>
        <v>29171</v>
      </c>
      <c r="C80" s="6" t="str">
        <f aca="false">INDEX('Event Log'!$C$2:$C$271,MATCH(A80,'Event Log'!$A$2:$A$271,0))</f>
        <v>US</v>
      </c>
      <c r="D80" s="6" t="str">
        <f aca="false">INDEX('Event Log'!$D$2:$D$271,MATCH(A80,'Event Log'!$A$2:$A$271,0))</f>
        <v>Sanctions (ban on Iranian oil imports)</v>
      </c>
      <c r="E80" s="6" t="str">
        <f aca="false">INDEX('Event Log'!$F$2:$F$271,MATCH(A80,'Event Log'!$A$2:$A$271,0))</f>
        <v>Carter halts all US purchases of Iranian oil, about 700,000 barrels a day or nearly 10 percent of US imports</v>
      </c>
      <c r="F80" s="6" t="s">
        <v>1201</v>
      </c>
      <c r="G80" s="11" t="s">
        <v>1194</v>
      </c>
      <c r="H80" s="6" t="s">
        <v>1375</v>
      </c>
      <c r="I80" s="6" t="s">
        <v>1295</v>
      </c>
    </row>
    <row r="81" customFormat="false" ht="35.05" hidden="false" customHeight="false" outlineLevel="0" collapsed="false">
      <c r="A81" s="6" t="n">
        <v>302</v>
      </c>
      <c r="B81" s="7" t="n">
        <f aca="false">INDEX('Event Log'!$B$2:$B$271,MATCH(A81,'Event Log'!$A$2:$A$271,0))</f>
        <v>29173</v>
      </c>
      <c r="C81" s="6" t="str">
        <f aca="false">INDEX('Event Log'!$C$2:$C$271,MATCH(A81,'Event Log'!$A$2:$A$271,0))</f>
        <v>US</v>
      </c>
      <c r="D81" s="6" t="str">
        <f aca="false">INDEX('Event Log'!$D$2:$D$271,MATCH(A81,'Event Log'!$A$2:$A$271,0))</f>
        <v>Sanctions (freeze of Iranian government assets)</v>
      </c>
      <c r="E81" s="6" t="str">
        <f aca="false">INDEX('Event Log'!$F$2:$F$271,MATCH(A81,'Event Log'!$A$2:$A$271,0))</f>
        <v>Carter signs an order freezing Iranian government assets in the US; transfers now need Treasury approval</v>
      </c>
      <c r="F81" s="6" t="s">
        <v>1201</v>
      </c>
      <c r="G81" s="11" t="s">
        <v>1194</v>
      </c>
      <c r="H81" s="6" t="s">
        <v>1376</v>
      </c>
      <c r="I81" s="6" t="s">
        <v>1295</v>
      </c>
    </row>
    <row r="82" customFormat="false" ht="23.85" hidden="false" customHeight="false" outlineLevel="0" collapsed="false">
      <c r="A82" s="6" t="n">
        <v>303</v>
      </c>
      <c r="B82" s="7" t="n">
        <f aca="false">INDEX('Event Log'!$B$2:$B$271,MATCH(A82,'Event Log'!$A$2:$A$271,0))</f>
        <v>29318</v>
      </c>
      <c r="C82" s="6" t="str">
        <f aca="false">INDEX('Event Log'!$C$2:$C$271,MATCH(A82,'Event Log'!$A$2:$A$271,0))</f>
        <v>US</v>
      </c>
      <c r="D82" s="6" t="str">
        <f aca="false">INDEX('Event Log'!$D$2:$D$271,MATCH(A82,'Event Log'!$A$2:$A$271,0))</f>
        <v>Sanctions (export ban and break in relations)</v>
      </c>
      <c r="E82" s="6" t="str">
        <f aca="false">INDEX('Event Log'!$F$2:$F$271,MATCH(A82,'Event Log'!$A$2:$A$271,0))</f>
        <v>Carter announces the US is breaking diplomatic relations with Iran and orders a ban on US exports to Iran</v>
      </c>
      <c r="F82" s="6" t="s">
        <v>1201</v>
      </c>
      <c r="G82" s="11" t="s">
        <v>1194</v>
      </c>
      <c r="H82" s="6" t="s">
        <v>1377</v>
      </c>
      <c r="I82" s="6" t="s">
        <v>1295</v>
      </c>
    </row>
    <row r="83" customFormat="false" ht="35.05" hidden="false" customHeight="false" outlineLevel="0" collapsed="false">
      <c r="A83" s="6" t="n">
        <v>326</v>
      </c>
      <c r="B83" s="7" t="n">
        <f aca="false">INDEX('Event Log'!$B$2:$B$271,MATCH(A83,'Event Log'!$A$2:$A$271,0))</f>
        <v>34773</v>
      </c>
      <c r="C83" s="6" t="str">
        <f aca="false">INDEX('Event Log'!$C$2:$C$271,MATCH(A83,'Event Log'!$A$2:$A$271,0))</f>
        <v>US</v>
      </c>
      <c r="D83" s="6" t="str">
        <f aca="false">INDEX('Event Log'!$D$2:$D$271,MATCH(A83,'Event Log'!$A$2:$A$271,0))</f>
        <v>Sanctions (Executive Order 12957, oil development)</v>
      </c>
      <c r="E83" s="6" t="str">
        <f aca="false">INDEX('Event Log'!$F$2:$F$271,MATCH(A83,'Event Log'!$A$2:$A$271,0))</f>
        <v>Clinton bars US firms from financing or managing Iranian oil development</v>
      </c>
      <c r="F83" s="6" t="s">
        <v>1201</v>
      </c>
      <c r="G83" s="11" t="s">
        <v>1194</v>
      </c>
      <c r="H83" s="6" t="s">
        <v>1378</v>
      </c>
      <c r="I83" s="6" t="s">
        <v>1295</v>
      </c>
    </row>
    <row r="84" customFormat="false" ht="35.05" hidden="false" customHeight="false" outlineLevel="0" collapsed="false">
      <c r="A84" s="6" t="n">
        <v>327</v>
      </c>
      <c r="B84" s="7" t="n">
        <f aca="false">INDEX('Event Log'!$B$2:$B$271,MATCH(A84,'Event Log'!$A$2:$A$271,0))</f>
        <v>34825</v>
      </c>
      <c r="C84" s="6" t="str">
        <f aca="false">INDEX('Event Log'!$C$2:$C$271,MATCH(A84,'Event Log'!$A$2:$A$271,0))</f>
        <v>US</v>
      </c>
      <c r="D84" s="6" t="str">
        <f aca="false">INDEX('Event Log'!$D$2:$D$271,MATCH(A84,'Event Log'!$A$2:$A$271,0))</f>
        <v>Sanctions (Executive Order 12959, trade and investment ban)</v>
      </c>
      <c r="E84" s="6" t="str">
        <f aca="false">INDEX('Event Log'!$F$2:$F$271,MATCH(A84,'Event Log'!$A$2:$A$271,0))</f>
        <v>Clinton bans most trade and new US investment with Iran</v>
      </c>
      <c r="F84" s="6" t="s">
        <v>1201</v>
      </c>
      <c r="G84" s="11" t="s">
        <v>1194</v>
      </c>
      <c r="H84" s="6" t="s">
        <v>1379</v>
      </c>
      <c r="I84" s="6" t="s">
        <v>1295</v>
      </c>
    </row>
    <row r="85" customFormat="false" ht="23.85" hidden="false" customHeight="false" outlineLevel="0" collapsed="false">
      <c r="A85" s="6" t="n">
        <v>329</v>
      </c>
      <c r="B85" s="7" t="n">
        <f aca="false">INDEX('Event Log'!$B$2:$B$271,MATCH(A85,'Event Log'!$A$2:$A$271,0))</f>
        <v>35282</v>
      </c>
      <c r="C85" s="6" t="str">
        <f aca="false">INDEX('Event Log'!$C$2:$C$271,MATCH(A85,'Event Log'!$A$2:$A$271,0))</f>
        <v>US</v>
      </c>
      <c r="D85" s="6" t="str">
        <f aca="false">INDEX('Event Log'!$D$2:$D$271,MATCH(A85,'Event Log'!$A$2:$A$271,0))</f>
        <v>Sanctions (Iran and Libya Sanctions Act signed)</v>
      </c>
      <c r="E85" s="6" t="str">
        <f aca="false">INDEX('Event Log'!$F$2:$F$271,MATCH(A85,'Event Log'!$A$2:$A$271,0))</f>
        <v>Clinton signs the act to cut off funds Iran and Libya use for terrorism and weapons of mass destruction</v>
      </c>
      <c r="F85" s="6" t="s">
        <v>1201</v>
      </c>
      <c r="G85" s="11" t="s">
        <v>1194</v>
      </c>
      <c r="H85" s="6" t="s">
        <v>1380</v>
      </c>
      <c r="I85" s="6" t="s">
        <v>1295</v>
      </c>
    </row>
    <row r="86" customFormat="false" ht="35.05" hidden="false" customHeight="false" outlineLevel="0" collapsed="false">
      <c r="A86" s="6" t="n">
        <v>340</v>
      </c>
      <c r="B86" s="7" t="n">
        <f aca="false">INDEX('Event Log'!$B$2:$B$271,MATCH(A86,'Event Log'!$A$2:$A$271,0))</f>
        <v>39129</v>
      </c>
      <c r="C86" s="6" t="str">
        <f aca="false">INDEX('Event Log'!$C$2:$C$271,MATCH(A86,'Event Log'!$A$2:$A$271,0))</f>
        <v>US</v>
      </c>
      <c r="D86" s="6" t="str">
        <f aca="false">INDEX('Event Log'!$D$2:$D$271,MATCH(A86,'Event Log'!$A$2:$A$271,0))</f>
        <v>Sanctions (Treasury targets three nuclear companies)</v>
      </c>
      <c r="E86" s="6" t="str">
        <f aca="false">INDEX('Event Log'!$F$2:$F$271,MATCH(A86,'Event Log'!$A$2:$A$271,0))</f>
        <v>Treasury designates Kalaye Electric, Kavoshyar and Pioneer Energy Industries as owned or controlled by Iran's Atomic Energy Organization</v>
      </c>
      <c r="F86" s="6" t="s">
        <v>1201</v>
      </c>
      <c r="G86" s="10" t="s">
        <v>1262</v>
      </c>
      <c r="H86" s="6" t="s">
        <v>1381</v>
      </c>
      <c r="I86" s="6" t="s">
        <v>1295</v>
      </c>
    </row>
    <row r="87" customFormat="false" ht="23.85" hidden="false" customHeight="false" outlineLevel="0" collapsed="false">
      <c r="A87" s="6" t="n">
        <v>342</v>
      </c>
      <c r="B87" s="7" t="n">
        <f aca="false">INDEX('Event Log'!$B$2:$B$271,MATCH(A87,'Event Log'!$A$2:$A$271,0))</f>
        <v>39380</v>
      </c>
      <c r="C87" s="6" t="str">
        <f aca="false">INDEX('Event Log'!$C$2:$C$271,MATCH(A87,'Event Log'!$A$2:$A$271,0))</f>
        <v>US</v>
      </c>
      <c r="D87" s="6" t="str">
        <f aca="false">INDEX('Event Log'!$D$2:$D$271,MATCH(A87,'Event Log'!$A$2:$A$271,0))</f>
        <v>Sanctions (IRGC, Quds Force and two banks)</v>
      </c>
      <c r="E87" s="6" t="str">
        <f aca="false">INDEX('Event Log'!$F$2:$F$271,MATCH(A87,'Event Log'!$A$2:$A$271,0))</f>
        <v>State and Treasury designate the Revolutionary Guard, the Quds Force and Banks Melli and Mellat</v>
      </c>
      <c r="F87" s="6" t="s">
        <v>1201</v>
      </c>
      <c r="G87" s="10" t="s">
        <v>1262</v>
      </c>
      <c r="H87" s="6" t="s">
        <v>1382</v>
      </c>
      <c r="I87" s="6" t="s">
        <v>1295</v>
      </c>
    </row>
    <row r="88" customFormat="false" ht="46.25" hidden="false" customHeight="false" outlineLevel="0" collapsed="false">
      <c r="A88" s="6" t="n">
        <v>349</v>
      </c>
      <c r="B88" s="7" t="n">
        <f aca="false">INDEX('Event Log'!$B$2:$B$271,MATCH(A88,'Event Log'!$A$2:$A$271,0))</f>
        <v>40360</v>
      </c>
      <c r="C88" s="6" t="str">
        <f aca="false">INDEX('Event Log'!$C$2:$C$271,MATCH(A88,'Event Log'!$A$2:$A$271,0))</f>
        <v>US</v>
      </c>
      <c r="D88" s="6" t="str">
        <f aca="false">INDEX('Event Log'!$D$2:$D$271,MATCH(A88,'Event Log'!$A$2:$A$271,0))</f>
        <v>Sanctions (CISADA signed)</v>
      </c>
      <c r="E88" s="6" t="str">
        <f aca="false">INDEX('Event Log'!$F$2:$F$271,MATCH(A88,'Event Log'!$A$2:$A$271,0))</f>
        <v>Obama signs the Comprehensive Iran Sanctions, Accountability and Divestment Act; Treasury gains power to cut off foreign banks that serve Iran's nuclear program or the Guard</v>
      </c>
      <c r="F88" s="6" t="s">
        <v>1201</v>
      </c>
      <c r="G88" s="11" t="s">
        <v>1194</v>
      </c>
      <c r="H88" s="6" t="s">
        <v>1383</v>
      </c>
      <c r="I88" s="6" t="s">
        <v>1295</v>
      </c>
    </row>
    <row r="89" customFormat="false" ht="23.85" hidden="false" customHeight="false" outlineLevel="0" collapsed="false">
      <c r="A89" s="6" t="n">
        <v>351</v>
      </c>
      <c r="B89" s="7" t="n">
        <f aca="false">INDEX('Event Log'!$B$2:$B$271,MATCH(A89,'Event Log'!$A$2:$A$271,0))</f>
        <v>40827</v>
      </c>
      <c r="C89" s="6" t="str">
        <f aca="false">INDEX('Event Log'!$C$2:$C$271,MATCH(A89,'Event Log'!$A$2:$A$271,0))</f>
        <v>US</v>
      </c>
      <c r="D89" s="6" t="str">
        <f aca="false">INDEX('Event Log'!$D$2:$D$271,MATCH(A89,'Event Log'!$A$2:$A$271,0))</f>
        <v>Sanctions (five people tied to the plot)</v>
      </c>
      <c r="E89" s="6" t="str">
        <f aca="false">INDEX('Event Log'!$F$2:$F$271,MATCH(A89,'Event Log'!$A$2:$A$271,0))</f>
        <v>Treasury designates five individuals over the plot</v>
      </c>
      <c r="F89" s="6" t="s">
        <v>1201</v>
      </c>
      <c r="G89" s="11" t="s">
        <v>1194</v>
      </c>
      <c r="H89" s="6" t="s">
        <v>1384</v>
      </c>
      <c r="I89" s="6" t="s">
        <v>1295</v>
      </c>
    </row>
    <row r="90" customFormat="false" ht="46.25" hidden="false" customHeight="false" outlineLevel="0" collapsed="false">
      <c r="A90" s="6" t="n">
        <v>352</v>
      </c>
      <c r="B90" s="7" t="n">
        <f aca="false">INDEX('Event Log'!$B$2:$B$271,MATCH(A90,'Event Log'!$A$2:$A$271,0))</f>
        <v>40868</v>
      </c>
      <c r="C90" s="6" t="str">
        <f aca="false">INDEX('Event Log'!$C$2:$C$271,MATCH(A90,'Event Log'!$A$2:$A$271,0))</f>
        <v>US</v>
      </c>
      <c r="D90" s="6" t="str">
        <f aca="false">INDEX('Event Log'!$D$2:$D$271,MATCH(A90,'Event Log'!$A$2:$A$271,0))</f>
        <v>Sanctions (energy order and money-laundering finding)</v>
      </c>
      <c r="E90" s="6" t="str">
        <f aca="false">INDEX('Event Log'!$F$2:$F$271,MATCH(A90,'Event Log'!$A$2:$A$271,0))</f>
        <v>Executive Order 13590 targets help to Iran's oil and petrochemical sectors, and Iran's whole financial sector, including its central bank, is named a primary money-laundering concern</v>
      </c>
      <c r="F90" s="6" t="s">
        <v>1201</v>
      </c>
      <c r="G90" s="11" t="s">
        <v>1194</v>
      </c>
      <c r="H90" s="6" t="s">
        <v>1385</v>
      </c>
      <c r="I90" s="6" t="s">
        <v>1295</v>
      </c>
    </row>
    <row r="91" customFormat="false" ht="35.05" hidden="false" customHeight="false" outlineLevel="0" collapsed="false">
      <c r="A91" s="6" t="n">
        <v>354</v>
      </c>
      <c r="B91" s="7" t="n">
        <f aca="false">INDEX('Event Log'!$B$2:$B$271,MATCH(A91,'Event Log'!$A$2:$A$271,0))</f>
        <v>40945</v>
      </c>
      <c r="C91" s="6" t="str">
        <f aca="false">INDEX('Event Log'!$C$2:$C$271,MATCH(A91,'Event Log'!$A$2:$A$271,0))</f>
        <v>US</v>
      </c>
      <c r="D91" s="6" t="str">
        <f aca="false">INDEX('Event Log'!$D$2:$D$271,MATCH(A91,'Event Log'!$A$2:$A$271,0))</f>
        <v>Sanctions (Executive Order 13599 freezes Iranian assets)</v>
      </c>
      <c r="E91" s="6" t="str">
        <f aca="false">INDEX('Event Log'!$F$2:$F$271,MATCH(A91,'Event Log'!$A$2:$A$271,0))</f>
        <v>Obama's order freezes the property of the Iranian government, its central bank and Iranian banks under US jurisdiction</v>
      </c>
      <c r="F91" s="6" t="s">
        <v>1201</v>
      </c>
      <c r="G91" s="11" t="s">
        <v>1194</v>
      </c>
      <c r="H91" s="6" t="s">
        <v>1386</v>
      </c>
      <c r="I91" s="6" t="s">
        <v>1295</v>
      </c>
    </row>
    <row r="92" customFormat="false" ht="35.05" hidden="false" customHeight="false" outlineLevel="0" collapsed="false">
      <c r="A92" s="6" t="n">
        <v>366</v>
      </c>
      <c r="B92" s="7" t="n">
        <f aca="false">INDEX('Event Log'!$B$2:$B$271,MATCH(A92,'Event Log'!$A$2:$A$271,0))</f>
        <v>42769</v>
      </c>
      <c r="C92" s="6" t="str">
        <f aca="false">INDEX('Event Log'!$C$2:$C$271,MATCH(A92,'Event Log'!$A$2:$A$271,0))</f>
        <v>US</v>
      </c>
      <c r="D92" s="6" t="str">
        <f aca="false">INDEX('Event Log'!$D$2:$D$271,MATCH(A92,'Event Log'!$A$2:$A$271,0))</f>
        <v>Sanctions (missile program and Quds Force supporters)</v>
      </c>
      <c r="E92" s="6" t="str">
        <f aca="false">INDEX('Event Log'!$F$2:$F$271,MATCH(A92,'Event Log'!$A$2:$A$271,0))</f>
        <v>Treasury sanctions 25 people and companies; National Security Adviser Flynn says Iran's provocations will no longer be tolerated</v>
      </c>
      <c r="F92" s="6" t="s">
        <v>1201</v>
      </c>
      <c r="G92" s="11" t="s">
        <v>1194</v>
      </c>
      <c r="H92" s="6" t="s">
        <v>1387</v>
      </c>
      <c r="I92" s="6" t="s">
        <v>1295</v>
      </c>
    </row>
    <row r="93" customFormat="false" ht="23.85" hidden="false" customHeight="false" outlineLevel="0" collapsed="false">
      <c r="A93" s="6" t="n">
        <v>367</v>
      </c>
      <c r="B93" s="7" t="n">
        <f aca="false">INDEX('Event Log'!$B$2:$B$271,MATCH(A93,'Event Log'!$A$2:$A$271,0))</f>
        <v>42949</v>
      </c>
      <c r="C93" s="6" t="str">
        <f aca="false">INDEX('Event Log'!$C$2:$C$271,MATCH(A93,'Event Log'!$A$2:$A$271,0))</f>
        <v>US</v>
      </c>
      <c r="D93" s="6" t="str">
        <f aca="false">INDEX('Event Log'!$D$2:$D$271,MATCH(A93,'Event Log'!$A$2:$A$271,0))</f>
        <v>Sanctions (CAATSA signed)</v>
      </c>
      <c r="E93" s="6" t="str">
        <f aca="false">INDEX('Event Log'!$F$2:$F$271,MATCH(A93,'Event Log'!$A$2:$A$271,0))</f>
        <v>Trump signs the act with new sanctions on Iran, Russia and North Korea, calling it 'seriously flawed'</v>
      </c>
      <c r="F93" s="6" t="s">
        <v>1201</v>
      </c>
      <c r="G93" s="11" t="s">
        <v>1194</v>
      </c>
      <c r="H93" s="6" t="s">
        <v>1388</v>
      </c>
      <c r="I93" s="6" t="s">
        <v>1295</v>
      </c>
    </row>
    <row r="94" customFormat="false" ht="35.05" hidden="false" customHeight="false" outlineLevel="0" collapsed="false">
      <c r="A94" s="6" t="n">
        <v>371</v>
      </c>
      <c r="B94" s="7" t="n">
        <f aca="false">INDEX('Event Log'!$B$2:$B$271,MATCH(A94,'Event Log'!$A$2:$A$271,0))</f>
        <v>43318</v>
      </c>
      <c r="C94" s="6" t="str">
        <f aca="false">INDEX('Event Log'!$C$2:$C$271,MATCH(A94,'Event Log'!$A$2:$A$271,0))</f>
        <v>US</v>
      </c>
      <c r="D94" s="6" t="str">
        <f aca="false">INDEX('Event Log'!$D$2:$D$271,MATCH(A94,'Event Log'!$A$2:$A$271,0))</f>
        <v>Sanctions (first set of nuclear-deal sanctions reimposed)</v>
      </c>
      <c r="E94" s="6" t="str">
        <f aca="false">INDEX('Event Log'!$F$2:$F$271,MATCH(A94,'Event Log'!$A$2:$A$271,0))</f>
        <v>Trump's order restores sanctions on dollar purchases, metals, autos and Iran's currency, taking effect Aug 7</v>
      </c>
      <c r="F94" s="6" t="s">
        <v>1201</v>
      </c>
      <c r="G94" s="11" t="s">
        <v>1194</v>
      </c>
      <c r="H94" s="6" t="s">
        <v>1389</v>
      </c>
      <c r="I94" s="6" t="s">
        <v>1295</v>
      </c>
    </row>
    <row r="95" customFormat="false" ht="35.05" hidden="false" customHeight="false" outlineLevel="0" collapsed="false">
      <c r="A95" s="6" t="n">
        <v>374</v>
      </c>
      <c r="B95" s="7" t="n">
        <f aca="false">INDEX('Event Log'!$B$2:$B$271,MATCH(A95,'Event Log'!$A$2:$A$271,0))</f>
        <v>43409</v>
      </c>
      <c r="C95" s="6" t="str">
        <f aca="false">INDEX('Event Log'!$C$2:$C$271,MATCH(A95,'Event Log'!$A$2:$A$271,0))</f>
        <v>US</v>
      </c>
      <c r="D95" s="6" t="str">
        <f aca="false">INDEX('Event Log'!$D$2:$D$271,MATCH(A95,'Event Log'!$A$2:$A$271,0))</f>
        <v>Sanctions (all nuclear-deal sanctions reimposed)</v>
      </c>
      <c r="E95" s="6" t="str">
        <f aca="false">INDEX('Event Log'!$F$2:$F$271,MATCH(A95,'Event Log'!$A$2:$A$271,0))</f>
        <v>Treasury restores the remaining sanctions that had been lifted or waived and lists more than 700 people, companies, ships and aircraft</v>
      </c>
      <c r="F95" s="6" t="s">
        <v>1201</v>
      </c>
      <c r="G95" s="11" t="s">
        <v>1194</v>
      </c>
      <c r="H95" s="6" t="s">
        <v>1390</v>
      </c>
      <c r="I95" s="6" t="s">
        <v>1295</v>
      </c>
    </row>
    <row r="96" customFormat="false" ht="35.05" hidden="false" customHeight="false" outlineLevel="0" collapsed="false">
      <c r="A96" s="6" t="n">
        <v>375</v>
      </c>
      <c r="B96" s="7" t="n">
        <f aca="false">INDEX('Event Log'!$B$2:$B$271,MATCH(A96,'Event Log'!$A$2:$A$271,0))</f>
        <v>43563</v>
      </c>
      <c r="C96" s="6" t="str">
        <f aca="false">INDEX('Event Log'!$C$2:$C$271,MATCH(A96,'Event Log'!$A$2:$A$271,0))</f>
        <v>US</v>
      </c>
      <c r="D96" s="6" t="str">
        <f aca="false">INDEX('Event Log'!$D$2:$D$271,MATCH(A96,'Event Log'!$A$2:$A$271,0))</f>
        <v>Sanctions (Revolutionary Guard named a terrorist organization)</v>
      </c>
      <c r="E96" s="6" t="str">
        <f aca="false">INDEX('Event Log'!$F$2:$F$271,MATCH(A96,'Event Log'!$A$2:$A$271,0))</f>
        <v>State announces it will list the Guard as a Foreign Terrorist Organization, effective Apr 15</v>
      </c>
      <c r="F96" s="6" t="s">
        <v>1201</v>
      </c>
      <c r="G96" s="11" t="s">
        <v>1194</v>
      </c>
      <c r="H96" s="6" t="s">
        <v>1391</v>
      </c>
      <c r="I96" s="6" t="s">
        <v>1295</v>
      </c>
    </row>
    <row r="97" customFormat="false" ht="23.85" hidden="false" customHeight="false" outlineLevel="0" collapsed="false">
      <c r="A97" s="6" t="n">
        <v>376</v>
      </c>
      <c r="B97" s="7" t="n">
        <f aca="false">INDEX('Event Log'!$B$2:$B$271,MATCH(A97,'Event Log'!$A$2:$A$271,0))</f>
        <v>43577</v>
      </c>
      <c r="C97" s="6" t="str">
        <f aca="false">INDEX('Event Log'!$C$2:$C$271,MATCH(A97,'Event Log'!$A$2:$A$271,0))</f>
        <v>US</v>
      </c>
      <c r="D97" s="6" t="str">
        <f aca="false">INDEX('Event Log'!$D$2:$D$271,MATCH(A97,'Event Log'!$A$2:$A$271,0))</f>
        <v>Sanctions (oil purchase waivers to end)</v>
      </c>
      <c r="E97" s="6" t="str">
        <f aca="false">INDEX('Event Log'!$F$2:$F$271,MATCH(A97,'Event Log'!$A$2:$A$271,0))</f>
        <v>State says it will not renew the exceptions that let eight countries buy Iranian oil; they expire May 2</v>
      </c>
      <c r="F97" s="6" t="s">
        <v>1201</v>
      </c>
      <c r="G97" s="11" t="s">
        <v>1194</v>
      </c>
      <c r="H97" s="6" t="s">
        <v>1392</v>
      </c>
      <c r="I97" s="6" t="s">
        <v>1295</v>
      </c>
    </row>
    <row r="99" customFormat="false" ht="15" hidden="false" customHeight="false" outlineLevel="0" collapsed="false">
      <c r="A99" s="14" t="s">
        <v>1393</v>
      </c>
    </row>
    <row r="100" customFormat="false" ht="15" hidden="false" customHeight="true" outlineLevel="0" collapsed="false">
      <c r="A100" s="18" t="s">
        <v>1394</v>
      </c>
      <c r="B100" s="18"/>
      <c r="C100" s="18"/>
      <c r="D100" s="18"/>
      <c r="E100" s="18"/>
      <c r="F100" s="18"/>
      <c r="G100" s="18"/>
      <c r="H100" s="18"/>
      <c r="I100" s="18"/>
      <c r="J100" s="18"/>
      <c r="K100" s="18"/>
    </row>
    <row r="101" customFormat="false" ht="15" hidden="false" customHeight="true" outlineLevel="0" collapsed="false">
      <c r="A101" s="18" t="s">
        <v>1395</v>
      </c>
      <c r="B101" s="18"/>
      <c r="C101" s="18"/>
      <c r="D101" s="18"/>
      <c r="E101" s="18"/>
      <c r="F101" s="18"/>
      <c r="G101" s="18"/>
      <c r="H101" s="18"/>
      <c r="I101" s="18"/>
      <c r="J101" s="18"/>
      <c r="K101" s="18"/>
    </row>
    <row r="102" customFormat="false" ht="15" hidden="false" customHeight="true" outlineLevel="0" collapsed="false">
      <c r="A102" s="18" t="s">
        <v>1396</v>
      </c>
      <c r="B102" s="18"/>
      <c r="C102" s="18"/>
      <c r="D102" s="18"/>
      <c r="E102" s="18"/>
      <c r="F102" s="18"/>
      <c r="G102" s="18"/>
      <c r="H102" s="18"/>
      <c r="I102" s="18"/>
      <c r="J102" s="18"/>
      <c r="K102" s="18"/>
    </row>
    <row r="103" customFormat="false" ht="15" hidden="false" customHeight="true" outlineLevel="0" collapsed="false">
      <c r="A103" s="18" t="s">
        <v>1397</v>
      </c>
      <c r="B103" s="18"/>
      <c r="C103" s="18"/>
      <c r="D103" s="18"/>
      <c r="E103" s="18"/>
      <c r="F103" s="18"/>
      <c r="G103" s="18"/>
      <c r="H103" s="18"/>
      <c r="I103" s="18"/>
      <c r="J103" s="18"/>
      <c r="K103" s="18"/>
    </row>
    <row r="104" customFormat="false" ht="15" hidden="false" customHeight="true" outlineLevel="0" collapsed="false">
      <c r="A104" s="18" t="s">
        <v>1398</v>
      </c>
      <c r="B104" s="18"/>
      <c r="C104" s="18"/>
      <c r="D104" s="18"/>
      <c r="E104" s="18"/>
      <c r="F104" s="18"/>
      <c r="G104" s="18"/>
      <c r="H104" s="18"/>
      <c r="I104" s="18"/>
      <c r="J104" s="18"/>
      <c r="K104" s="18"/>
    </row>
    <row r="105" customFormat="false" ht="15" hidden="false" customHeight="true" outlineLevel="0" collapsed="false">
      <c r="A105" s="18" t="s">
        <v>1399</v>
      </c>
      <c r="B105" s="18"/>
      <c r="C105" s="18"/>
      <c r="D105" s="18"/>
      <c r="E105" s="18"/>
      <c r="F105" s="18"/>
      <c r="G105" s="18"/>
      <c r="H105" s="18"/>
      <c r="I105" s="18"/>
      <c r="J105" s="18"/>
      <c r="K105" s="18"/>
    </row>
    <row r="106" customFormat="false" ht="15" hidden="false" customHeight="true" outlineLevel="0" collapsed="false">
      <c r="A106" s="18" t="s">
        <v>1400</v>
      </c>
      <c r="B106" s="18"/>
      <c r="C106" s="18"/>
      <c r="D106" s="18"/>
      <c r="E106" s="18"/>
      <c r="F106" s="18"/>
      <c r="G106" s="18"/>
      <c r="H106" s="18"/>
      <c r="I106" s="18"/>
      <c r="J106" s="18"/>
      <c r="K106" s="18"/>
    </row>
    <row r="107" customFormat="false" ht="15" hidden="false" customHeight="true" outlineLevel="0" collapsed="false">
      <c r="A107" s="18" t="s">
        <v>1401</v>
      </c>
      <c r="B107" s="18"/>
      <c r="C107" s="18"/>
      <c r="D107" s="18"/>
      <c r="E107" s="18"/>
      <c r="F107" s="18"/>
      <c r="G107" s="18"/>
      <c r="H107" s="18"/>
      <c r="I107" s="18"/>
      <c r="J107" s="18"/>
      <c r="K107" s="18"/>
    </row>
    <row r="108" customFormat="false" ht="23.85" hidden="false" customHeight="true" outlineLevel="0" collapsed="false">
      <c r="A108" s="18" t="s">
        <v>1402</v>
      </c>
      <c r="B108" s="18"/>
      <c r="C108" s="18"/>
      <c r="D108" s="18"/>
      <c r="E108" s="18"/>
      <c r="F108" s="18"/>
      <c r="G108" s="18"/>
      <c r="H108" s="18"/>
      <c r="I108" s="18"/>
      <c r="J108" s="18"/>
      <c r="K108" s="18"/>
    </row>
    <row r="109" customFormat="false" ht="15" hidden="false" customHeight="true" outlineLevel="0" collapsed="false">
      <c r="A109" s="18" t="s">
        <v>1403</v>
      </c>
      <c r="B109" s="18"/>
      <c r="C109" s="18"/>
      <c r="D109" s="18"/>
      <c r="E109" s="18"/>
      <c r="F109" s="18"/>
      <c r="G109" s="18"/>
      <c r="H109" s="18"/>
      <c r="I109" s="18"/>
      <c r="J109" s="18"/>
      <c r="K109" s="18"/>
    </row>
    <row r="110" customFormat="false" ht="15" hidden="false" customHeight="true" outlineLevel="0" collapsed="false">
      <c r="A110" s="18" t="s">
        <v>1404</v>
      </c>
      <c r="B110" s="18"/>
      <c r="C110" s="18"/>
      <c r="D110" s="18"/>
      <c r="E110" s="18"/>
      <c r="F110" s="18"/>
      <c r="G110" s="18"/>
      <c r="H110" s="18"/>
      <c r="I110" s="18"/>
      <c r="J110" s="18"/>
      <c r="K110" s="18"/>
    </row>
    <row r="111" customFormat="false" ht="15" hidden="false" customHeight="true" outlineLevel="0" collapsed="false">
      <c r="A111" s="18" t="s">
        <v>1405</v>
      </c>
      <c r="B111" s="18"/>
      <c r="C111" s="18"/>
      <c r="D111" s="18"/>
      <c r="E111" s="18"/>
      <c r="F111" s="18"/>
      <c r="G111" s="18"/>
      <c r="H111" s="18"/>
      <c r="I111" s="18"/>
      <c r="J111" s="18"/>
      <c r="K111" s="18"/>
    </row>
    <row r="112" customFormat="false" ht="15" hidden="false" customHeight="true" outlineLevel="0" collapsed="false">
      <c r="A112" s="18" t="s">
        <v>1406</v>
      </c>
      <c r="B112" s="18"/>
      <c r="C112" s="18"/>
      <c r="D112" s="18"/>
      <c r="E112" s="18"/>
      <c r="F112" s="18"/>
      <c r="G112" s="18"/>
      <c r="H112" s="18"/>
      <c r="I112" s="18"/>
      <c r="J112" s="18"/>
      <c r="K112" s="18"/>
    </row>
  </sheetData>
  <mergeCells count="26">
    <mergeCell ref="A1:K1"/>
    <mergeCell ref="A2:K2"/>
    <mergeCell ref="A10:K10"/>
    <mergeCell ref="A11:K11"/>
    <mergeCell ref="A12:K12"/>
    <mergeCell ref="A13:K13"/>
    <mergeCell ref="A14:K14"/>
    <mergeCell ref="A15:K15"/>
    <mergeCell ref="A16:K16"/>
    <mergeCell ref="A17:K17"/>
    <mergeCell ref="A18:K18"/>
    <mergeCell ref="A19:K19"/>
    <mergeCell ref="A20:K20"/>
    <mergeCell ref="A100:K100"/>
    <mergeCell ref="A101:K101"/>
    <mergeCell ref="A102:K102"/>
    <mergeCell ref="A103:K103"/>
    <mergeCell ref="A104:K104"/>
    <mergeCell ref="A105:K105"/>
    <mergeCell ref="A106:K106"/>
    <mergeCell ref="A107:K107"/>
    <mergeCell ref="A108:K108"/>
    <mergeCell ref="A109:K109"/>
    <mergeCell ref="A110:K110"/>
    <mergeCell ref="A111:K111"/>
    <mergeCell ref="A112:K1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1407</v>
      </c>
    </row>
    <row r="2" customFormat="false" ht="15" hidden="false" customHeight="false" outlineLevel="0" collapsed="false">
      <c r="A2" s="16" t="s">
        <v>1408</v>
      </c>
    </row>
    <row r="3" customFormat="false" ht="15" hidden="false" customHeight="false" outlineLevel="0" collapsed="false">
      <c r="A3" s="16" t="s">
        <v>1409</v>
      </c>
    </row>
    <row r="4" customFormat="false" ht="15" hidden="false" customHeight="false" outlineLevel="0" collapsed="false">
      <c r="A4" s="14" t="s">
        <v>1410</v>
      </c>
    </row>
    <row r="5" customFormat="false" ht="15" hidden="false" customHeight="false" outlineLevel="0" collapsed="false">
      <c r="A5" s="14" t="s">
        <v>1411</v>
      </c>
    </row>
    <row r="6" customFormat="false" ht="23.85" hidden="false" customHeight="false" outlineLevel="0" collapsed="false">
      <c r="A6" s="25" t="s">
        <v>1412</v>
      </c>
      <c r="B6" s="25" t="s">
        <v>1413</v>
      </c>
      <c r="C6" s="25" t="s">
        <v>1414</v>
      </c>
      <c r="D6" s="25" t="s">
        <v>1415</v>
      </c>
      <c r="E6" s="25" t="s">
        <v>1416</v>
      </c>
      <c r="F6" s="25" t="s">
        <v>1417</v>
      </c>
      <c r="G6" s="25" t="s">
        <v>1418</v>
      </c>
      <c r="H6" s="25" t="s">
        <v>1419</v>
      </c>
      <c r="I6" s="25" t="s">
        <v>1420</v>
      </c>
      <c r="J6" s="25" t="s">
        <v>1421</v>
      </c>
    </row>
    <row r="7" customFormat="false" ht="150" hidden="false" customHeight="true" outlineLevel="0" collapsed="false">
      <c r="A7" s="6" t="s">
        <v>1422</v>
      </c>
      <c r="B7" s="6" t="s">
        <v>1423</v>
      </c>
      <c r="C7" s="6" t="s">
        <v>1424</v>
      </c>
      <c r="D7" s="6" t="s">
        <v>1425</v>
      </c>
      <c r="E7" s="6" t="s">
        <v>1426</v>
      </c>
      <c r="F7" s="6" t="s">
        <v>1427</v>
      </c>
      <c r="G7" s="6" t="s">
        <v>1428</v>
      </c>
      <c r="H7" s="26" t="s">
        <v>1429</v>
      </c>
      <c r="I7" s="26" t="s">
        <v>1430</v>
      </c>
      <c r="J7" s="12" t="s">
        <v>1431</v>
      </c>
    </row>
    <row r="8" customFormat="false" ht="150" hidden="false" customHeight="true" outlineLevel="0" collapsed="false">
      <c r="A8" s="6" t="s">
        <v>1432</v>
      </c>
      <c r="B8" s="6" t="s">
        <v>1433</v>
      </c>
      <c r="C8" s="6" t="s">
        <v>1434</v>
      </c>
      <c r="D8" s="6" t="s">
        <v>1435</v>
      </c>
      <c r="E8" s="6" t="s">
        <v>1436</v>
      </c>
      <c r="F8" s="6" t="s">
        <v>1437</v>
      </c>
      <c r="G8" s="6" t="s">
        <v>1438</v>
      </c>
      <c r="H8" s="26" t="s">
        <v>1439</v>
      </c>
      <c r="I8" s="26" t="s">
        <v>1440</v>
      </c>
      <c r="J8" s="10" t="s">
        <v>1441</v>
      </c>
    </row>
    <row r="9" customFormat="false" ht="150" hidden="false" customHeight="true" outlineLevel="0" collapsed="false">
      <c r="A9" s="6" t="s">
        <v>1442</v>
      </c>
      <c r="B9" s="6" t="s">
        <v>1443</v>
      </c>
      <c r="C9" s="6" t="s">
        <v>1444</v>
      </c>
      <c r="D9" s="6" t="s">
        <v>1445</v>
      </c>
      <c r="E9" s="6" t="s">
        <v>1436</v>
      </c>
      <c r="F9" s="6" t="s">
        <v>1446</v>
      </c>
      <c r="G9" s="6" t="s">
        <v>1447</v>
      </c>
      <c r="H9" s="26" t="s">
        <v>1448</v>
      </c>
      <c r="I9" s="26" t="s">
        <v>1449</v>
      </c>
      <c r="J9" s="8" t="s">
        <v>1450</v>
      </c>
    </row>
    <row r="10" customFormat="false" ht="150" hidden="false" customHeight="true" outlineLevel="0" collapsed="false">
      <c r="A10" s="6" t="s">
        <v>1451</v>
      </c>
      <c r="B10" s="6" t="s">
        <v>1452</v>
      </c>
      <c r="C10" s="6" t="s">
        <v>1453</v>
      </c>
      <c r="D10" s="6" t="s">
        <v>1454</v>
      </c>
      <c r="E10" s="6" t="s">
        <v>1455</v>
      </c>
      <c r="F10" s="6" t="s">
        <v>1456</v>
      </c>
      <c r="G10" s="6" t="s">
        <v>1457</v>
      </c>
      <c r="H10" s="26" t="s">
        <v>1458</v>
      </c>
      <c r="I10" s="26" t="s">
        <v>1459</v>
      </c>
      <c r="J10" s="10" t="s">
        <v>1460</v>
      </c>
    </row>
    <row r="11" customFormat="false" ht="150" hidden="false" customHeight="true" outlineLevel="0" collapsed="false">
      <c r="A11" s="6" t="s">
        <v>1461</v>
      </c>
      <c r="B11" s="6" t="s">
        <v>1462</v>
      </c>
      <c r="C11" s="6" t="s">
        <v>1463</v>
      </c>
      <c r="D11" s="6" t="s">
        <v>1464</v>
      </c>
      <c r="E11" s="6" t="s">
        <v>1465</v>
      </c>
      <c r="F11" s="6" t="s">
        <v>1466</v>
      </c>
      <c r="G11" s="6" t="s">
        <v>1467</v>
      </c>
      <c r="H11" s="26" t="s">
        <v>1468</v>
      </c>
      <c r="I11" s="26" t="s">
        <v>1469</v>
      </c>
      <c r="J11" s="11" t="s">
        <v>1470</v>
      </c>
    </row>
    <row r="12" customFormat="false" ht="150" hidden="false" customHeight="true" outlineLevel="0" collapsed="false">
      <c r="A12" s="6" t="s">
        <v>1471</v>
      </c>
      <c r="B12" s="6" t="s">
        <v>1472</v>
      </c>
      <c r="C12" s="6" t="s">
        <v>1473</v>
      </c>
      <c r="D12" s="6" t="s">
        <v>1474</v>
      </c>
      <c r="E12" s="6" t="s">
        <v>1475</v>
      </c>
      <c r="F12" s="6" t="s">
        <v>1476</v>
      </c>
      <c r="G12" s="6" t="s">
        <v>1477</v>
      </c>
      <c r="H12" s="26" t="s">
        <v>1478</v>
      </c>
      <c r="I12" s="26" t="s">
        <v>1479</v>
      </c>
      <c r="J12" s="8" t="s">
        <v>1450</v>
      </c>
    </row>
    <row r="13" customFormat="false" ht="150" hidden="false" customHeight="true" outlineLevel="0" collapsed="false">
      <c r="A13" s="6" t="s">
        <v>1480</v>
      </c>
      <c r="B13" s="6" t="s">
        <v>1481</v>
      </c>
      <c r="C13" s="6" t="s">
        <v>1482</v>
      </c>
      <c r="D13" s="6" t="s">
        <v>1483</v>
      </c>
      <c r="E13" s="6" t="s">
        <v>1484</v>
      </c>
      <c r="F13" s="6" t="s">
        <v>1485</v>
      </c>
      <c r="G13" s="6" t="s">
        <v>1457</v>
      </c>
      <c r="H13" s="26" t="s">
        <v>1486</v>
      </c>
      <c r="I13" s="26" t="s">
        <v>1487</v>
      </c>
      <c r="J13" s="10" t="s">
        <v>1460</v>
      </c>
    </row>
    <row r="14" customFormat="false" ht="150" hidden="false" customHeight="true" outlineLevel="0" collapsed="false">
      <c r="A14" s="6" t="s">
        <v>1488</v>
      </c>
      <c r="B14" s="6" t="s">
        <v>1489</v>
      </c>
      <c r="C14" s="6" t="s">
        <v>1434</v>
      </c>
      <c r="D14" s="6" t="s">
        <v>1490</v>
      </c>
      <c r="E14" s="6" t="s">
        <v>1436</v>
      </c>
      <c r="F14" s="6" t="s">
        <v>1491</v>
      </c>
      <c r="G14" s="6" t="s">
        <v>1492</v>
      </c>
      <c r="H14" s="26" t="s">
        <v>1493</v>
      </c>
      <c r="I14" s="26" t="s">
        <v>1494</v>
      </c>
      <c r="J14" s="10" t="s">
        <v>1495</v>
      </c>
    </row>
    <row r="16" customFormat="false" ht="15" hidden="false" customHeight="false" outlineLevel="0" collapsed="false">
      <c r="A16" s="27" t="s">
        <v>1496</v>
      </c>
    </row>
    <row r="18" customFormat="false" ht="60" hidden="false" customHeight="true" outlineLevel="0" collapsed="false">
      <c r="A18" s="25" t="s">
        <v>1412</v>
      </c>
      <c r="B18" s="25" t="s">
        <v>1413</v>
      </c>
      <c r="C18" s="25" t="s">
        <v>1497</v>
      </c>
      <c r="D18" s="25" t="s">
        <v>1498</v>
      </c>
      <c r="E18" s="25" t="s">
        <v>1499</v>
      </c>
      <c r="F18" s="25" t="s">
        <v>1500</v>
      </c>
      <c r="G18" s="25" t="s">
        <v>1501</v>
      </c>
      <c r="H18" s="25" t="s">
        <v>1502</v>
      </c>
      <c r="I18" s="25" t="s">
        <v>1503</v>
      </c>
      <c r="J18" s="25" t="s">
        <v>1421</v>
      </c>
      <c r="K18" s="25" t="s">
        <v>1504</v>
      </c>
      <c r="L18" s="25" t="s">
        <v>1505</v>
      </c>
      <c r="M18" s="25" t="s">
        <v>1506</v>
      </c>
    </row>
    <row r="19" customFormat="false" ht="46.25" hidden="false" customHeight="false" outlineLevel="0" collapsed="false">
      <c r="A19" s="6" t="s">
        <v>1422</v>
      </c>
      <c r="B19" s="6" t="s">
        <v>1423</v>
      </c>
      <c r="C19" s="6" t="s">
        <v>1507</v>
      </c>
      <c r="D19" s="6"/>
      <c r="E19" s="6"/>
      <c r="F19" s="6" t="s">
        <v>1507</v>
      </c>
      <c r="G19" s="6" t="s">
        <v>1507</v>
      </c>
      <c r="H19" s="6"/>
      <c r="I19" s="6"/>
      <c r="J19" s="12" t="s">
        <v>1431</v>
      </c>
      <c r="K19" s="6"/>
      <c r="L19" s="6"/>
      <c r="M19" s="6" t="s">
        <v>1508</v>
      </c>
    </row>
    <row r="20" customFormat="false" ht="57.45" hidden="false" customHeight="false" outlineLevel="0" collapsed="false">
      <c r="A20" s="6" t="s">
        <v>1432</v>
      </c>
      <c r="B20" s="6" t="s">
        <v>1433</v>
      </c>
      <c r="C20" s="6" t="s">
        <v>1507</v>
      </c>
      <c r="D20" s="6"/>
      <c r="E20" s="6"/>
      <c r="F20" s="6" t="s">
        <v>1507</v>
      </c>
      <c r="G20" s="6" t="s">
        <v>1507</v>
      </c>
      <c r="H20" s="6"/>
      <c r="I20" s="6"/>
      <c r="J20" s="12" t="s">
        <v>1431</v>
      </c>
      <c r="K20" s="6"/>
      <c r="L20" s="6"/>
      <c r="M20" s="6" t="s">
        <v>1509</v>
      </c>
    </row>
    <row r="21" customFormat="false" ht="91" hidden="false" customHeight="false" outlineLevel="0" collapsed="false">
      <c r="A21" s="6" t="s">
        <v>1442</v>
      </c>
      <c r="B21" s="6" t="s">
        <v>1443</v>
      </c>
      <c r="C21" s="6" t="s">
        <v>1510</v>
      </c>
      <c r="D21" s="6" t="s">
        <v>1511</v>
      </c>
      <c r="E21" s="6" t="s">
        <v>1512</v>
      </c>
      <c r="F21" s="6" t="s">
        <v>1513</v>
      </c>
      <c r="G21" s="6" t="s">
        <v>1513</v>
      </c>
      <c r="H21" s="6" t="s">
        <v>1514</v>
      </c>
      <c r="I21" s="6" t="s">
        <v>1515</v>
      </c>
      <c r="J21" s="8" t="s">
        <v>1450</v>
      </c>
      <c r="K21" s="6" t="s">
        <v>1516</v>
      </c>
      <c r="L21" s="6" t="s">
        <v>1517</v>
      </c>
      <c r="M21" s="6" t="s">
        <v>1518</v>
      </c>
    </row>
    <row r="22" customFormat="false" ht="91" hidden="false" customHeight="false" outlineLevel="0" collapsed="false">
      <c r="A22" s="6" t="s">
        <v>1451</v>
      </c>
      <c r="B22" s="6" t="s">
        <v>1452</v>
      </c>
      <c r="C22" s="6" t="s">
        <v>1519</v>
      </c>
      <c r="D22" s="6" t="s">
        <v>1520</v>
      </c>
      <c r="E22" s="6" t="s">
        <v>1521</v>
      </c>
      <c r="F22" s="6" t="s">
        <v>1512</v>
      </c>
      <c r="G22" s="6" t="s">
        <v>1512</v>
      </c>
      <c r="H22" s="6" t="s">
        <v>1522</v>
      </c>
      <c r="I22" s="6" t="s">
        <v>1523</v>
      </c>
      <c r="J22" s="10" t="s">
        <v>1460</v>
      </c>
      <c r="K22" s="6" t="s">
        <v>1524</v>
      </c>
      <c r="L22" s="6" t="s">
        <v>1525</v>
      </c>
      <c r="M22" s="6" t="s">
        <v>1526</v>
      </c>
    </row>
    <row r="23" customFormat="false" ht="23.85" hidden="false" customHeight="false" outlineLevel="0" collapsed="false">
      <c r="A23" s="6" t="s">
        <v>1461</v>
      </c>
      <c r="B23" s="6" t="s">
        <v>1462</v>
      </c>
      <c r="C23" s="6" t="s">
        <v>1527</v>
      </c>
      <c r="D23" s="6" t="s">
        <v>1528</v>
      </c>
      <c r="E23" s="6" t="s">
        <v>1521</v>
      </c>
      <c r="F23" s="6" t="s">
        <v>1529</v>
      </c>
      <c r="G23" s="6" t="s">
        <v>1530</v>
      </c>
      <c r="H23" s="6" t="s">
        <v>1522</v>
      </c>
      <c r="I23" s="6" t="s">
        <v>1531</v>
      </c>
      <c r="J23" s="11" t="s">
        <v>1470</v>
      </c>
      <c r="K23" s="6" t="s">
        <v>1532</v>
      </c>
      <c r="L23" s="6" t="s">
        <v>1533</v>
      </c>
      <c r="M23" s="6" t="s">
        <v>1534</v>
      </c>
    </row>
    <row r="24" customFormat="false" ht="35.05" hidden="false" customHeight="false" outlineLevel="0" collapsed="false">
      <c r="A24" s="6" t="s">
        <v>1471</v>
      </c>
      <c r="B24" s="6" t="s">
        <v>1472</v>
      </c>
      <c r="C24" s="6" t="s">
        <v>1535</v>
      </c>
      <c r="D24" s="6" t="s">
        <v>1536</v>
      </c>
      <c r="E24" s="6" t="s">
        <v>1521</v>
      </c>
      <c r="F24" s="6" t="s">
        <v>1537</v>
      </c>
      <c r="G24" s="6" t="s">
        <v>1538</v>
      </c>
      <c r="H24" s="6" t="s">
        <v>1522</v>
      </c>
      <c r="I24" s="6" t="s">
        <v>1539</v>
      </c>
      <c r="J24" s="8" t="s">
        <v>1450</v>
      </c>
      <c r="K24" s="6" t="s">
        <v>1540</v>
      </c>
      <c r="L24" s="6" t="s">
        <v>1541</v>
      </c>
      <c r="M24" s="6" t="s">
        <v>1542</v>
      </c>
    </row>
    <row r="25" customFormat="false" ht="35.05" hidden="false" customHeight="false" outlineLevel="0" collapsed="false">
      <c r="A25" s="6" t="s">
        <v>1480</v>
      </c>
      <c r="B25" s="6" t="s">
        <v>1481</v>
      </c>
      <c r="C25" s="6" t="s">
        <v>1543</v>
      </c>
      <c r="D25" s="6" t="s">
        <v>1544</v>
      </c>
      <c r="E25" s="6" t="s">
        <v>1521</v>
      </c>
      <c r="F25" s="6" t="s">
        <v>1545</v>
      </c>
      <c r="G25" s="6" t="s">
        <v>1546</v>
      </c>
      <c r="H25" s="6" t="s">
        <v>1522</v>
      </c>
      <c r="I25" s="6" t="s">
        <v>1547</v>
      </c>
      <c r="J25" s="10" t="s">
        <v>1460</v>
      </c>
      <c r="K25" s="6" t="s">
        <v>1548</v>
      </c>
      <c r="L25" s="6" t="s">
        <v>1549</v>
      </c>
      <c r="M25" s="6" t="s">
        <v>1550</v>
      </c>
    </row>
    <row r="26" customFormat="false" ht="35.05" hidden="false" customHeight="false" outlineLevel="0" collapsed="false">
      <c r="A26" s="6" t="s">
        <v>1488</v>
      </c>
      <c r="B26" s="6" t="s">
        <v>1489</v>
      </c>
      <c r="C26" s="6" t="s">
        <v>1507</v>
      </c>
      <c r="D26" s="6"/>
      <c r="E26" s="6"/>
      <c r="F26" s="6" t="s">
        <v>1507</v>
      </c>
      <c r="G26" s="6" t="s">
        <v>1507</v>
      </c>
      <c r="H26" s="6"/>
      <c r="I26" s="6"/>
      <c r="J26" s="12" t="s">
        <v>1431</v>
      </c>
      <c r="K26" s="6"/>
      <c r="L26" s="6"/>
      <c r="M26" s="6" t="s">
        <v>1551</v>
      </c>
    </row>
    <row r="28" customFormat="false" ht="15" hidden="false" customHeight="false" outlineLevel="0" collapsed="false">
      <c r="A28" s="16" t="s">
        <v>1552</v>
      </c>
    </row>
    <row r="29" customFormat="false" ht="15" hidden="false" customHeight="false" outlineLevel="0" collapsed="false">
      <c r="A29" s="16" t="s">
        <v>1553</v>
      </c>
    </row>
    <row r="30" customFormat="false" ht="15" hidden="false" customHeight="false" outlineLevel="0" collapsed="false">
      <c r="A30" s="16" t="s">
        <v>1554</v>
      </c>
    </row>
    <row r="31" customFormat="false" ht="15" hidden="false" customHeight="false" outlineLevel="0" collapsed="false">
      <c r="A31" s="16" t="s">
        <v>1555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1556</v>
      </c>
      <c r="B1" s="13" t="s">
        <v>1557</v>
      </c>
      <c r="C1" s="13" t="s">
        <v>1558</v>
      </c>
      <c r="D1" s="13" t="s">
        <v>1559</v>
      </c>
      <c r="E1" s="13" t="s">
        <v>1560</v>
      </c>
      <c r="F1" s="13" t="s">
        <v>1561</v>
      </c>
      <c r="G1" s="13" t="s">
        <v>1189</v>
      </c>
    </row>
    <row r="2" customFormat="false" ht="15" hidden="false" customHeight="false" outlineLevel="0" collapsed="false">
      <c r="A2" s="6" t="s">
        <v>1562</v>
      </c>
      <c r="B2" s="6" t="n">
        <f aca="false">COUNTIFS('Event Log'!$C$2:$C$271,"US*",'Event Log'!$M$2:$M$271,"Kinetic",'Event Log'!$B$2:$B$271,"&gt;="&amp;DATE(2026,2,1),'Event Log'!$B$2:$B$271,"&lt;="&amp;DATE(2026,2,28))+COUNTIFS('Event Log'!$C$2:$C$271,"Israel*",'Event Log'!$M$2:$M$271,"Kinetic",'Event Log'!$B$2:$B$271,"&gt;="&amp;DATE(2026,2,1),'Event Log'!$B$2:$B$271,"&lt;="&amp;DATE(2026,2,28))</f>
        <v>3</v>
      </c>
      <c r="C2" s="6" t="n">
        <f aca="false">COUNTIFS('Event Log'!$C$2:$C$271,"Iran*",'Event Log'!$M$2:$M$271,"Kinetic",'Event Log'!$B$2:$B$271,"&gt;="&amp;DATE(2026,2,1),'Event Log'!$B$2:$B$271,"&lt;="&amp;DATE(2026,2,28))</f>
        <v>1</v>
      </c>
      <c r="D2" s="6" t="n">
        <f aca="false">COUNTIFS('Event Log'!$M$2:$M$271,"Maritime",'Event Log'!$B$2:$B$271,"&gt;="&amp;DATE(2026,2,1),'Event Log'!$B$2:$B$271,"&lt;="&amp;DATE(2026,2,28))</f>
        <v>1</v>
      </c>
      <c r="E2" s="6" t="n">
        <f aca="false">COUNTIFS('Event Log'!$M$2:$M$271,"Diplomatic",'Event Log'!$B$2:$B$271,"&gt;="&amp;DATE(2026,2,1),'Event Log'!$B$2:$B$271,"&lt;="&amp;DATE(2026,2,28))</f>
        <v>3</v>
      </c>
      <c r="F2" s="6" t="s">
        <v>1563</v>
      </c>
      <c r="G2" s="6" t="s">
        <v>1564</v>
      </c>
    </row>
    <row r="3" customFormat="false" ht="15" hidden="false" customHeight="false" outlineLevel="0" collapsed="false">
      <c r="A3" s="6" t="s">
        <v>1565</v>
      </c>
      <c r="B3" s="6" t="n">
        <f aca="false">COUNTIFS('Event Log'!$C$2:$C$271,"US*",'Event Log'!$M$2:$M$271,"Kinetic",'Event Log'!$B$2:$B$271,"&gt;="&amp;DATE(2026,3,1),'Event Log'!$B$2:$B$271,"&lt;="&amp;DATE(2026,3,31))+COUNTIFS('Event Log'!$C$2:$C$271,"Israel*",'Event Log'!$M$2:$M$271,"Kinetic",'Event Log'!$B$2:$B$271,"&gt;="&amp;DATE(2026,3,1),'Event Log'!$B$2:$B$271,"&lt;="&amp;DATE(2026,3,31))</f>
        <v>6</v>
      </c>
      <c r="C3" s="6" t="n">
        <f aca="false">COUNTIFS('Event Log'!$C$2:$C$271,"Iran*",'Event Log'!$M$2:$M$271,"Kinetic",'Event Log'!$B$2:$B$271,"&gt;="&amp;DATE(2026,3,1),'Event Log'!$B$2:$B$271,"&lt;="&amp;DATE(2026,3,31))</f>
        <v>7</v>
      </c>
      <c r="D3" s="6" t="n">
        <f aca="false">COUNTIFS('Event Log'!$M$2:$M$271,"Maritime",'Event Log'!$B$2:$B$271,"&gt;="&amp;DATE(2026,3,1),'Event Log'!$B$2:$B$271,"&lt;="&amp;DATE(2026,3,31))</f>
        <v>2</v>
      </c>
      <c r="E3" s="6" t="n">
        <f aca="false">COUNTIFS('Event Log'!$M$2:$M$271,"Diplomatic",'Event Log'!$B$2:$B$271,"&gt;="&amp;DATE(2026,3,1),'Event Log'!$B$2:$B$271,"&lt;="&amp;DATE(2026,3,31))</f>
        <v>3</v>
      </c>
      <c r="F3" s="6" t="s">
        <v>1566</v>
      </c>
      <c r="G3" s="6" t="s">
        <v>1567</v>
      </c>
    </row>
    <row r="4" customFormat="false" ht="23.85" hidden="false" customHeight="false" outlineLevel="0" collapsed="false">
      <c r="A4" s="6" t="s">
        <v>1568</v>
      </c>
      <c r="B4" s="6" t="n">
        <f aca="false">COUNTIFS('Event Log'!$C$2:$C$271,"US*",'Event Log'!$M$2:$M$271,"Kinetic",'Event Log'!$B$2:$B$271,"&gt;="&amp;DATE(2026,4,1),'Event Log'!$B$2:$B$271,"&lt;="&amp;DATE(2026,4,30))+COUNTIFS('Event Log'!$C$2:$C$271,"Israel*",'Event Log'!$M$2:$M$271,"Kinetic",'Event Log'!$B$2:$B$271,"&gt;="&amp;DATE(2026,4,1),'Event Log'!$B$2:$B$271,"&lt;="&amp;DATE(2026,4,30))</f>
        <v>2</v>
      </c>
      <c r="C4" s="6" t="n">
        <f aca="false">COUNTIFS('Event Log'!$C$2:$C$271,"Iran*",'Event Log'!$M$2:$M$271,"Kinetic",'Event Log'!$B$2:$B$271,"&gt;="&amp;DATE(2026,4,1),'Event Log'!$B$2:$B$271,"&lt;="&amp;DATE(2026,4,30))</f>
        <v>1</v>
      </c>
      <c r="D4" s="6" t="n">
        <f aca="false">COUNTIFS('Event Log'!$M$2:$M$271,"Maritime",'Event Log'!$B$2:$B$271,"&gt;="&amp;DATE(2026,4,1),'Event Log'!$B$2:$B$271,"&lt;="&amp;DATE(2026,4,30))</f>
        <v>6</v>
      </c>
      <c r="E4" s="6" t="n">
        <f aca="false">COUNTIFS('Event Log'!$M$2:$M$271,"Diplomatic",'Event Log'!$B$2:$B$271,"&gt;="&amp;DATE(2026,4,1),'Event Log'!$B$2:$B$271,"&lt;="&amp;DATE(2026,4,30))</f>
        <v>4</v>
      </c>
      <c r="F4" s="6" t="s">
        <v>1569</v>
      </c>
      <c r="G4" s="6" t="s">
        <v>1570</v>
      </c>
    </row>
    <row r="5" customFormat="false" ht="23.85" hidden="false" customHeight="false" outlineLevel="0" collapsed="false">
      <c r="A5" s="6" t="s">
        <v>1571</v>
      </c>
      <c r="B5" s="6" t="n">
        <f aca="false">COUNTIFS('Event Log'!$C$2:$C$271,"US*",'Event Log'!$M$2:$M$271,"Kinetic",'Event Log'!$B$2:$B$271,"&gt;="&amp;DATE(2026,5,1),'Event Log'!$B$2:$B$271,"&lt;="&amp;DATE(2026,5,31))+COUNTIFS('Event Log'!$C$2:$C$271,"Israel*",'Event Log'!$M$2:$M$271,"Kinetic",'Event Log'!$B$2:$B$271,"&gt;="&amp;DATE(2026,5,1),'Event Log'!$B$2:$B$271,"&lt;="&amp;DATE(2026,5,31))</f>
        <v>2</v>
      </c>
      <c r="C5" s="6" t="n">
        <f aca="false">COUNTIFS('Event Log'!$C$2:$C$271,"Iran*",'Event Log'!$M$2:$M$271,"Kinetic",'Event Log'!$B$2:$B$271,"&gt;="&amp;DATE(2026,5,1),'Event Log'!$B$2:$B$271,"&lt;="&amp;DATE(2026,5,31))</f>
        <v>2</v>
      </c>
      <c r="D5" s="6" t="n">
        <f aca="false">COUNTIFS('Event Log'!$M$2:$M$271,"Maritime",'Event Log'!$B$2:$B$271,"&gt;="&amp;DATE(2026,5,1),'Event Log'!$B$2:$B$271,"&lt;="&amp;DATE(2026,5,31))</f>
        <v>0</v>
      </c>
      <c r="E5" s="6" t="n">
        <f aca="false">COUNTIFS('Event Log'!$M$2:$M$271,"Diplomatic",'Event Log'!$B$2:$B$271,"&gt;="&amp;DATE(2026,5,1),'Event Log'!$B$2:$B$271,"&lt;="&amp;DATE(2026,5,31))</f>
        <v>0</v>
      </c>
      <c r="F5" s="6" t="s">
        <v>1572</v>
      </c>
      <c r="G5" s="6" t="s">
        <v>1573</v>
      </c>
    </row>
    <row r="6" customFormat="false" ht="15" hidden="false" customHeight="false" outlineLevel="0" collapsed="false">
      <c r="A6" s="6" t="s">
        <v>1574</v>
      </c>
      <c r="B6" s="6" t="n">
        <f aca="false">COUNTIFS('Event Log'!$C$2:$C$271,"US*",'Event Log'!$M$2:$M$271,"Kinetic",'Event Log'!$B$2:$B$271,"&gt;="&amp;DATE(2026,6,1),'Event Log'!$B$2:$B$271,"&lt;="&amp;DATE(2026,6,30))+COUNTIFS('Event Log'!$C$2:$C$271,"Israel*",'Event Log'!$M$2:$M$271,"Kinetic",'Event Log'!$B$2:$B$271,"&gt;="&amp;DATE(2026,6,1),'Event Log'!$B$2:$B$271,"&lt;="&amp;DATE(2026,6,30))</f>
        <v>4</v>
      </c>
      <c r="C6" s="6" t="n">
        <f aca="false">COUNTIFS('Event Log'!$C$2:$C$271,"Iran*",'Event Log'!$M$2:$M$271,"Kinetic",'Event Log'!$B$2:$B$271,"&gt;="&amp;DATE(2026,6,1),'Event Log'!$B$2:$B$271,"&lt;="&amp;DATE(2026,6,30))</f>
        <v>5</v>
      </c>
      <c r="D6" s="6" t="n">
        <f aca="false">COUNTIFS('Event Log'!$M$2:$M$271,"Maritime",'Event Log'!$B$2:$B$271,"&gt;="&amp;DATE(2026,6,1),'Event Log'!$B$2:$B$271,"&lt;="&amp;DATE(2026,6,30))</f>
        <v>3</v>
      </c>
      <c r="E6" s="6" t="n">
        <f aca="false">COUNTIFS('Event Log'!$M$2:$M$271,"Diplomatic",'Event Log'!$B$2:$B$271,"&gt;="&amp;DATE(2026,6,1),'Event Log'!$B$2:$B$271,"&lt;="&amp;DATE(2026,6,30))</f>
        <v>3</v>
      </c>
      <c r="F6" s="6" t="s">
        <v>1575</v>
      </c>
      <c r="G6" s="6" t="s">
        <v>1576</v>
      </c>
    </row>
    <row r="7" customFormat="false" ht="15" hidden="false" customHeight="false" outlineLevel="0" collapsed="false">
      <c r="A7" s="6" t="s">
        <v>1577</v>
      </c>
      <c r="B7" s="6" t="n">
        <f aca="false">COUNTIFS('Event Log'!$C$2:$C$271,"US*",'Event Log'!$M$2:$M$271,"Kinetic",'Event Log'!$B$2:$B$271,"&gt;="&amp;DATE(2026,7,1),'Event Log'!$B$2:$B$271,"&lt;="&amp;DATE(2026,7,31))+COUNTIFS('Event Log'!$C$2:$C$271,"Israel*",'Event Log'!$M$2:$M$271,"Kinetic",'Event Log'!$B$2:$B$271,"&gt;="&amp;DATE(2026,7,1),'Event Log'!$B$2:$B$271,"&lt;="&amp;DATE(2026,7,31))</f>
        <v>1</v>
      </c>
      <c r="C7" s="6" t="n">
        <f aca="false">COUNTIFS('Event Log'!$C$2:$C$271,"Iran*",'Event Log'!$M$2:$M$271,"Kinetic",'Event Log'!$B$2:$B$271,"&gt;="&amp;DATE(2026,7,1),'Event Log'!$B$2:$B$271,"&lt;="&amp;DATE(2026,7,31))</f>
        <v>6</v>
      </c>
      <c r="D7" s="6" t="n">
        <f aca="false">COUNTIFS('Event Log'!$M$2:$M$271,"Maritime",'Event Log'!$B$2:$B$271,"&gt;="&amp;DATE(2026,7,1),'Event Log'!$B$2:$B$271,"&lt;="&amp;DATE(2026,7,31))</f>
        <v>2</v>
      </c>
      <c r="E7" s="6" t="n">
        <f aca="false">COUNTIFS('Event Log'!$M$2:$M$271,"Diplomatic",'Event Log'!$B$2:$B$271,"&gt;="&amp;DATE(2026,7,1),'Event Log'!$B$2:$B$271,"&lt;="&amp;DATE(2026,7,31))</f>
        <v>1</v>
      </c>
      <c r="F7" s="6" t="s">
        <v>1578</v>
      </c>
      <c r="G7" s="6" t="s">
        <v>1579</v>
      </c>
    </row>
    <row r="8" customFormat="false" ht="15" hidden="false" customHeight="false" outlineLevel="0" collapsed="false">
      <c r="A8" s="6" t="s">
        <v>1580</v>
      </c>
      <c r="B8" s="6" t="n">
        <f aca="false">COUNTIFS('Event Log'!$C$2:$C$271,"US*",'Event Log'!$M$2:$M$271,"Kinetic",'Event Log'!$B$2:$B$271,"&gt;="&amp;DATE(2026,8,1),'Event Log'!$B$2:$B$271,"&lt;="&amp;DATE(2026,8,31))+COUNTIFS('Event Log'!$C$2:$C$271,"Israel*",'Event Log'!$M$2:$M$271,"Kinetic",'Event Log'!$B$2:$B$271,"&gt;="&amp;DATE(2026,8,1),'Event Log'!$B$2:$B$271,"&lt;="&amp;DATE(2026,8,31))</f>
        <v>1</v>
      </c>
      <c r="C8" s="6" t="n">
        <f aca="false">COUNTIFS('Event Log'!$C$2:$C$271,"Iran*",'Event Log'!$M$2:$M$271,"Kinetic",'Event Log'!$B$2:$B$271,"&gt;="&amp;DATE(2026,8,1),'Event Log'!$B$2:$B$271,"&lt;="&amp;DATE(2026,8,31))</f>
        <v>1</v>
      </c>
      <c r="D8" s="6" t="n">
        <f aca="false">COUNTIFS('Event Log'!$M$2:$M$271,"Maritime",'Event Log'!$B$2:$B$271,"&gt;="&amp;DATE(2026,8,1),'Event Log'!$B$2:$B$271,"&lt;="&amp;DATE(2026,8,31))</f>
        <v>2</v>
      </c>
      <c r="E8" s="6" t="n">
        <f aca="false">COUNTIFS('Event Log'!$M$2:$M$271,"Diplomatic",'Event Log'!$B$2:$B$271,"&gt;="&amp;DATE(2026,8,1),'Event Log'!$B$2:$B$271,"&lt;="&amp;DATE(2026,8,31))</f>
        <v>0</v>
      </c>
      <c r="F8" s="6" t="s">
        <v>1581</v>
      </c>
      <c r="G8" s="6" t="s">
        <v>1582</v>
      </c>
    </row>
    <row r="9" customFormat="false" ht="23.85" hidden="false" customHeight="false" outlineLevel="0" collapsed="false">
      <c r="A9" s="6" t="s">
        <v>1583</v>
      </c>
      <c r="B9" s="6" t="n">
        <f aca="false">COUNTIFS('Event Log'!$C$2:$C$271,"US*",'Event Log'!$M$2:$M$271,"Kinetic",'Event Log'!$B$2:$B$271,"&gt;="&amp;DATE(2026,9,1),'Event Log'!$B$2:$B$271,"&lt;="&amp;DATE(2026,9,30))+COUNTIFS('Event Log'!$C$2:$C$271,"Israel*",'Event Log'!$M$2:$M$271,"Kinetic",'Event Log'!$B$2:$B$271,"&gt;="&amp;DATE(2026,9,1),'Event Log'!$B$2:$B$271,"&lt;="&amp;DATE(2026,9,30))</f>
        <v>4</v>
      </c>
      <c r="C9" s="6" t="n">
        <f aca="false">COUNTIFS('Event Log'!$C$2:$C$271,"Iran*",'Event Log'!$M$2:$M$271,"Kinetic",'Event Log'!$B$2:$B$271,"&gt;="&amp;DATE(2026,9,1),'Event Log'!$B$2:$B$271,"&lt;="&amp;DATE(2026,9,30))</f>
        <v>4</v>
      </c>
      <c r="D9" s="6" t="n">
        <f aca="false">COUNTIFS('Event Log'!$M$2:$M$271,"Maritime",'Event Log'!$B$2:$B$271,"&gt;="&amp;DATE(2026,9,1),'Event Log'!$B$2:$B$271,"&lt;="&amp;DATE(2026,9,30))</f>
        <v>1</v>
      </c>
      <c r="E9" s="6" t="n">
        <f aca="false">COUNTIFS('Event Log'!$M$2:$M$271,"Diplomatic",'Event Log'!$B$2:$B$271,"&gt;="&amp;DATE(2026,9,1),'Event Log'!$B$2:$B$271,"&lt;="&amp;DATE(2026,9,30))</f>
        <v>3</v>
      </c>
      <c r="F9" s="6" t="s">
        <v>1584</v>
      </c>
      <c r="G9" s="6" t="s">
        <v>1585</v>
      </c>
    </row>
    <row r="10" customFormat="false" ht="46.25" hidden="false" customHeight="false" outlineLevel="0" collapsed="false">
      <c r="A10" s="6" t="s">
        <v>1586</v>
      </c>
      <c r="B10" s="6" t="n">
        <f aca="false">COUNTIFS('Event Log'!$C$2:$C$271,"US*",'Event Log'!$M$2:$M$271,"Kinetic",'Event Log'!$B$2:$B$271,"&gt;="&amp;DATE(2026,10,1),'Event Log'!$B$2:$B$271,"&lt;="&amp;DATE(2026,10,31))+COUNTIFS('Event Log'!$C$2:$C$271,"Israel*",'Event Log'!$M$2:$M$271,"Kinetic",'Event Log'!$B$2:$B$271,"&gt;="&amp;DATE(2026,10,1),'Event Log'!$B$2:$B$271,"&lt;="&amp;DATE(2026,10,31))</f>
        <v>1</v>
      </c>
      <c r="C10" s="6" t="n">
        <f aca="false">COUNTIFS('Event Log'!$C$2:$C$271,"Iran*",'Event Log'!$M$2:$M$271,"Kinetic",'Event Log'!$B$2:$B$271,"&gt;="&amp;DATE(2026,10,1),'Event Log'!$B$2:$B$271,"&lt;="&amp;DATE(2026,10,31))</f>
        <v>0</v>
      </c>
      <c r="D10" s="6" t="n">
        <f aca="false">COUNTIFS('Event Log'!$M$2:$M$271,"Maritime",'Event Log'!$B$2:$B$271,"&gt;="&amp;DATE(2026,10,1),'Event Log'!$B$2:$B$271,"&lt;="&amp;DATE(2026,10,31))</f>
        <v>16</v>
      </c>
      <c r="E10" s="6" t="n">
        <f aca="false">COUNTIFS('Event Log'!$M$2:$M$271,"Diplomatic",'Event Log'!$B$2:$B$271,"&gt;="&amp;DATE(2026,10,1),'Event Log'!$B$2:$B$271,"&lt;="&amp;DATE(2026,10,31))</f>
        <v>14</v>
      </c>
      <c r="F10" s="6" t="s">
        <v>1587</v>
      </c>
      <c r="G10" s="6" t="s">
        <v>1588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1589</v>
      </c>
      <c r="B1" s="13" t="s">
        <v>1590</v>
      </c>
      <c r="C1" s="13" t="s">
        <v>1591</v>
      </c>
      <c r="D1" s="13" t="s">
        <v>1592</v>
      </c>
      <c r="E1" s="13" t="s">
        <v>1593</v>
      </c>
      <c r="F1" s="13" t="s">
        <v>1594</v>
      </c>
      <c r="G1" s="13" t="s">
        <v>1595</v>
      </c>
      <c r="H1" s="13" t="s">
        <v>1596</v>
      </c>
      <c r="I1" s="13" t="s">
        <v>1597</v>
      </c>
      <c r="J1" s="13" t="s">
        <v>1598</v>
      </c>
      <c r="K1" s="13" t="s">
        <v>1599</v>
      </c>
      <c r="L1" s="13" t="s">
        <v>1600</v>
      </c>
    </row>
    <row r="2" customFormat="false" ht="23.85" hidden="false" customHeight="false" outlineLevel="0" collapsed="false">
      <c r="A2" s="6" t="s">
        <v>1601</v>
      </c>
      <c r="B2" s="6" t="n">
        <v>1</v>
      </c>
      <c r="C2" s="6" t="s">
        <v>1602</v>
      </c>
      <c r="D2" s="6" t="s">
        <v>1603</v>
      </c>
      <c r="E2" s="6" t="s">
        <v>1604</v>
      </c>
      <c r="F2" s="6" t="s">
        <v>1605</v>
      </c>
      <c r="G2" s="6" t="s">
        <v>1606</v>
      </c>
      <c r="H2" s="6" t="s">
        <v>1607</v>
      </c>
      <c r="I2" s="6"/>
      <c r="J2" s="6" t="n">
        <v>0.8</v>
      </c>
      <c r="K2" s="6" t="n">
        <v>1</v>
      </c>
      <c r="L2" s="6" t="n">
        <v>0.8</v>
      </c>
    </row>
    <row r="3" customFormat="false" ht="23.85" hidden="false" customHeight="false" outlineLevel="0" collapsed="false">
      <c r="A3" s="6" t="s">
        <v>1608</v>
      </c>
      <c r="B3" s="6" t="n">
        <v>1</v>
      </c>
      <c r="C3" s="6" t="s">
        <v>1609</v>
      </c>
      <c r="D3" s="6" t="s">
        <v>1603</v>
      </c>
      <c r="E3" s="6" t="s">
        <v>1610</v>
      </c>
      <c r="F3" s="6" t="s">
        <v>1605</v>
      </c>
      <c r="G3" s="6" t="s">
        <v>1611</v>
      </c>
      <c r="H3" s="6" t="s">
        <v>1607</v>
      </c>
      <c r="I3" s="6"/>
      <c r="J3" s="6" t="n">
        <v>0.8</v>
      </c>
      <c r="K3" s="6" t="n">
        <v>1</v>
      </c>
      <c r="L3" s="6" t="n">
        <v>0.8</v>
      </c>
    </row>
    <row r="4" customFormat="false" ht="23.85" hidden="false" customHeight="false" outlineLevel="0" collapsed="false">
      <c r="A4" s="6" t="s">
        <v>1612</v>
      </c>
      <c r="B4" s="6" t="n">
        <v>2</v>
      </c>
      <c r="C4" s="6" t="s">
        <v>1602</v>
      </c>
      <c r="D4" s="6" t="s">
        <v>1603</v>
      </c>
      <c r="E4" s="6" t="s">
        <v>1604</v>
      </c>
      <c r="F4" s="6" t="s">
        <v>1605</v>
      </c>
      <c r="G4" s="6" t="s">
        <v>1606</v>
      </c>
      <c r="H4" s="6" t="s">
        <v>1607</v>
      </c>
      <c r="I4" s="6"/>
      <c r="J4" s="6" t="n">
        <v>0.8</v>
      </c>
      <c r="K4" s="6" t="n">
        <v>1</v>
      </c>
      <c r="L4" s="6" t="n">
        <v>0.8</v>
      </c>
    </row>
    <row r="5" customFormat="false" ht="23.85" hidden="false" customHeight="false" outlineLevel="0" collapsed="false">
      <c r="A5" s="6" t="s">
        <v>1613</v>
      </c>
      <c r="B5" s="6" t="n">
        <v>2</v>
      </c>
      <c r="C5" s="6" t="s">
        <v>1614</v>
      </c>
      <c r="D5" s="6" t="s">
        <v>1603</v>
      </c>
      <c r="E5" s="6" t="s">
        <v>1615</v>
      </c>
      <c r="F5" s="6" t="s">
        <v>1616</v>
      </c>
      <c r="G5" s="6" t="s">
        <v>1617</v>
      </c>
      <c r="H5" s="6" t="s">
        <v>1607</v>
      </c>
      <c r="I5" s="6"/>
      <c r="J5" s="6" t="n">
        <v>0.8</v>
      </c>
      <c r="K5" s="6" t="n">
        <v>1</v>
      </c>
      <c r="L5" s="6" t="n">
        <v>0.8</v>
      </c>
    </row>
    <row r="6" customFormat="false" ht="23.85" hidden="false" customHeight="false" outlineLevel="0" collapsed="false">
      <c r="A6" s="6" t="s">
        <v>1618</v>
      </c>
      <c r="B6" s="6" t="n">
        <v>2</v>
      </c>
      <c r="C6" s="6" t="s">
        <v>1619</v>
      </c>
      <c r="D6" s="6" t="s">
        <v>1603</v>
      </c>
      <c r="E6" s="6" t="s">
        <v>1620</v>
      </c>
      <c r="F6" s="6" t="s">
        <v>1621</v>
      </c>
      <c r="G6" s="6" t="s">
        <v>1622</v>
      </c>
      <c r="H6" s="6" t="s">
        <v>1607</v>
      </c>
      <c r="I6" s="6"/>
      <c r="J6" s="6" t="n">
        <v>0.8</v>
      </c>
      <c r="K6" s="6" t="n">
        <v>1</v>
      </c>
      <c r="L6" s="6" t="n">
        <v>0.8</v>
      </c>
    </row>
    <row r="7" customFormat="false" ht="23.85" hidden="false" customHeight="false" outlineLevel="0" collapsed="false">
      <c r="A7" s="6" t="s">
        <v>1623</v>
      </c>
      <c r="B7" s="6" t="n">
        <v>3</v>
      </c>
      <c r="C7" s="6" t="s">
        <v>1624</v>
      </c>
      <c r="D7" s="6" t="s">
        <v>1603</v>
      </c>
      <c r="E7" s="6" t="s">
        <v>1625</v>
      </c>
      <c r="F7" s="6" t="s">
        <v>1626</v>
      </c>
      <c r="G7" s="6" t="s">
        <v>1627</v>
      </c>
      <c r="H7" s="6" t="s">
        <v>1607</v>
      </c>
      <c r="I7" s="6"/>
      <c r="J7" s="6" t="n">
        <v>0.8</v>
      </c>
      <c r="K7" s="6" t="n">
        <v>1</v>
      </c>
      <c r="L7" s="6" t="n">
        <v>0.8</v>
      </c>
    </row>
    <row r="8" customFormat="false" ht="23.85" hidden="false" customHeight="false" outlineLevel="0" collapsed="false">
      <c r="A8" s="6" t="s">
        <v>1628</v>
      </c>
      <c r="B8" s="6" t="n">
        <v>3</v>
      </c>
      <c r="C8" s="6" t="s">
        <v>1629</v>
      </c>
      <c r="D8" s="6" t="s">
        <v>1603</v>
      </c>
      <c r="E8" s="6" t="s">
        <v>1630</v>
      </c>
      <c r="F8" s="6" t="s">
        <v>1605</v>
      </c>
      <c r="G8" s="6" t="s">
        <v>1631</v>
      </c>
      <c r="H8" s="6" t="s">
        <v>1607</v>
      </c>
      <c r="I8" s="6"/>
      <c r="J8" s="6" t="n">
        <v>0.8</v>
      </c>
      <c r="K8" s="6" t="n">
        <v>1</v>
      </c>
      <c r="L8" s="6" t="n">
        <v>0.8</v>
      </c>
    </row>
    <row r="9" customFormat="false" ht="15" hidden="false" customHeight="false" outlineLevel="0" collapsed="false">
      <c r="A9" s="6" t="s">
        <v>1632</v>
      </c>
      <c r="B9" s="6" t="n">
        <v>3</v>
      </c>
      <c r="C9" s="6" t="s">
        <v>1633</v>
      </c>
      <c r="D9" s="6" t="s">
        <v>1603</v>
      </c>
      <c r="E9" s="6" t="s">
        <v>1634</v>
      </c>
      <c r="F9" s="6" t="s">
        <v>1605</v>
      </c>
      <c r="G9" s="6" t="s">
        <v>1635</v>
      </c>
      <c r="H9" s="6" t="s">
        <v>1607</v>
      </c>
      <c r="I9" s="6"/>
      <c r="J9" s="6" t="n">
        <v>0.8</v>
      </c>
      <c r="K9" s="6" t="n">
        <v>1</v>
      </c>
      <c r="L9" s="6" t="n">
        <v>0.8</v>
      </c>
    </row>
    <row r="10" customFormat="false" ht="23.85" hidden="false" customHeight="false" outlineLevel="0" collapsed="false">
      <c r="A10" s="6" t="s">
        <v>1636</v>
      </c>
      <c r="B10" s="6" t="n">
        <v>4</v>
      </c>
      <c r="C10" s="6" t="s">
        <v>1637</v>
      </c>
      <c r="D10" s="6" t="s">
        <v>1603</v>
      </c>
      <c r="E10" s="6" t="s">
        <v>1638</v>
      </c>
      <c r="F10" s="6" t="s">
        <v>1639</v>
      </c>
      <c r="G10" s="6" t="s">
        <v>1640</v>
      </c>
      <c r="H10" s="6" t="s">
        <v>1607</v>
      </c>
      <c r="I10" s="6"/>
      <c r="J10" s="6" t="n">
        <v>0.8</v>
      </c>
      <c r="K10" s="6" t="n">
        <v>1</v>
      </c>
      <c r="L10" s="6" t="n">
        <v>0.8</v>
      </c>
    </row>
    <row r="11" customFormat="false" ht="23.85" hidden="false" customHeight="false" outlineLevel="0" collapsed="false">
      <c r="A11" s="6" t="s">
        <v>1641</v>
      </c>
      <c r="B11" s="6" t="n">
        <v>4</v>
      </c>
      <c r="C11" s="6" t="s">
        <v>1642</v>
      </c>
      <c r="D11" s="6" t="s">
        <v>1603</v>
      </c>
      <c r="E11" s="6" t="s">
        <v>1643</v>
      </c>
      <c r="F11" s="6" t="s">
        <v>1644</v>
      </c>
      <c r="G11" s="6" t="s">
        <v>1645</v>
      </c>
      <c r="H11" s="6" t="s">
        <v>1607</v>
      </c>
      <c r="I11" s="6"/>
      <c r="J11" s="6" t="n">
        <v>0.8</v>
      </c>
      <c r="K11" s="6" t="n">
        <v>1</v>
      </c>
      <c r="L11" s="6" t="n">
        <v>0.8</v>
      </c>
    </row>
    <row r="12" customFormat="false" ht="23.85" hidden="false" customHeight="false" outlineLevel="0" collapsed="false">
      <c r="A12" s="6" t="s">
        <v>1646</v>
      </c>
      <c r="B12" s="6" t="n">
        <v>5</v>
      </c>
      <c r="C12" s="6" t="s">
        <v>1647</v>
      </c>
      <c r="D12" s="6" t="s">
        <v>1603</v>
      </c>
      <c r="E12" s="6" t="s">
        <v>1648</v>
      </c>
      <c r="F12" s="6" t="s">
        <v>1639</v>
      </c>
      <c r="G12" s="6" t="s">
        <v>1649</v>
      </c>
      <c r="H12" s="6" t="s">
        <v>1607</v>
      </c>
      <c r="I12" s="6"/>
      <c r="J12" s="6" t="n">
        <v>0.8</v>
      </c>
      <c r="K12" s="6" t="n">
        <v>1</v>
      </c>
      <c r="L12" s="6" t="n">
        <v>0.8</v>
      </c>
    </row>
    <row r="13" customFormat="false" ht="23.85" hidden="false" customHeight="false" outlineLevel="0" collapsed="false">
      <c r="A13" s="6" t="s">
        <v>1650</v>
      </c>
      <c r="B13" s="6" t="n">
        <v>5</v>
      </c>
      <c r="C13" s="6" t="s">
        <v>1651</v>
      </c>
      <c r="D13" s="6" t="s">
        <v>1603</v>
      </c>
      <c r="E13" s="6" t="s">
        <v>1652</v>
      </c>
      <c r="F13" s="6" t="s">
        <v>1626</v>
      </c>
      <c r="G13" s="6" t="s">
        <v>1653</v>
      </c>
      <c r="H13" s="6" t="s">
        <v>1607</v>
      </c>
      <c r="I13" s="6"/>
      <c r="J13" s="6" t="n">
        <v>0.8</v>
      </c>
      <c r="K13" s="6" t="n">
        <v>1</v>
      </c>
      <c r="L13" s="6" t="n">
        <v>0.8</v>
      </c>
    </row>
    <row r="14" customFormat="false" ht="23.85" hidden="false" customHeight="false" outlineLevel="0" collapsed="false">
      <c r="A14" s="6" t="s">
        <v>1654</v>
      </c>
      <c r="B14" s="6" t="n">
        <v>5</v>
      </c>
      <c r="C14" s="6" t="s">
        <v>1655</v>
      </c>
      <c r="D14" s="6" t="s">
        <v>1603</v>
      </c>
      <c r="E14" s="6" t="s">
        <v>1656</v>
      </c>
      <c r="F14" s="6" t="s">
        <v>1626</v>
      </c>
      <c r="G14" s="6" t="s">
        <v>1657</v>
      </c>
      <c r="H14" s="6" t="s">
        <v>1607</v>
      </c>
      <c r="I14" s="6"/>
      <c r="J14" s="6" t="n">
        <v>0.8</v>
      </c>
      <c r="K14" s="6" t="n">
        <v>1</v>
      </c>
      <c r="L14" s="6" t="n">
        <v>0.8</v>
      </c>
    </row>
    <row r="15" customFormat="false" ht="23.85" hidden="false" customHeight="false" outlineLevel="0" collapsed="false">
      <c r="A15" s="6" t="s">
        <v>1658</v>
      </c>
      <c r="B15" s="6" t="n">
        <v>6</v>
      </c>
      <c r="C15" s="6" t="s">
        <v>1647</v>
      </c>
      <c r="D15" s="6" t="s">
        <v>1603</v>
      </c>
      <c r="E15" s="6" t="s">
        <v>1659</v>
      </c>
      <c r="F15" s="6" t="s">
        <v>1626</v>
      </c>
      <c r="G15" s="6" t="s">
        <v>1660</v>
      </c>
      <c r="H15" s="6" t="s">
        <v>1607</v>
      </c>
      <c r="I15" s="6"/>
      <c r="J15" s="6" t="n">
        <v>0.8</v>
      </c>
      <c r="K15" s="6" t="n">
        <v>1</v>
      </c>
      <c r="L15" s="6" t="n">
        <v>0.8</v>
      </c>
    </row>
    <row r="16" customFormat="false" ht="23.85" hidden="false" customHeight="false" outlineLevel="0" collapsed="false">
      <c r="A16" s="6" t="s">
        <v>1661</v>
      </c>
      <c r="B16" s="6" t="n">
        <v>6</v>
      </c>
      <c r="C16" s="6" t="s">
        <v>1629</v>
      </c>
      <c r="D16" s="6" t="s">
        <v>1603</v>
      </c>
      <c r="E16" s="6" t="s">
        <v>1662</v>
      </c>
      <c r="F16" s="6" t="s">
        <v>1663</v>
      </c>
      <c r="G16" s="6" t="s">
        <v>1664</v>
      </c>
      <c r="H16" s="6" t="s">
        <v>1607</v>
      </c>
      <c r="I16" s="6"/>
      <c r="J16" s="6" t="n">
        <v>0.8</v>
      </c>
      <c r="K16" s="6" t="n">
        <v>1</v>
      </c>
      <c r="L16" s="6" t="n">
        <v>0.8</v>
      </c>
    </row>
    <row r="17" customFormat="false" ht="23.85" hidden="false" customHeight="false" outlineLevel="0" collapsed="false">
      <c r="A17" s="6" t="s">
        <v>1665</v>
      </c>
      <c r="B17" s="6" t="n">
        <v>6</v>
      </c>
      <c r="C17" s="6" t="s">
        <v>1666</v>
      </c>
      <c r="D17" s="6" t="s">
        <v>1603</v>
      </c>
      <c r="E17" s="6" t="s">
        <v>1667</v>
      </c>
      <c r="F17" s="6" t="s">
        <v>1668</v>
      </c>
      <c r="G17" s="6" t="s">
        <v>1669</v>
      </c>
      <c r="H17" s="6" t="s">
        <v>1607</v>
      </c>
      <c r="I17" s="6"/>
      <c r="J17" s="6" t="n">
        <v>0.8</v>
      </c>
      <c r="K17" s="6" t="n">
        <v>1</v>
      </c>
      <c r="L17" s="6" t="n">
        <v>0.8</v>
      </c>
    </row>
    <row r="18" customFormat="false" ht="46.25" hidden="false" customHeight="false" outlineLevel="0" collapsed="false">
      <c r="A18" s="6" t="s">
        <v>1670</v>
      </c>
      <c r="B18" s="6" t="n">
        <v>7</v>
      </c>
      <c r="C18" s="6" t="s">
        <v>1671</v>
      </c>
      <c r="D18" s="6" t="s">
        <v>1603</v>
      </c>
      <c r="E18" s="6" t="s">
        <v>1672</v>
      </c>
      <c r="F18" s="6" t="s">
        <v>1605</v>
      </c>
      <c r="G18" s="6" t="s">
        <v>1673</v>
      </c>
      <c r="H18" s="6" t="s">
        <v>1607</v>
      </c>
      <c r="I18" s="6"/>
      <c r="J18" s="6" t="n">
        <v>0.8</v>
      </c>
      <c r="K18" s="6" t="n">
        <v>1</v>
      </c>
      <c r="L18" s="6" t="n">
        <v>0.8</v>
      </c>
    </row>
    <row r="19" customFormat="false" ht="35.05" hidden="false" customHeight="false" outlineLevel="0" collapsed="false">
      <c r="A19" s="6" t="s">
        <v>1674</v>
      </c>
      <c r="B19" s="6" t="n">
        <v>7</v>
      </c>
      <c r="C19" s="6" t="s">
        <v>1675</v>
      </c>
      <c r="D19" s="6" t="s">
        <v>1603</v>
      </c>
      <c r="E19" s="6" t="s">
        <v>1676</v>
      </c>
      <c r="F19" s="6" t="s">
        <v>1605</v>
      </c>
      <c r="G19" s="6" t="s">
        <v>1677</v>
      </c>
      <c r="H19" s="6" t="s">
        <v>1607</v>
      </c>
      <c r="I19" s="6"/>
      <c r="J19" s="6" t="n">
        <v>0.8</v>
      </c>
      <c r="K19" s="6" t="n">
        <v>1</v>
      </c>
      <c r="L19" s="6" t="n">
        <v>0.8</v>
      </c>
    </row>
    <row r="20" customFormat="false" ht="23.85" hidden="false" customHeight="false" outlineLevel="0" collapsed="false">
      <c r="A20" s="6" t="s">
        <v>1678</v>
      </c>
      <c r="B20" s="6" t="n">
        <v>8</v>
      </c>
      <c r="C20" s="6" t="s">
        <v>1679</v>
      </c>
      <c r="D20" s="6" t="s">
        <v>1603</v>
      </c>
      <c r="E20" s="6" t="s">
        <v>1680</v>
      </c>
      <c r="F20" s="6" t="s">
        <v>1626</v>
      </c>
      <c r="G20" s="6" t="s">
        <v>1681</v>
      </c>
      <c r="H20" s="6" t="s">
        <v>1607</v>
      </c>
      <c r="I20" s="6"/>
      <c r="J20" s="6" t="n">
        <v>0.8</v>
      </c>
      <c r="K20" s="6" t="n">
        <v>1</v>
      </c>
      <c r="L20" s="6" t="n">
        <v>0.8</v>
      </c>
    </row>
    <row r="21" customFormat="false" ht="23.85" hidden="false" customHeight="false" outlineLevel="0" collapsed="false">
      <c r="A21" s="6" t="s">
        <v>1682</v>
      </c>
      <c r="B21" s="6" t="n">
        <v>8</v>
      </c>
      <c r="C21" s="6" t="s">
        <v>1629</v>
      </c>
      <c r="D21" s="6" t="s">
        <v>1603</v>
      </c>
      <c r="E21" s="6" t="s">
        <v>1630</v>
      </c>
      <c r="F21" s="6" t="s">
        <v>1605</v>
      </c>
      <c r="G21" s="6" t="s">
        <v>1631</v>
      </c>
      <c r="H21" s="6" t="s">
        <v>1607</v>
      </c>
      <c r="I21" s="6"/>
      <c r="J21" s="6" t="n">
        <v>0.8</v>
      </c>
      <c r="K21" s="6" t="n">
        <v>1</v>
      </c>
      <c r="L21" s="6" t="n">
        <v>0.8</v>
      </c>
    </row>
    <row r="22" customFormat="false" ht="15" hidden="false" customHeight="false" outlineLevel="0" collapsed="false">
      <c r="A22" s="6" t="s">
        <v>1683</v>
      </c>
      <c r="B22" s="6" t="n">
        <v>8</v>
      </c>
      <c r="C22" s="6" t="s">
        <v>1633</v>
      </c>
      <c r="D22" s="6" t="s">
        <v>1603</v>
      </c>
      <c r="E22" s="6" t="s">
        <v>1634</v>
      </c>
      <c r="F22" s="6" t="s">
        <v>1605</v>
      </c>
      <c r="G22" s="6" t="s">
        <v>1635</v>
      </c>
      <c r="H22" s="6" t="s">
        <v>1607</v>
      </c>
      <c r="I22" s="6"/>
      <c r="J22" s="6" t="n">
        <v>0.8</v>
      </c>
      <c r="K22" s="6" t="n">
        <v>1</v>
      </c>
      <c r="L22" s="6" t="n">
        <v>0.8</v>
      </c>
    </row>
    <row r="23" customFormat="false" ht="23.85" hidden="false" customHeight="false" outlineLevel="0" collapsed="false">
      <c r="A23" s="6" t="s">
        <v>1684</v>
      </c>
      <c r="B23" s="6" t="n">
        <v>9</v>
      </c>
      <c r="C23" s="6" t="s">
        <v>1647</v>
      </c>
      <c r="D23" s="6" t="s">
        <v>1603</v>
      </c>
      <c r="E23" s="6" t="s">
        <v>1685</v>
      </c>
      <c r="F23" s="6" t="s">
        <v>1605</v>
      </c>
      <c r="G23" s="6" t="s">
        <v>1686</v>
      </c>
      <c r="H23" s="6" t="s">
        <v>1607</v>
      </c>
      <c r="I23" s="6"/>
      <c r="J23" s="6" t="n">
        <v>0.8</v>
      </c>
      <c r="K23" s="6" t="n">
        <v>1</v>
      </c>
      <c r="L23" s="6" t="n">
        <v>0.8</v>
      </c>
    </row>
    <row r="24" customFormat="false" ht="23.85" hidden="false" customHeight="false" outlineLevel="0" collapsed="false">
      <c r="A24" s="6" t="s">
        <v>1687</v>
      </c>
      <c r="B24" s="6" t="n">
        <v>9</v>
      </c>
      <c r="C24" s="6" t="s">
        <v>1633</v>
      </c>
      <c r="D24" s="6" t="s">
        <v>1603</v>
      </c>
      <c r="E24" s="6" t="s">
        <v>1688</v>
      </c>
      <c r="F24" s="6" t="s">
        <v>1605</v>
      </c>
      <c r="G24" s="6" t="s">
        <v>1689</v>
      </c>
      <c r="H24" s="6" t="s">
        <v>1607</v>
      </c>
      <c r="I24" s="6"/>
      <c r="J24" s="6" t="n">
        <v>0.8</v>
      </c>
      <c r="K24" s="6" t="n">
        <v>1</v>
      </c>
      <c r="L24" s="6" t="n">
        <v>0.8</v>
      </c>
    </row>
    <row r="25" customFormat="false" ht="23.85" hidden="false" customHeight="false" outlineLevel="0" collapsed="false">
      <c r="A25" s="6" t="s">
        <v>1690</v>
      </c>
      <c r="B25" s="6" t="n">
        <v>10</v>
      </c>
      <c r="C25" s="6" t="s">
        <v>1651</v>
      </c>
      <c r="D25" s="6" t="s">
        <v>1603</v>
      </c>
      <c r="E25" s="6" t="s">
        <v>1691</v>
      </c>
      <c r="F25" s="6" t="s">
        <v>1621</v>
      </c>
      <c r="G25" s="6" t="s">
        <v>1692</v>
      </c>
      <c r="H25" s="6" t="s">
        <v>1607</v>
      </c>
      <c r="I25" s="6"/>
      <c r="J25" s="6" t="n">
        <v>0.8</v>
      </c>
      <c r="K25" s="6" t="n">
        <v>1</v>
      </c>
      <c r="L25" s="6" t="n">
        <v>0.8</v>
      </c>
    </row>
    <row r="26" customFormat="false" ht="35.05" hidden="false" customHeight="false" outlineLevel="0" collapsed="false">
      <c r="A26" s="6" t="s">
        <v>1693</v>
      </c>
      <c r="B26" s="6" t="n">
        <v>11</v>
      </c>
      <c r="C26" s="6" t="s">
        <v>1694</v>
      </c>
      <c r="D26" s="6" t="s">
        <v>1603</v>
      </c>
      <c r="E26" s="6" t="s">
        <v>1695</v>
      </c>
      <c r="F26" s="6" t="s">
        <v>1616</v>
      </c>
      <c r="G26" s="6" t="s">
        <v>1696</v>
      </c>
      <c r="H26" s="6" t="s">
        <v>1607</v>
      </c>
      <c r="I26" s="6"/>
      <c r="J26" s="6" t="n">
        <v>0.8</v>
      </c>
      <c r="K26" s="6" t="n">
        <v>1</v>
      </c>
      <c r="L26" s="6" t="n">
        <v>0.8</v>
      </c>
    </row>
    <row r="27" customFormat="false" ht="23.85" hidden="false" customHeight="false" outlineLevel="0" collapsed="false">
      <c r="A27" s="6" t="s">
        <v>1697</v>
      </c>
      <c r="B27" s="6" t="n">
        <v>12</v>
      </c>
      <c r="C27" s="6" t="s">
        <v>1698</v>
      </c>
      <c r="D27" s="6" t="s">
        <v>1603</v>
      </c>
      <c r="E27" s="6" t="s">
        <v>1699</v>
      </c>
      <c r="F27" s="6" t="s">
        <v>1605</v>
      </c>
      <c r="G27" s="6" t="s">
        <v>1700</v>
      </c>
      <c r="H27" s="6" t="s">
        <v>1701</v>
      </c>
      <c r="I27" s="6"/>
      <c r="J27" s="6" t="n">
        <v>0.8</v>
      </c>
      <c r="K27" s="6" t="n">
        <v>0.8</v>
      </c>
      <c r="L27" s="6" t="n">
        <v>0.64</v>
      </c>
    </row>
    <row r="28" customFormat="false" ht="23.85" hidden="false" customHeight="false" outlineLevel="0" collapsed="false">
      <c r="A28" s="6" t="s">
        <v>1702</v>
      </c>
      <c r="B28" s="6" t="n">
        <v>12</v>
      </c>
      <c r="C28" s="6" t="s">
        <v>1703</v>
      </c>
      <c r="D28" s="6" t="s">
        <v>1603</v>
      </c>
      <c r="E28" s="6" t="s">
        <v>1704</v>
      </c>
      <c r="F28" s="6" t="s">
        <v>1616</v>
      </c>
      <c r="G28" s="6" t="s">
        <v>1705</v>
      </c>
      <c r="H28" s="6" t="s">
        <v>1607</v>
      </c>
      <c r="I28" s="6"/>
      <c r="J28" s="6" t="n">
        <v>0.8</v>
      </c>
      <c r="K28" s="6" t="n">
        <v>1</v>
      </c>
      <c r="L28" s="6" t="n">
        <v>0.8</v>
      </c>
    </row>
    <row r="29" customFormat="false" ht="23.85" hidden="false" customHeight="false" outlineLevel="0" collapsed="false">
      <c r="A29" s="6" t="s">
        <v>1706</v>
      </c>
      <c r="B29" s="6" t="n">
        <v>13</v>
      </c>
      <c r="C29" s="6" t="s">
        <v>1647</v>
      </c>
      <c r="D29" s="6" t="s">
        <v>1603</v>
      </c>
      <c r="E29" s="6" t="s">
        <v>1707</v>
      </c>
      <c r="F29" s="6" t="s">
        <v>1621</v>
      </c>
      <c r="G29" s="6" t="s">
        <v>1708</v>
      </c>
      <c r="H29" s="6" t="s">
        <v>1607</v>
      </c>
      <c r="I29" s="6"/>
      <c r="J29" s="6" t="n">
        <v>0.8</v>
      </c>
      <c r="K29" s="6" t="n">
        <v>1</v>
      </c>
      <c r="L29" s="6" t="n">
        <v>0.8</v>
      </c>
    </row>
    <row r="30" customFormat="false" ht="23.85" hidden="false" customHeight="false" outlineLevel="0" collapsed="false">
      <c r="A30" s="6" t="s">
        <v>1709</v>
      </c>
      <c r="B30" s="6" t="n">
        <v>13</v>
      </c>
      <c r="C30" s="6" t="s">
        <v>1710</v>
      </c>
      <c r="D30" s="6" t="s">
        <v>1603</v>
      </c>
      <c r="E30" s="6" t="s">
        <v>1711</v>
      </c>
      <c r="F30" s="6" t="s">
        <v>1712</v>
      </c>
      <c r="G30" s="6" t="s">
        <v>1713</v>
      </c>
      <c r="H30" s="6" t="s">
        <v>1607</v>
      </c>
      <c r="I30" s="6"/>
      <c r="J30" s="6" t="n">
        <v>0.8</v>
      </c>
      <c r="K30" s="6" t="n">
        <v>1</v>
      </c>
      <c r="L30" s="6" t="n">
        <v>0.8</v>
      </c>
    </row>
    <row r="31" customFormat="false" ht="23.85" hidden="false" customHeight="false" outlineLevel="0" collapsed="false">
      <c r="A31" s="6" t="s">
        <v>1714</v>
      </c>
      <c r="B31" s="6" t="n">
        <v>13</v>
      </c>
      <c r="C31" s="6" t="s">
        <v>1715</v>
      </c>
      <c r="D31" s="6" t="s">
        <v>1603</v>
      </c>
      <c r="E31" s="6" t="s">
        <v>1716</v>
      </c>
      <c r="F31" s="6" t="s">
        <v>1717</v>
      </c>
      <c r="G31" s="6" t="s">
        <v>1718</v>
      </c>
      <c r="H31" s="6" t="s">
        <v>1607</v>
      </c>
      <c r="I31" s="6"/>
      <c r="J31" s="6" t="n">
        <v>0.8</v>
      </c>
      <c r="K31" s="6" t="n">
        <v>1</v>
      </c>
      <c r="L31" s="6" t="n">
        <v>0.8</v>
      </c>
    </row>
    <row r="32" customFormat="false" ht="23.85" hidden="false" customHeight="false" outlineLevel="0" collapsed="false">
      <c r="A32" s="6" t="s">
        <v>1719</v>
      </c>
      <c r="B32" s="6" t="n">
        <v>14</v>
      </c>
      <c r="C32" s="6" t="s">
        <v>1720</v>
      </c>
      <c r="D32" s="6" t="s">
        <v>1603</v>
      </c>
      <c r="E32" s="6" t="s">
        <v>1721</v>
      </c>
      <c r="F32" s="6" t="s">
        <v>1722</v>
      </c>
      <c r="G32" s="6" t="s">
        <v>1723</v>
      </c>
      <c r="H32" s="6" t="s">
        <v>1607</v>
      </c>
      <c r="I32" s="6"/>
      <c r="J32" s="6" t="n">
        <v>0.8</v>
      </c>
      <c r="K32" s="6" t="n">
        <v>1</v>
      </c>
      <c r="L32" s="6" t="n">
        <v>0.8</v>
      </c>
    </row>
    <row r="33" customFormat="false" ht="23.85" hidden="false" customHeight="false" outlineLevel="0" collapsed="false">
      <c r="A33" s="6" t="s">
        <v>1724</v>
      </c>
      <c r="B33" s="6" t="n">
        <v>14</v>
      </c>
      <c r="C33" s="6" t="s">
        <v>1725</v>
      </c>
      <c r="D33" s="6" t="s">
        <v>1603</v>
      </c>
      <c r="E33" s="6" t="s">
        <v>1726</v>
      </c>
      <c r="F33" s="6" t="s">
        <v>1727</v>
      </c>
      <c r="G33" s="6" t="s">
        <v>1728</v>
      </c>
      <c r="H33" s="6" t="s">
        <v>1607</v>
      </c>
      <c r="I33" s="6"/>
      <c r="J33" s="6" t="n">
        <v>0.8</v>
      </c>
      <c r="K33" s="6" t="n">
        <v>1</v>
      </c>
      <c r="L33" s="6" t="n">
        <v>0.8</v>
      </c>
    </row>
    <row r="34" customFormat="false" ht="23.85" hidden="false" customHeight="false" outlineLevel="0" collapsed="false">
      <c r="A34" s="6" t="s">
        <v>1729</v>
      </c>
      <c r="B34" s="6" t="n">
        <v>14</v>
      </c>
      <c r="C34" s="6" t="s">
        <v>1730</v>
      </c>
      <c r="D34" s="6" t="s">
        <v>1603</v>
      </c>
      <c r="E34" s="6" t="s">
        <v>1731</v>
      </c>
      <c r="F34" s="6" t="s">
        <v>1732</v>
      </c>
      <c r="G34" s="6" t="s">
        <v>1733</v>
      </c>
      <c r="H34" s="6" t="s">
        <v>1607</v>
      </c>
      <c r="I34" s="6"/>
      <c r="J34" s="6" t="n">
        <v>0.8</v>
      </c>
      <c r="K34" s="6" t="n">
        <v>1</v>
      </c>
      <c r="L34" s="6" t="n">
        <v>0.8</v>
      </c>
    </row>
    <row r="35" customFormat="false" ht="23.85" hidden="false" customHeight="false" outlineLevel="0" collapsed="false">
      <c r="A35" s="6" t="s">
        <v>1734</v>
      </c>
      <c r="B35" s="6" t="n">
        <v>15</v>
      </c>
      <c r="C35" s="6" t="s">
        <v>1735</v>
      </c>
      <c r="D35" s="6" t="s">
        <v>1603</v>
      </c>
      <c r="E35" s="6" t="s">
        <v>1736</v>
      </c>
      <c r="F35" s="6" t="s">
        <v>1737</v>
      </c>
      <c r="G35" s="6" t="s">
        <v>1738</v>
      </c>
      <c r="H35" s="6" t="s">
        <v>1607</v>
      </c>
      <c r="I35" s="6"/>
      <c r="J35" s="6" t="n">
        <v>0.8</v>
      </c>
      <c r="K35" s="6" t="n">
        <v>1</v>
      </c>
      <c r="L35" s="6" t="n">
        <v>0.8</v>
      </c>
    </row>
    <row r="36" customFormat="false" ht="23.85" hidden="false" customHeight="false" outlineLevel="0" collapsed="false">
      <c r="A36" s="6" t="s">
        <v>1739</v>
      </c>
      <c r="B36" s="6" t="n">
        <v>15</v>
      </c>
      <c r="C36" s="6" t="s">
        <v>1715</v>
      </c>
      <c r="D36" s="6" t="s">
        <v>1603</v>
      </c>
      <c r="E36" s="6" t="s">
        <v>1740</v>
      </c>
      <c r="F36" s="6" t="s">
        <v>1741</v>
      </c>
      <c r="G36" s="6" t="s">
        <v>1742</v>
      </c>
      <c r="H36" s="6" t="s">
        <v>1607</v>
      </c>
      <c r="I36" s="6"/>
      <c r="J36" s="6" t="n">
        <v>0.8</v>
      </c>
      <c r="K36" s="6" t="n">
        <v>1</v>
      </c>
      <c r="L36" s="6" t="n">
        <v>0.8</v>
      </c>
    </row>
    <row r="37" customFormat="false" ht="23.85" hidden="false" customHeight="false" outlineLevel="0" collapsed="false">
      <c r="A37" s="6" t="s">
        <v>1743</v>
      </c>
      <c r="B37" s="6" t="n">
        <v>16</v>
      </c>
      <c r="C37" s="6" t="s">
        <v>1744</v>
      </c>
      <c r="D37" s="6" t="s">
        <v>1603</v>
      </c>
      <c r="E37" s="6" t="s">
        <v>1745</v>
      </c>
      <c r="F37" s="6" t="s">
        <v>1741</v>
      </c>
      <c r="G37" s="6" t="s">
        <v>1746</v>
      </c>
      <c r="H37" s="6" t="s">
        <v>1607</v>
      </c>
      <c r="I37" s="6"/>
      <c r="J37" s="6" t="n">
        <v>0.8</v>
      </c>
      <c r="K37" s="6" t="n">
        <v>1</v>
      </c>
      <c r="L37" s="6" t="n">
        <v>0.8</v>
      </c>
    </row>
    <row r="38" customFormat="false" ht="35.05" hidden="false" customHeight="false" outlineLevel="0" collapsed="false">
      <c r="A38" s="6" t="s">
        <v>1747</v>
      </c>
      <c r="B38" s="6" t="n">
        <v>16</v>
      </c>
      <c r="C38" s="6" t="s">
        <v>1748</v>
      </c>
      <c r="D38" s="6" t="s">
        <v>1603</v>
      </c>
      <c r="E38" s="6" t="s">
        <v>1749</v>
      </c>
      <c r="F38" s="6" t="s">
        <v>1741</v>
      </c>
      <c r="G38" s="6" t="s">
        <v>1750</v>
      </c>
      <c r="H38" s="6" t="s">
        <v>1607</v>
      </c>
      <c r="I38" s="6"/>
      <c r="J38" s="6" t="n">
        <v>0.8</v>
      </c>
      <c r="K38" s="6" t="n">
        <v>1</v>
      </c>
      <c r="L38" s="6" t="n">
        <v>0.8</v>
      </c>
    </row>
    <row r="39" customFormat="false" ht="23.85" hidden="false" customHeight="false" outlineLevel="0" collapsed="false">
      <c r="A39" s="6" t="s">
        <v>1751</v>
      </c>
      <c r="B39" s="6" t="n">
        <v>16</v>
      </c>
      <c r="C39" s="6" t="s">
        <v>1752</v>
      </c>
      <c r="D39" s="6" t="s">
        <v>1603</v>
      </c>
      <c r="E39" s="6" t="s">
        <v>1753</v>
      </c>
      <c r="F39" s="6" t="s">
        <v>1741</v>
      </c>
      <c r="G39" s="6" t="s">
        <v>1754</v>
      </c>
      <c r="H39" s="6" t="s">
        <v>1607</v>
      </c>
      <c r="I39" s="6"/>
      <c r="J39" s="6" t="n">
        <v>0.6</v>
      </c>
      <c r="K39" s="6" t="n">
        <v>1</v>
      </c>
      <c r="L39" s="6" t="n">
        <v>0.6</v>
      </c>
    </row>
    <row r="40" customFormat="false" ht="23.85" hidden="false" customHeight="false" outlineLevel="0" collapsed="false">
      <c r="A40" s="6" t="s">
        <v>1755</v>
      </c>
      <c r="B40" s="6" t="n">
        <v>17</v>
      </c>
      <c r="C40" s="6" t="s">
        <v>1756</v>
      </c>
      <c r="D40" s="6" t="s">
        <v>1603</v>
      </c>
      <c r="E40" s="6" t="s">
        <v>1757</v>
      </c>
      <c r="F40" s="6" t="s">
        <v>1741</v>
      </c>
      <c r="G40" s="6" t="s">
        <v>1758</v>
      </c>
      <c r="H40" s="6" t="s">
        <v>1607</v>
      </c>
      <c r="I40" s="6"/>
      <c r="J40" s="6" t="n">
        <v>0.8</v>
      </c>
      <c r="K40" s="6" t="n">
        <v>1</v>
      </c>
      <c r="L40" s="6" t="n">
        <v>0.8</v>
      </c>
    </row>
    <row r="41" customFormat="false" ht="23.85" hidden="false" customHeight="false" outlineLevel="0" collapsed="false">
      <c r="A41" s="6" t="s">
        <v>1759</v>
      </c>
      <c r="B41" s="6" t="n">
        <v>17</v>
      </c>
      <c r="C41" s="6" t="s">
        <v>1647</v>
      </c>
      <c r="D41" s="6" t="s">
        <v>1603</v>
      </c>
      <c r="E41" s="6" t="s">
        <v>1760</v>
      </c>
      <c r="F41" s="6" t="s">
        <v>1741</v>
      </c>
      <c r="G41" s="6" t="s">
        <v>1761</v>
      </c>
      <c r="H41" s="6" t="s">
        <v>1607</v>
      </c>
      <c r="I41" s="6"/>
      <c r="J41" s="6" t="n">
        <v>0.8</v>
      </c>
      <c r="K41" s="6" t="n">
        <v>1</v>
      </c>
      <c r="L41" s="6" t="n">
        <v>0.8</v>
      </c>
    </row>
    <row r="42" customFormat="false" ht="23.85" hidden="false" customHeight="false" outlineLevel="0" collapsed="false">
      <c r="A42" s="6" t="s">
        <v>1762</v>
      </c>
      <c r="B42" s="6" t="n">
        <v>17</v>
      </c>
      <c r="C42" s="6" t="s">
        <v>1763</v>
      </c>
      <c r="D42" s="6" t="s">
        <v>1603</v>
      </c>
      <c r="E42" s="6" t="s">
        <v>1764</v>
      </c>
      <c r="F42" s="6" t="s">
        <v>1765</v>
      </c>
      <c r="G42" s="6" t="s">
        <v>1766</v>
      </c>
      <c r="H42" s="6" t="s">
        <v>1607</v>
      </c>
      <c r="I42" s="6"/>
      <c r="J42" s="6" t="n">
        <v>0.6</v>
      </c>
      <c r="K42" s="6" t="n">
        <v>1</v>
      </c>
      <c r="L42" s="6" t="n">
        <v>0.6</v>
      </c>
    </row>
    <row r="43" customFormat="false" ht="23.85" hidden="false" customHeight="false" outlineLevel="0" collapsed="false">
      <c r="A43" s="6" t="s">
        <v>1767</v>
      </c>
      <c r="B43" s="6" t="n">
        <v>18</v>
      </c>
      <c r="C43" s="6" t="s">
        <v>1647</v>
      </c>
      <c r="D43" s="6" t="s">
        <v>1603</v>
      </c>
      <c r="E43" s="6" t="s">
        <v>1768</v>
      </c>
      <c r="F43" s="6" t="s">
        <v>1765</v>
      </c>
      <c r="G43" s="6" t="s">
        <v>1769</v>
      </c>
      <c r="H43" s="6" t="s">
        <v>1607</v>
      </c>
      <c r="I43" s="6"/>
      <c r="J43" s="6" t="n">
        <v>0.8</v>
      </c>
      <c r="K43" s="6" t="n">
        <v>1</v>
      </c>
      <c r="L43" s="6" t="n">
        <v>0.8</v>
      </c>
    </row>
    <row r="44" customFormat="false" ht="23.85" hidden="false" customHeight="false" outlineLevel="0" collapsed="false">
      <c r="A44" s="6" t="s">
        <v>1770</v>
      </c>
      <c r="B44" s="6" t="n">
        <v>18</v>
      </c>
      <c r="C44" s="6" t="s">
        <v>1771</v>
      </c>
      <c r="D44" s="6" t="s">
        <v>1603</v>
      </c>
      <c r="E44" s="6" t="s">
        <v>1772</v>
      </c>
      <c r="F44" s="6" t="s">
        <v>1765</v>
      </c>
      <c r="G44" s="6" t="s">
        <v>1773</v>
      </c>
      <c r="H44" s="6" t="s">
        <v>1607</v>
      </c>
      <c r="I44" s="6"/>
      <c r="J44" s="6" t="n">
        <v>0.8</v>
      </c>
      <c r="K44" s="6" t="n">
        <v>1</v>
      </c>
      <c r="L44" s="6" t="n">
        <v>0.8</v>
      </c>
    </row>
    <row r="45" customFormat="false" ht="23.85" hidden="false" customHeight="false" outlineLevel="0" collapsed="false">
      <c r="A45" s="6" t="s">
        <v>1774</v>
      </c>
      <c r="B45" s="6" t="n">
        <v>19</v>
      </c>
      <c r="C45" s="6" t="s">
        <v>1775</v>
      </c>
      <c r="D45" s="6" t="s">
        <v>1603</v>
      </c>
      <c r="E45" s="6" t="s">
        <v>1776</v>
      </c>
      <c r="F45" s="6" t="s">
        <v>1777</v>
      </c>
      <c r="G45" s="6" t="s">
        <v>1778</v>
      </c>
      <c r="H45" s="6" t="s">
        <v>1607</v>
      </c>
      <c r="I45" s="6"/>
      <c r="J45" s="6" t="n">
        <v>0.8</v>
      </c>
      <c r="K45" s="6" t="n">
        <v>1</v>
      </c>
      <c r="L45" s="6" t="n">
        <v>0.8</v>
      </c>
    </row>
    <row r="46" customFormat="false" ht="23.85" hidden="false" customHeight="false" outlineLevel="0" collapsed="false">
      <c r="A46" s="6" t="s">
        <v>1779</v>
      </c>
      <c r="B46" s="6" t="n">
        <v>19</v>
      </c>
      <c r="C46" s="6" t="s">
        <v>1647</v>
      </c>
      <c r="D46" s="6" t="s">
        <v>1603</v>
      </c>
      <c r="E46" s="6" t="s">
        <v>1780</v>
      </c>
      <c r="F46" s="6" t="s">
        <v>1781</v>
      </c>
      <c r="G46" s="6" t="s">
        <v>1782</v>
      </c>
      <c r="H46" s="6" t="s">
        <v>1607</v>
      </c>
      <c r="I46" s="6"/>
      <c r="J46" s="6" t="n">
        <v>0.8</v>
      </c>
      <c r="K46" s="6" t="n">
        <v>1</v>
      </c>
      <c r="L46" s="6" t="n">
        <v>0.8</v>
      </c>
    </row>
    <row r="47" customFormat="false" ht="23.85" hidden="false" customHeight="false" outlineLevel="0" collapsed="false">
      <c r="A47" s="6" t="s">
        <v>1783</v>
      </c>
      <c r="B47" s="6" t="n">
        <v>20</v>
      </c>
      <c r="C47" s="6" t="s">
        <v>1784</v>
      </c>
      <c r="D47" s="6" t="s">
        <v>1603</v>
      </c>
      <c r="E47" s="6" t="s">
        <v>1785</v>
      </c>
      <c r="F47" s="6" t="s">
        <v>1786</v>
      </c>
      <c r="G47" s="6" t="s">
        <v>1787</v>
      </c>
      <c r="H47" s="6" t="s">
        <v>1607</v>
      </c>
      <c r="I47" s="6"/>
      <c r="J47" s="6" t="n">
        <v>0.8</v>
      </c>
      <c r="K47" s="6" t="n">
        <v>1</v>
      </c>
      <c r="L47" s="6" t="n">
        <v>0.8</v>
      </c>
    </row>
    <row r="48" customFormat="false" ht="23.85" hidden="false" customHeight="false" outlineLevel="0" collapsed="false">
      <c r="A48" s="6" t="s">
        <v>1788</v>
      </c>
      <c r="B48" s="6" t="n">
        <v>20</v>
      </c>
      <c r="C48" s="6" t="s">
        <v>1647</v>
      </c>
      <c r="D48" s="6" t="s">
        <v>1603</v>
      </c>
      <c r="E48" s="6" t="s">
        <v>1789</v>
      </c>
      <c r="F48" s="6" t="s">
        <v>1786</v>
      </c>
      <c r="G48" s="6" t="s">
        <v>1790</v>
      </c>
      <c r="H48" s="6" t="s">
        <v>1607</v>
      </c>
      <c r="I48" s="6"/>
      <c r="J48" s="6" t="n">
        <v>0.8</v>
      </c>
      <c r="K48" s="6" t="n">
        <v>1</v>
      </c>
      <c r="L48" s="6" t="n">
        <v>0.8</v>
      </c>
    </row>
    <row r="49" customFormat="false" ht="23.85" hidden="false" customHeight="false" outlineLevel="0" collapsed="false">
      <c r="A49" s="6" t="s">
        <v>1791</v>
      </c>
      <c r="B49" s="6" t="n">
        <v>20</v>
      </c>
      <c r="C49" s="6" t="s">
        <v>1792</v>
      </c>
      <c r="D49" s="6" t="s">
        <v>1603</v>
      </c>
      <c r="E49" s="6" t="s">
        <v>1793</v>
      </c>
      <c r="F49" s="6" t="s">
        <v>1794</v>
      </c>
      <c r="G49" s="6" t="s">
        <v>1795</v>
      </c>
      <c r="H49" s="6" t="s">
        <v>1607</v>
      </c>
      <c r="I49" s="6"/>
      <c r="J49" s="6" t="n">
        <v>0.8</v>
      </c>
      <c r="K49" s="6" t="n">
        <v>1</v>
      </c>
      <c r="L49" s="6" t="n">
        <v>0.8</v>
      </c>
    </row>
    <row r="50" customFormat="false" ht="23.85" hidden="false" customHeight="false" outlineLevel="0" collapsed="false">
      <c r="A50" s="6" t="s">
        <v>1796</v>
      </c>
      <c r="B50" s="6" t="n">
        <v>21</v>
      </c>
      <c r="C50" s="6" t="s">
        <v>1797</v>
      </c>
      <c r="D50" s="6" t="s">
        <v>1603</v>
      </c>
      <c r="E50" s="6" t="s">
        <v>1798</v>
      </c>
      <c r="F50" s="6" t="s">
        <v>1799</v>
      </c>
      <c r="G50" s="6" t="s">
        <v>1800</v>
      </c>
      <c r="H50" s="6" t="s">
        <v>1607</v>
      </c>
      <c r="I50" s="6"/>
      <c r="J50" s="6" t="n">
        <v>0.8</v>
      </c>
      <c r="K50" s="6" t="n">
        <v>1</v>
      </c>
      <c r="L50" s="6" t="n">
        <v>0.8</v>
      </c>
    </row>
    <row r="51" customFormat="false" ht="23.85" hidden="false" customHeight="false" outlineLevel="0" collapsed="false">
      <c r="A51" s="6" t="s">
        <v>1801</v>
      </c>
      <c r="B51" s="6" t="n">
        <v>21</v>
      </c>
      <c r="C51" s="6" t="s">
        <v>1802</v>
      </c>
      <c r="D51" s="6" t="s">
        <v>1603</v>
      </c>
      <c r="E51" s="6" t="s">
        <v>1803</v>
      </c>
      <c r="F51" s="6" t="s">
        <v>1804</v>
      </c>
      <c r="G51" s="6" t="s">
        <v>1805</v>
      </c>
      <c r="H51" s="6" t="s">
        <v>1607</v>
      </c>
      <c r="I51" s="6"/>
      <c r="J51" s="6" t="n">
        <v>0.8</v>
      </c>
      <c r="K51" s="6" t="n">
        <v>1</v>
      </c>
      <c r="L51" s="6" t="n">
        <v>0.8</v>
      </c>
    </row>
    <row r="52" customFormat="false" ht="23.85" hidden="false" customHeight="false" outlineLevel="0" collapsed="false">
      <c r="A52" s="6" t="s">
        <v>1806</v>
      </c>
      <c r="B52" s="6" t="n">
        <v>21</v>
      </c>
      <c r="C52" s="6" t="s">
        <v>1647</v>
      </c>
      <c r="D52" s="6" t="s">
        <v>1603</v>
      </c>
      <c r="E52" s="6" t="s">
        <v>1807</v>
      </c>
      <c r="F52" s="6" t="s">
        <v>1808</v>
      </c>
      <c r="G52" s="6" t="s">
        <v>1809</v>
      </c>
      <c r="H52" s="6" t="s">
        <v>1607</v>
      </c>
      <c r="I52" s="6"/>
      <c r="J52" s="6" t="n">
        <v>0.8</v>
      </c>
      <c r="K52" s="6" t="n">
        <v>1</v>
      </c>
      <c r="L52" s="6" t="n">
        <v>0.8</v>
      </c>
    </row>
    <row r="53" customFormat="false" ht="23.85" hidden="false" customHeight="false" outlineLevel="0" collapsed="false">
      <c r="A53" s="6" t="s">
        <v>1810</v>
      </c>
      <c r="B53" s="6" t="n">
        <v>22</v>
      </c>
      <c r="C53" s="6" t="s">
        <v>1647</v>
      </c>
      <c r="D53" s="6" t="s">
        <v>1603</v>
      </c>
      <c r="E53" s="6" t="s">
        <v>1811</v>
      </c>
      <c r="F53" s="6" t="s">
        <v>1812</v>
      </c>
      <c r="G53" s="6" t="s">
        <v>1813</v>
      </c>
      <c r="H53" s="6" t="s">
        <v>1607</v>
      </c>
      <c r="I53" s="6"/>
      <c r="J53" s="6" t="n">
        <v>0.8</v>
      </c>
      <c r="K53" s="6" t="n">
        <v>1</v>
      </c>
      <c r="L53" s="6" t="n">
        <v>0.8</v>
      </c>
    </row>
    <row r="54" customFormat="false" ht="23.85" hidden="false" customHeight="false" outlineLevel="0" collapsed="false">
      <c r="A54" s="6" t="s">
        <v>1814</v>
      </c>
      <c r="B54" s="6" t="n">
        <v>23</v>
      </c>
      <c r="C54" s="6" t="s">
        <v>1815</v>
      </c>
      <c r="D54" s="6" t="s">
        <v>1603</v>
      </c>
      <c r="E54" s="6" t="s">
        <v>1816</v>
      </c>
      <c r="F54" s="6" t="s">
        <v>1817</v>
      </c>
      <c r="G54" s="6" t="s">
        <v>1818</v>
      </c>
      <c r="H54" s="6" t="s">
        <v>1607</v>
      </c>
      <c r="I54" s="6"/>
      <c r="J54" s="6" t="n">
        <v>0.8</v>
      </c>
      <c r="K54" s="6" t="n">
        <v>1</v>
      </c>
      <c r="L54" s="6" t="n">
        <v>0.8</v>
      </c>
    </row>
    <row r="55" customFormat="false" ht="23.85" hidden="false" customHeight="false" outlineLevel="0" collapsed="false">
      <c r="A55" s="6" t="s">
        <v>1819</v>
      </c>
      <c r="B55" s="6" t="n">
        <v>24</v>
      </c>
      <c r="C55" s="6" t="s">
        <v>1771</v>
      </c>
      <c r="D55" s="6" t="s">
        <v>1603</v>
      </c>
      <c r="E55" s="6" t="s">
        <v>1820</v>
      </c>
      <c r="F55" s="6" t="s">
        <v>1817</v>
      </c>
      <c r="G55" s="6" t="s">
        <v>1821</v>
      </c>
      <c r="H55" s="6" t="s">
        <v>1607</v>
      </c>
      <c r="I55" s="6"/>
      <c r="J55" s="6" t="n">
        <v>0.8</v>
      </c>
      <c r="K55" s="6" t="n">
        <v>1</v>
      </c>
      <c r="L55" s="6" t="n">
        <v>0.8</v>
      </c>
    </row>
    <row r="56" customFormat="false" ht="23.85" hidden="false" customHeight="false" outlineLevel="0" collapsed="false">
      <c r="A56" s="6" t="s">
        <v>1822</v>
      </c>
      <c r="B56" s="6" t="n">
        <v>25</v>
      </c>
      <c r="C56" s="6" t="s">
        <v>1629</v>
      </c>
      <c r="D56" s="6" t="s">
        <v>1603</v>
      </c>
      <c r="E56" s="6" t="s">
        <v>1823</v>
      </c>
      <c r="F56" s="6" t="s">
        <v>1824</v>
      </c>
      <c r="G56" s="6" t="s">
        <v>1825</v>
      </c>
      <c r="H56" s="6" t="s">
        <v>1607</v>
      </c>
      <c r="I56" s="6"/>
      <c r="J56" s="6" t="n">
        <v>0.8</v>
      </c>
      <c r="K56" s="6" t="n">
        <v>1</v>
      </c>
      <c r="L56" s="6" t="n">
        <v>0.8</v>
      </c>
    </row>
    <row r="57" customFormat="false" ht="23.85" hidden="false" customHeight="false" outlineLevel="0" collapsed="false">
      <c r="A57" s="6" t="s">
        <v>1826</v>
      </c>
      <c r="B57" s="6" t="n">
        <v>25</v>
      </c>
      <c r="C57" s="6" t="s">
        <v>1827</v>
      </c>
      <c r="D57" s="6" t="s">
        <v>1603</v>
      </c>
      <c r="E57" s="6" t="s">
        <v>1828</v>
      </c>
      <c r="F57" s="6" t="s">
        <v>1829</v>
      </c>
      <c r="G57" s="6" t="s">
        <v>1830</v>
      </c>
      <c r="H57" s="6" t="s">
        <v>1607</v>
      </c>
      <c r="I57" s="6"/>
      <c r="J57" s="6" t="n">
        <v>0.8</v>
      </c>
      <c r="K57" s="6" t="n">
        <v>1</v>
      </c>
      <c r="L57" s="6" t="n">
        <v>0.8</v>
      </c>
    </row>
    <row r="58" customFormat="false" ht="23.85" hidden="false" customHeight="false" outlineLevel="0" collapsed="false">
      <c r="A58" s="6" t="s">
        <v>1831</v>
      </c>
      <c r="B58" s="6" t="n">
        <v>25</v>
      </c>
      <c r="C58" s="6" t="s">
        <v>1647</v>
      </c>
      <c r="D58" s="6" t="s">
        <v>1603</v>
      </c>
      <c r="E58" s="6" t="s">
        <v>1832</v>
      </c>
      <c r="F58" s="6" t="s">
        <v>1781</v>
      </c>
      <c r="G58" s="6" t="s">
        <v>1833</v>
      </c>
      <c r="H58" s="6" t="s">
        <v>1607</v>
      </c>
      <c r="I58" s="6"/>
      <c r="J58" s="6" t="n">
        <v>0.8</v>
      </c>
      <c r="K58" s="6" t="n">
        <v>1</v>
      </c>
      <c r="L58" s="6" t="n">
        <v>0.8</v>
      </c>
    </row>
    <row r="59" customFormat="false" ht="23.85" hidden="false" customHeight="false" outlineLevel="0" collapsed="false">
      <c r="A59" s="6" t="s">
        <v>1834</v>
      </c>
      <c r="B59" s="6" t="n">
        <v>26</v>
      </c>
      <c r="C59" s="6" t="s">
        <v>1835</v>
      </c>
      <c r="D59" s="6" t="s">
        <v>1603</v>
      </c>
      <c r="E59" s="6" t="s">
        <v>1836</v>
      </c>
      <c r="F59" s="6" t="s">
        <v>1837</v>
      </c>
      <c r="G59" s="6" t="s">
        <v>1838</v>
      </c>
      <c r="H59" s="6" t="s">
        <v>1607</v>
      </c>
      <c r="I59" s="6"/>
      <c r="J59" s="6" t="n">
        <v>0.8</v>
      </c>
      <c r="K59" s="6" t="n">
        <v>1</v>
      </c>
      <c r="L59" s="6" t="n">
        <v>0.8</v>
      </c>
    </row>
    <row r="60" customFormat="false" ht="23.85" hidden="false" customHeight="false" outlineLevel="0" collapsed="false">
      <c r="A60" s="6" t="s">
        <v>1839</v>
      </c>
      <c r="B60" s="6" t="n">
        <v>27</v>
      </c>
      <c r="C60" s="6" t="s">
        <v>1647</v>
      </c>
      <c r="D60" s="6" t="s">
        <v>1603</v>
      </c>
      <c r="E60" s="6" t="s">
        <v>1780</v>
      </c>
      <c r="F60" s="6" t="s">
        <v>1781</v>
      </c>
      <c r="G60" s="6" t="s">
        <v>1782</v>
      </c>
      <c r="H60" s="6" t="s">
        <v>1607</v>
      </c>
      <c r="I60" s="6"/>
      <c r="J60" s="6" t="n">
        <v>0.8</v>
      </c>
      <c r="K60" s="6" t="n">
        <v>1</v>
      </c>
      <c r="L60" s="6" t="n">
        <v>0.8</v>
      </c>
    </row>
    <row r="61" customFormat="false" ht="23.85" hidden="false" customHeight="false" outlineLevel="0" collapsed="false">
      <c r="A61" s="6" t="s">
        <v>1840</v>
      </c>
      <c r="B61" s="6" t="n">
        <v>27</v>
      </c>
      <c r="C61" s="6" t="s">
        <v>1841</v>
      </c>
      <c r="D61" s="6" t="s">
        <v>1603</v>
      </c>
      <c r="E61" s="6" t="s">
        <v>1842</v>
      </c>
      <c r="F61" s="6" t="s">
        <v>1781</v>
      </c>
      <c r="G61" s="6" t="s">
        <v>1843</v>
      </c>
      <c r="H61" s="6" t="s">
        <v>1607</v>
      </c>
      <c r="I61" s="6"/>
      <c r="J61" s="6" t="n">
        <v>0.8</v>
      </c>
      <c r="K61" s="6" t="n">
        <v>1</v>
      </c>
      <c r="L61" s="6" t="n">
        <v>0.8</v>
      </c>
    </row>
    <row r="62" customFormat="false" ht="23.85" hidden="false" customHeight="false" outlineLevel="0" collapsed="false">
      <c r="A62" s="6" t="s">
        <v>1844</v>
      </c>
      <c r="B62" s="6" t="n">
        <v>27</v>
      </c>
      <c r="C62" s="6" t="s">
        <v>1845</v>
      </c>
      <c r="D62" s="6" t="s">
        <v>1603</v>
      </c>
      <c r="E62" s="6" t="s">
        <v>1846</v>
      </c>
      <c r="F62" s="6" t="s">
        <v>1781</v>
      </c>
      <c r="G62" s="6" t="s">
        <v>1847</v>
      </c>
      <c r="H62" s="6" t="s">
        <v>1607</v>
      </c>
      <c r="I62" s="6"/>
      <c r="J62" s="6" t="n">
        <v>0.8</v>
      </c>
      <c r="K62" s="6" t="n">
        <v>1</v>
      </c>
      <c r="L62" s="6" t="n">
        <v>0.8</v>
      </c>
    </row>
    <row r="63" customFormat="false" ht="23.85" hidden="false" customHeight="false" outlineLevel="0" collapsed="false">
      <c r="A63" s="6" t="s">
        <v>1848</v>
      </c>
      <c r="B63" s="6" t="n">
        <v>28</v>
      </c>
      <c r="C63" s="6" t="s">
        <v>1849</v>
      </c>
      <c r="D63" s="6" t="s">
        <v>1603</v>
      </c>
      <c r="E63" s="6" t="s">
        <v>1850</v>
      </c>
      <c r="F63" s="6" t="s">
        <v>1851</v>
      </c>
      <c r="G63" s="6" t="s">
        <v>1852</v>
      </c>
      <c r="H63" s="6" t="s">
        <v>1607</v>
      </c>
      <c r="I63" s="6"/>
      <c r="J63" s="6" t="n">
        <v>0.8</v>
      </c>
      <c r="K63" s="6" t="n">
        <v>1</v>
      </c>
      <c r="L63" s="6" t="n">
        <v>0.8</v>
      </c>
    </row>
    <row r="64" customFormat="false" ht="23.85" hidden="false" customHeight="false" outlineLevel="0" collapsed="false">
      <c r="A64" s="6" t="s">
        <v>1853</v>
      </c>
      <c r="B64" s="6" t="n">
        <v>28</v>
      </c>
      <c r="C64" s="6" t="s">
        <v>1854</v>
      </c>
      <c r="D64" s="6" t="s">
        <v>1603</v>
      </c>
      <c r="E64" s="6" t="s">
        <v>1855</v>
      </c>
      <c r="F64" s="6" t="s">
        <v>1851</v>
      </c>
      <c r="G64" s="6" t="s">
        <v>1856</v>
      </c>
      <c r="H64" s="6" t="s">
        <v>1607</v>
      </c>
      <c r="I64" s="6"/>
      <c r="J64" s="6" t="n">
        <v>0.8</v>
      </c>
      <c r="K64" s="6" t="n">
        <v>1</v>
      </c>
      <c r="L64" s="6" t="n">
        <v>0.8</v>
      </c>
    </row>
    <row r="65" customFormat="false" ht="23.85" hidden="false" customHeight="false" outlineLevel="0" collapsed="false">
      <c r="A65" s="6" t="s">
        <v>1857</v>
      </c>
      <c r="B65" s="6" t="n">
        <v>28</v>
      </c>
      <c r="C65" s="6" t="s">
        <v>1849</v>
      </c>
      <c r="D65" s="6" t="s">
        <v>1603</v>
      </c>
      <c r="E65" s="6" t="s">
        <v>1850</v>
      </c>
      <c r="F65" s="6" t="s">
        <v>1851</v>
      </c>
      <c r="G65" s="6" t="s">
        <v>1852</v>
      </c>
      <c r="H65" s="6" t="s">
        <v>1607</v>
      </c>
      <c r="I65" s="6" t="n">
        <v>29</v>
      </c>
      <c r="J65" s="6" t="n">
        <v>0.8</v>
      </c>
      <c r="K65" s="6" t="n">
        <v>1</v>
      </c>
      <c r="L65" s="6" t="n">
        <v>0.8</v>
      </c>
    </row>
    <row r="66" customFormat="false" ht="23.85" hidden="false" customHeight="false" outlineLevel="0" collapsed="false">
      <c r="A66" s="6" t="s">
        <v>1858</v>
      </c>
      <c r="B66" s="6" t="n">
        <v>28</v>
      </c>
      <c r="C66" s="6" t="s">
        <v>1854</v>
      </c>
      <c r="D66" s="6" t="s">
        <v>1603</v>
      </c>
      <c r="E66" s="6" t="s">
        <v>1855</v>
      </c>
      <c r="F66" s="6" t="s">
        <v>1851</v>
      </c>
      <c r="G66" s="6" t="s">
        <v>1856</v>
      </c>
      <c r="H66" s="6" t="s">
        <v>1607</v>
      </c>
      <c r="I66" s="6" t="n">
        <v>29</v>
      </c>
      <c r="J66" s="6" t="n">
        <v>0.8</v>
      </c>
      <c r="K66" s="6" t="n">
        <v>1</v>
      </c>
      <c r="L66" s="6" t="n">
        <v>0.8</v>
      </c>
    </row>
    <row r="67" customFormat="false" ht="23.85" hidden="false" customHeight="false" outlineLevel="0" collapsed="false">
      <c r="A67" s="6" t="s">
        <v>1859</v>
      </c>
      <c r="B67" s="6" t="n">
        <v>28</v>
      </c>
      <c r="C67" s="6" t="s">
        <v>1860</v>
      </c>
      <c r="D67" s="6" t="s">
        <v>1603</v>
      </c>
      <c r="E67" s="6" t="s">
        <v>1861</v>
      </c>
      <c r="F67" s="6" t="s">
        <v>1862</v>
      </c>
      <c r="G67" s="6" t="s">
        <v>1863</v>
      </c>
      <c r="H67" s="6" t="s">
        <v>1607</v>
      </c>
      <c r="I67" s="6"/>
      <c r="J67" s="6" t="n">
        <v>0.8</v>
      </c>
      <c r="K67" s="6" t="n">
        <v>1</v>
      </c>
      <c r="L67" s="6" t="n">
        <v>0.8</v>
      </c>
    </row>
    <row r="68" customFormat="false" ht="23.85" hidden="false" customHeight="false" outlineLevel="0" collapsed="false">
      <c r="A68" s="6" t="s">
        <v>1864</v>
      </c>
      <c r="B68" s="6" t="n">
        <v>28</v>
      </c>
      <c r="C68" s="6" t="s">
        <v>1860</v>
      </c>
      <c r="D68" s="6" t="s">
        <v>1603</v>
      </c>
      <c r="E68" s="6" t="s">
        <v>1861</v>
      </c>
      <c r="F68" s="6" t="s">
        <v>1862</v>
      </c>
      <c r="G68" s="6" t="s">
        <v>1863</v>
      </c>
      <c r="H68" s="6" t="s">
        <v>1607</v>
      </c>
      <c r="I68" s="6" t="n">
        <v>29</v>
      </c>
      <c r="J68" s="6" t="n">
        <v>0.8</v>
      </c>
      <c r="K68" s="6" t="n">
        <v>1</v>
      </c>
      <c r="L68" s="6" t="n">
        <v>0.8</v>
      </c>
    </row>
    <row r="69" customFormat="false" ht="23.85" hidden="false" customHeight="false" outlineLevel="0" collapsed="false">
      <c r="A69" s="6" t="s">
        <v>1865</v>
      </c>
      <c r="B69" s="6" t="n">
        <v>30</v>
      </c>
      <c r="C69" s="6" t="s">
        <v>1866</v>
      </c>
      <c r="D69" s="6" t="s">
        <v>1603</v>
      </c>
      <c r="E69" s="6" t="s">
        <v>1867</v>
      </c>
      <c r="F69" s="6" t="s">
        <v>1862</v>
      </c>
      <c r="G69" s="6" t="s">
        <v>1868</v>
      </c>
      <c r="H69" s="6" t="s">
        <v>1607</v>
      </c>
      <c r="I69" s="6"/>
      <c r="J69" s="6" t="n">
        <v>0.8</v>
      </c>
      <c r="K69" s="6" t="n">
        <v>1</v>
      </c>
      <c r="L69" s="6" t="n">
        <v>0.8</v>
      </c>
    </row>
    <row r="70" customFormat="false" ht="23.85" hidden="false" customHeight="false" outlineLevel="0" collapsed="false">
      <c r="A70" s="6" t="s">
        <v>1869</v>
      </c>
      <c r="B70" s="6" t="n">
        <v>30</v>
      </c>
      <c r="C70" s="6" t="s">
        <v>1647</v>
      </c>
      <c r="D70" s="6" t="s">
        <v>1603</v>
      </c>
      <c r="E70" s="6" t="s">
        <v>1870</v>
      </c>
      <c r="F70" s="6" t="s">
        <v>1862</v>
      </c>
      <c r="G70" s="6" t="s">
        <v>1871</v>
      </c>
      <c r="H70" s="6" t="s">
        <v>1607</v>
      </c>
      <c r="I70" s="6"/>
      <c r="J70" s="6" t="n">
        <v>0.8</v>
      </c>
      <c r="K70" s="6" t="n">
        <v>1</v>
      </c>
      <c r="L70" s="6" t="n">
        <v>0.8</v>
      </c>
    </row>
    <row r="71" customFormat="false" ht="23.85" hidden="false" customHeight="false" outlineLevel="0" collapsed="false">
      <c r="A71" s="6" t="s">
        <v>1872</v>
      </c>
      <c r="B71" s="6" t="n">
        <v>30</v>
      </c>
      <c r="C71" s="6" t="s">
        <v>1873</v>
      </c>
      <c r="D71" s="6" t="s">
        <v>1603</v>
      </c>
      <c r="E71" s="6" t="s">
        <v>1874</v>
      </c>
      <c r="F71" s="6" t="s">
        <v>1875</v>
      </c>
      <c r="G71" s="6" t="s">
        <v>1876</v>
      </c>
      <c r="H71" s="6" t="s">
        <v>1607</v>
      </c>
      <c r="I71" s="6"/>
      <c r="J71" s="6" t="n">
        <v>0.8</v>
      </c>
      <c r="K71" s="6" t="n">
        <v>1</v>
      </c>
      <c r="L71" s="6" t="n">
        <v>0.8</v>
      </c>
    </row>
    <row r="72" customFormat="false" ht="23.85" hidden="false" customHeight="false" outlineLevel="0" collapsed="false">
      <c r="A72" s="6" t="s">
        <v>1877</v>
      </c>
      <c r="B72" s="6" t="n">
        <v>31</v>
      </c>
      <c r="C72" s="6" t="s">
        <v>1860</v>
      </c>
      <c r="D72" s="6" t="s">
        <v>1603</v>
      </c>
      <c r="E72" s="6" t="s">
        <v>1861</v>
      </c>
      <c r="F72" s="6" t="s">
        <v>1862</v>
      </c>
      <c r="G72" s="6" t="s">
        <v>1863</v>
      </c>
      <c r="H72" s="6" t="s">
        <v>1607</v>
      </c>
      <c r="I72" s="6"/>
      <c r="J72" s="6" t="n">
        <v>0.8</v>
      </c>
      <c r="K72" s="6" t="n">
        <v>1</v>
      </c>
      <c r="L72" s="6" t="n">
        <v>0.8</v>
      </c>
    </row>
    <row r="73" customFormat="false" ht="23.85" hidden="false" customHeight="false" outlineLevel="0" collapsed="false">
      <c r="A73" s="6" t="s">
        <v>1878</v>
      </c>
      <c r="B73" s="6" t="n">
        <v>31</v>
      </c>
      <c r="C73" s="6" t="s">
        <v>1873</v>
      </c>
      <c r="D73" s="6" t="s">
        <v>1603</v>
      </c>
      <c r="E73" s="6" t="s">
        <v>1874</v>
      </c>
      <c r="F73" s="6" t="s">
        <v>1875</v>
      </c>
      <c r="G73" s="6" t="s">
        <v>1876</v>
      </c>
      <c r="H73" s="6" t="s">
        <v>1607</v>
      </c>
      <c r="I73" s="6"/>
      <c r="J73" s="6" t="n">
        <v>0.8</v>
      </c>
      <c r="K73" s="6" t="n">
        <v>1</v>
      </c>
      <c r="L73" s="6" t="n">
        <v>0.8</v>
      </c>
    </row>
    <row r="74" customFormat="false" ht="23.85" hidden="false" customHeight="false" outlineLevel="0" collapsed="false">
      <c r="A74" s="6" t="s">
        <v>1879</v>
      </c>
      <c r="B74" s="6" t="n">
        <v>31</v>
      </c>
      <c r="C74" s="6" t="s">
        <v>1629</v>
      </c>
      <c r="D74" s="6" t="s">
        <v>1603</v>
      </c>
      <c r="E74" s="6" t="s">
        <v>1880</v>
      </c>
      <c r="F74" s="6" t="s">
        <v>1875</v>
      </c>
      <c r="G74" s="6" t="s">
        <v>1881</v>
      </c>
      <c r="H74" s="6" t="s">
        <v>1607</v>
      </c>
      <c r="I74" s="6"/>
      <c r="J74" s="6" t="n">
        <v>0.8</v>
      </c>
      <c r="K74" s="6" t="n">
        <v>1</v>
      </c>
      <c r="L74" s="6" t="n">
        <v>0.8</v>
      </c>
    </row>
    <row r="75" customFormat="false" ht="23.85" hidden="false" customHeight="false" outlineLevel="0" collapsed="false">
      <c r="A75" s="6" t="s">
        <v>1882</v>
      </c>
      <c r="B75" s="6" t="n">
        <v>32</v>
      </c>
      <c r="C75" s="6" t="s">
        <v>1651</v>
      </c>
      <c r="D75" s="6" t="s">
        <v>1603</v>
      </c>
      <c r="E75" s="6" t="s">
        <v>1883</v>
      </c>
      <c r="F75" s="6" t="s">
        <v>1862</v>
      </c>
      <c r="G75" s="6" t="s">
        <v>1884</v>
      </c>
      <c r="H75" s="6" t="s">
        <v>1607</v>
      </c>
      <c r="I75" s="6"/>
      <c r="J75" s="6" t="n">
        <v>0.8</v>
      </c>
      <c r="K75" s="6" t="n">
        <v>1</v>
      </c>
      <c r="L75" s="6" t="n">
        <v>0.8</v>
      </c>
    </row>
    <row r="76" customFormat="false" ht="23.85" hidden="false" customHeight="false" outlineLevel="0" collapsed="false">
      <c r="A76" s="6" t="s">
        <v>1885</v>
      </c>
      <c r="B76" s="6" t="n">
        <v>32</v>
      </c>
      <c r="C76" s="6" t="s">
        <v>1655</v>
      </c>
      <c r="D76" s="6" t="s">
        <v>1603</v>
      </c>
      <c r="E76" s="6" t="s">
        <v>1886</v>
      </c>
      <c r="F76" s="6" t="s">
        <v>1862</v>
      </c>
      <c r="G76" s="6" t="s">
        <v>1887</v>
      </c>
      <c r="H76" s="6" t="s">
        <v>1607</v>
      </c>
      <c r="I76" s="6"/>
      <c r="J76" s="6" t="n">
        <v>0.8</v>
      </c>
      <c r="K76" s="6" t="n">
        <v>1</v>
      </c>
      <c r="L76" s="6" t="n">
        <v>0.8</v>
      </c>
    </row>
    <row r="77" customFormat="false" ht="23.85" hidden="false" customHeight="false" outlineLevel="0" collapsed="false">
      <c r="A77" s="6" t="s">
        <v>1888</v>
      </c>
      <c r="B77" s="6" t="n">
        <v>32</v>
      </c>
      <c r="C77" s="6" t="s">
        <v>1889</v>
      </c>
      <c r="D77" s="6" t="s">
        <v>1603</v>
      </c>
      <c r="E77" s="6" t="s">
        <v>1890</v>
      </c>
      <c r="F77" s="6" t="s">
        <v>1891</v>
      </c>
      <c r="G77" s="6" t="s">
        <v>1892</v>
      </c>
      <c r="H77" s="6" t="s">
        <v>1607</v>
      </c>
      <c r="I77" s="6"/>
      <c r="J77" s="6" t="n">
        <v>0.8</v>
      </c>
      <c r="K77" s="6" t="n">
        <v>1</v>
      </c>
      <c r="L77" s="6" t="n">
        <v>0.8</v>
      </c>
    </row>
    <row r="78" customFormat="false" ht="23.85" hidden="false" customHeight="false" outlineLevel="0" collapsed="false">
      <c r="A78" s="6" t="s">
        <v>1893</v>
      </c>
      <c r="B78" s="6" t="n">
        <v>32</v>
      </c>
      <c r="C78" s="6" t="s">
        <v>1889</v>
      </c>
      <c r="D78" s="6" t="s">
        <v>1603</v>
      </c>
      <c r="E78" s="6" t="s">
        <v>1894</v>
      </c>
      <c r="F78" s="6" t="s">
        <v>1895</v>
      </c>
      <c r="G78" s="6" t="s">
        <v>1896</v>
      </c>
      <c r="H78" s="6" t="s">
        <v>1607</v>
      </c>
      <c r="I78" s="6"/>
      <c r="J78" s="6" t="n">
        <v>0.8</v>
      </c>
      <c r="K78" s="6" t="n">
        <v>1</v>
      </c>
      <c r="L78" s="6" t="n">
        <v>0.8</v>
      </c>
    </row>
    <row r="79" customFormat="false" ht="15" hidden="false" customHeight="false" outlineLevel="0" collapsed="false">
      <c r="A79" s="6" t="s">
        <v>1897</v>
      </c>
      <c r="B79" s="6" t="n">
        <v>33</v>
      </c>
      <c r="C79" s="6" t="s">
        <v>1771</v>
      </c>
      <c r="D79" s="6" t="s">
        <v>1603</v>
      </c>
      <c r="E79" s="6" t="s">
        <v>1898</v>
      </c>
      <c r="F79" s="6" t="s">
        <v>1899</v>
      </c>
      <c r="G79" s="6" t="s">
        <v>1900</v>
      </c>
      <c r="H79" s="6" t="s">
        <v>1607</v>
      </c>
      <c r="I79" s="6"/>
      <c r="J79" s="6" t="n">
        <v>0.8</v>
      </c>
      <c r="K79" s="6" t="n">
        <v>1</v>
      </c>
      <c r="L79" s="6" t="n">
        <v>0.8</v>
      </c>
    </row>
    <row r="80" customFormat="false" ht="23.85" hidden="false" customHeight="false" outlineLevel="0" collapsed="false">
      <c r="A80" s="6" t="s">
        <v>1901</v>
      </c>
      <c r="B80" s="6" t="n">
        <v>33</v>
      </c>
      <c r="C80" s="6" t="s">
        <v>1633</v>
      </c>
      <c r="D80" s="6" t="s">
        <v>1603</v>
      </c>
      <c r="E80" s="6" t="s">
        <v>1902</v>
      </c>
      <c r="F80" s="6" t="s">
        <v>1899</v>
      </c>
      <c r="G80" s="6" t="s">
        <v>1903</v>
      </c>
      <c r="H80" s="6" t="s">
        <v>1607</v>
      </c>
      <c r="I80" s="6"/>
      <c r="J80" s="6" t="n">
        <v>0.8</v>
      </c>
      <c r="K80" s="6" t="n">
        <v>1</v>
      </c>
      <c r="L80" s="6" t="n">
        <v>0.8</v>
      </c>
    </row>
    <row r="81" customFormat="false" ht="23.85" hidden="false" customHeight="false" outlineLevel="0" collapsed="false">
      <c r="A81" s="6" t="s">
        <v>1904</v>
      </c>
      <c r="B81" s="6" t="n">
        <v>34</v>
      </c>
      <c r="C81" s="6" t="s">
        <v>1905</v>
      </c>
      <c r="D81" s="6" t="s">
        <v>1603</v>
      </c>
      <c r="E81" s="6" t="s">
        <v>1906</v>
      </c>
      <c r="F81" s="6" t="s">
        <v>1899</v>
      </c>
      <c r="G81" s="6" t="s">
        <v>1907</v>
      </c>
      <c r="H81" s="6" t="s">
        <v>1607</v>
      </c>
      <c r="I81" s="6"/>
      <c r="J81" s="6" t="n">
        <v>0.8</v>
      </c>
      <c r="K81" s="6" t="n">
        <v>1</v>
      </c>
      <c r="L81" s="6" t="n">
        <v>0.8</v>
      </c>
    </row>
    <row r="82" customFormat="false" ht="15" hidden="false" customHeight="false" outlineLevel="0" collapsed="false">
      <c r="A82" s="6" t="s">
        <v>1908</v>
      </c>
      <c r="B82" s="6" t="n">
        <v>34</v>
      </c>
      <c r="C82" s="6" t="s">
        <v>1771</v>
      </c>
      <c r="D82" s="6" t="s">
        <v>1603</v>
      </c>
      <c r="E82" s="6" t="s">
        <v>1909</v>
      </c>
      <c r="F82" s="6" t="s">
        <v>1910</v>
      </c>
      <c r="G82" s="6" t="s">
        <v>1911</v>
      </c>
      <c r="H82" s="6" t="s">
        <v>1607</v>
      </c>
      <c r="I82" s="6"/>
      <c r="J82" s="6" t="n">
        <v>0.8</v>
      </c>
      <c r="K82" s="6" t="n">
        <v>1</v>
      </c>
      <c r="L82" s="6" t="n">
        <v>0.8</v>
      </c>
    </row>
    <row r="83" customFormat="false" ht="23.85" hidden="false" customHeight="false" outlineLevel="0" collapsed="false">
      <c r="A83" s="6" t="s">
        <v>1912</v>
      </c>
      <c r="B83" s="6" t="n">
        <v>34</v>
      </c>
      <c r="C83" s="6" t="s">
        <v>1651</v>
      </c>
      <c r="D83" s="6" t="s">
        <v>1603</v>
      </c>
      <c r="E83" s="6" t="s">
        <v>1913</v>
      </c>
      <c r="F83" s="6" t="s">
        <v>1910</v>
      </c>
      <c r="G83" s="6" t="s">
        <v>1914</v>
      </c>
      <c r="H83" s="6" t="s">
        <v>1607</v>
      </c>
      <c r="I83" s="6"/>
      <c r="J83" s="6" t="n">
        <v>0.8</v>
      </c>
      <c r="K83" s="6" t="n">
        <v>1</v>
      </c>
      <c r="L83" s="6" t="n">
        <v>0.8</v>
      </c>
    </row>
    <row r="84" customFormat="false" ht="23.85" hidden="false" customHeight="false" outlineLevel="0" collapsed="false">
      <c r="A84" s="6" t="s">
        <v>1915</v>
      </c>
      <c r="B84" s="6" t="n">
        <v>35</v>
      </c>
      <c r="C84" s="6" t="s">
        <v>1633</v>
      </c>
      <c r="D84" s="6" t="s">
        <v>1603</v>
      </c>
      <c r="E84" s="6" t="s">
        <v>1902</v>
      </c>
      <c r="F84" s="6" t="s">
        <v>1899</v>
      </c>
      <c r="G84" s="6" t="s">
        <v>1903</v>
      </c>
      <c r="H84" s="6" t="s">
        <v>1607</v>
      </c>
      <c r="I84" s="6"/>
      <c r="J84" s="6" t="n">
        <v>0.8</v>
      </c>
      <c r="K84" s="6" t="n">
        <v>1</v>
      </c>
      <c r="L84" s="6" t="n">
        <v>0.8</v>
      </c>
    </row>
    <row r="85" customFormat="false" ht="23.85" hidden="false" customHeight="false" outlineLevel="0" collapsed="false">
      <c r="A85" s="6" t="s">
        <v>1916</v>
      </c>
      <c r="B85" s="6" t="n">
        <v>35</v>
      </c>
      <c r="C85" s="6" t="s">
        <v>1771</v>
      </c>
      <c r="D85" s="6" t="s">
        <v>1603</v>
      </c>
      <c r="E85" s="6" t="s">
        <v>1917</v>
      </c>
      <c r="F85" s="6" t="s">
        <v>1910</v>
      </c>
      <c r="G85" s="6" t="s">
        <v>1918</v>
      </c>
      <c r="H85" s="6" t="s">
        <v>1607</v>
      </c>
      <c r="I85" s="6"/>
      <c r="J85" s="6" t="n">
        <v>0.8</v>
      </c>
      <c r="K85" s="6" t="n">
        <v>1</v>
      </c>
      <c r="L85" s="6" t="n">
        <v>0.8</v>
      </c>
    </row>
    <row r="86" customFormat="false" ht="23.85" hidden="false" customHeight="false" outlineLevel="0" collapsed="false">
      <c r="A86" s="6" t="s">
        <v>1919</v>
      </c>
      <c r="B86" s="6" t="n">
        <v>35</v>
      </c>
      <c r="C86" s="6" t="s">
        <v>1647</v>
      </c>
      <c r="D86" s="6" t="s">
        <v>1603</v>
      </c>
      <c r="E86" s="6" t="s">
        <v>1920</v>
      </c>
      <c r="F86" s="6" t="s">
        <v>1921</v>
      </c>
      <c r="G86" s="6" t="s">
        <v>1922</v>
      </c>
      <c r="H86" s="6" t="s">
        <v>1607</v>
      </c>
      <c r="I86" s="6"/>
      <c r="J86" s="6" t="n">
        <v>0.8</v>
      </c>
      <c r="K86" s="6" t="n">
        <v>1</v>
      </c>
      <c r="L86" s="6" t="n">
        <v>0.8</v>
      </c>
    </row>
    <row r="87" customFormat="false" ht="23.85" hidden="false" customHeight="false" outlineLevel="0" collapsed="false">
      <c r="A87" s="6" t="s">
        <v>1923</v>
      </c>
      <c r="B87" s="6" t="n">
        <v>36</v>
      </c>
      <c r="C87" s="6" t="s">
        <v>1924</v>
      </c>
      <c r="D87" s="6" t="s">
        <v>1603</v>
      </c>
      <c r="E87" s="6" t="s">
        <v>1925</v>
      </c>
      <c r="F87" s="6" t="s">
        <v>1926</v>
      </c>
      <c r="G87" s="6" t="s">
        <v>1927</v>
      </c>
      <c r="H87" s="6" t="s">
        <v>1607</v>
      </c>
      <c r="I87" s="6"/>
      <c r="J87" s="6" t="n">
        <v>0.8</v>
      </c>
      <c r="K87" s="6" t="n">
        <v>1</v>
      </c>
      <c r="L87" s="6" t="n">
        <v>0.8</v>
      </c>
    </row>
    <row r="88" customFormat="false" ht="23.85" hidden="false" customHeight="false" outlineLevel="0" collapsed="false">
      <c r="A88" s="6" t="s">
        <v>1928</v>
      </c>
      <c r="B88" s="6" t="n">
        <v>37</v>
      </c>
      <c r="C88" s="6" t="s">
        <v>1633</v>
      </c>
      <c r="D88" s="6" t="s">
        <v>1603</v>
      </c>
      <c r="E88" s="6" t="s">
        <v>1929</v>
      </c>
      <c r="F88" s="6" t="s">
        <v>1930</v>
      </c>
      <c r="G88" s="6" t="s">
        <v>1931</v>
      </c>
      <c r="H88" s="6" t="s">
        <v>1607</v>
      </c>
      <c r="I88" s="6"/>
      <c r="J88" s="6" t="n">
        <v>0.8</v>
      </c>
      <c r="K88" s="6" t="n">
        <v>1</v>
      </c>
      <c r="L88" s="6" t="n">
        <v>0.8</v>
      </c>
    </row>
    <row r="89" customFormat="false" ht="23.85" hidden="false" customHeight="false" outlineLevel="0" collapsed="false">
      <c r="A89" s="6" t="s">
        <v>1932</v>
      </c>
      <c r="B89" s="6" t="n">
        <v>38</v>
      </c>
      <c r="C89" s="6" t="s">
        <v>1756</v>
      </c>
      <c r="D89" s="6" t="s">
        <v>1603</v>
      </c>
      <c r="E89" s="6" t="s">
        <v>1933</v>
      </c>
      <c r="F89" s="6" t="s">
        <v>1934</v>
      </c>
      <c r="G89" s="6" t="s">
        <v>1935</v>
      </c>
      <c r="H89" s="6" t="s">
        <v>1607</v>
      </c>
      <c r="I89" s="6"/>
      <c r="J89" s="6" t="n">
        <v>0.8</v>
      </c>
      <c r="K89" s="6" t="n">
        <v>1</v>
      </c>
      <c r="L89" s="6" t="n">
        <v>0.8</v>
      </c>
    </row>
    <row r="90" customFormat="false" ht="23.85" hidden="false" customHeight="false" outlineLevel="0" collapsed="false">
      <c r="A90" s="6" t="s">
        <v>1936</v>
      </c>
      <c r="B90" s="6" t="n">
        <v>38</v>
      </c>
      <c r="C90" s="6" t="s">
        <v>1725</v>
      </c>
      <c r="D90" s="6" t="s">
        <v>1603</v>
      </c>
      <c r="E90" s="6" t="s">
        <v>1937</v>
      </c>
      <c r="F90" s="6" t="s">
        <v>1938</v>
      </c>
      <c r="G90" s="6" t="s">
        <v>1939</v>
      </c>
      <c r="H90" s="6" t="s">
        <v>1607</v>
      </c>
      <c r="I90" s="6"/>
      <c r="J90" s="6" t="n">
        <v>0.8</v>
      </c>
      <c r="K90" s="6" t="n">
        <v>1</v>
      </c>
      <c r="L90" s="6" t="n">
        <v>0.8</v>
      </c>
    </row>
    <row r="91" customFormat="false" ht="23.85" hidden="false" customHeight="false" outlineLevel="0" collapsed="false">
      <c r="A91" s="6" t="s">
        <v>1940</v>
      </c>
      <c r="B91" s="6" t="n">
        <v>39</v>
      </c>
      <c r="C91" s="6" t="s">
        <v>1941</v>
      </c>
      <c r="D91" s="6" t="s">
        <v>1603</v>
      </c>
      <c r="E91" s="6" t="s">
        <v>1942</v>
      </c>
      <c r="F91" s="6" t="s">
        <v>1891</v>
      </c>
      <c r="G91" s="6" t="s">
        <v>1943</v>
      </c>
      <c r="H91" s="6" t="s">
        <v>1607</v>
      </c>
      <c r="I91" s="6"/>
      <c r="J91" s="6" t="n">
        <v>0.8</v>
      </c>
      <c r="K91" s="6" t="n">
        <v>1</v>
      </c>
      <c r="L91" s="6" t="n">
        <v>0.8</v>
      </c>
    </row>
    <row r="92" customFormat="false" ht="23.85" hidden="false" customHeight="false" outlineLevel="0" collapsed="false">
      <c r="A92" s="6" t="s">
        <v>1944</v>
      </c>
      <c r="B92" s="6" t="n">
        <v>39</v>
      </c>
      <c r="C92" s="6" t="s">
        <v>1647</v>
      </c>
      <c r="D92" s="6" t="s">
        <v>1603</v>
      </c>
      <c r="E92" s="6" t="s">
        <v>1945</v>
      </c>
      <c r="F92" s="6" t="s">
        <v>1891</v>
      </c>
      <c r="G92" s="6" t="s">
        <v>1946</v>
      </c>
      <c r="H92" s="6" t="s">
        <v>1607</v>
      </c>
      <c r="I92" s="6"/>
      <c r="J92" s="6" t="n">
        <v>0.8</v>
      </c>
      <c r="K92" s="6" t="n">
        <v>1</v>
      </c>
      <c r="L92" s="6" t="n">
        <v>0.8</v>
      </c>
    </row>
    <row r="93" customFormat="false" ht="23.85" hidden="false" customHeight="false" outlineLevel="0" collapsed="false">
      <c r="A93" s="6" t="s">
        <v>1947</v>
      </c>
      <c r="B93" s="6" t="n">
        <v>40</v>
      </c>
      <c r="C93" s="6" t="s">
        <v>1647</v>
      </c>
      <c r="D93" s="6" t="s">
        <v>1603</v>
      </c>
      <c r="E93" s="6" t="s">
        <v>1948</v>
      </c>
      <c r="F93" s="6" t="s">
        <v>1949</v>
      </c>
      <c r="G93" s="6" t="s">
        <v>1950</v>
      </c>
      <c r="H93" s="6" t="s">
        <v>1607</v>
      </c>
      <c r="I93" s="6"/>
      <c r="J93" s="6" t="n">
        <v>0.8</v>
      </c>
      <c r="K93" s="6" t="n">
        <v>1</v>
      </c>
      <c r="L93" s="6" t="n">
        <v>0.8</v>
      </c>
    </row>
    <row r="94" customFormat="false" ht="23.85" hidden="false" customHeight="false" outlineLevel="0" collapsed="false">
      <c r="A94" s="6" t="s">
        <v>1951</v>
      </c>
      <c r="B94" s="6" t="n">
        <v>40</v>
      </c>
      <c r="C94" s="6" t="s">
        <v>1952</v>
      </c>
      <c r="D94" s="6" t="s">
        <v>1603</v>
      </c>
      <c r="E94" s="6" t="s">
        <v>1953</v>
      </c>
      <c r="F94" s="6" t="s">
        <v>1954</v>
      </c>
      <c r="G94" s="6" t="s">
        <v>1955</v>
      </c>
      <c r="H94" s="6" t="s">
        <v>1607</v>
      </c>
      <c r="I94" s="6"/>
      <c r="J94" s="6" t="n">
        <v>0.8</v>
      </c>
      <c r="K94" s="6" t="n">
        <v>1</v>
      </c>
      <c r="L94" s="6" t="n">
        <v>0.8</v>
      </c>
    </row>
    <row r="95" customFormat="false" ht="23.85" hidden="false" customHeight="false" outlineLevel="0" collapsed="false">
      <c r="A95" s="6" t="s">
        <v>1956</v>
      </c>
      <c r="B95" s="6" t="n">
        <v>40</v>
      </c>
      <c r="C95" s="6" t="s">
        <v>1957</v>
      </c>
      <c r="D95" s="6" t="s">
        <v>1603</v>
      </c>
      <c r="E95" s="6" t="s">
        <v>1958</v>
      </c>
      <c r="F95" s="6" t="s">
        <v>1959</v>
      </c>
      <c r="G95" s="6" t="s">
        <v>1960</v>
      </c>
      <c r="H95" s="6" t="s">
        <v>1607</v>
      </c>
      <c r="I95" s="6"/>
      <c r="J95" s="6" t="n">
        <v>0.8</v>
      </c>
      <c r="K95" s="6" t="n">
        <v>1</v>
      </c>
      <c r="L95" s="6" t="n">
        <v>0.8</v>
      </c>
    </row>
    <row r="96" customFormat="false" ht="23.85" hidden="false" customHeight="false" outlineLevel="0" collapsed="false">
      <c r="A96" s="6" t="s">
        <v>1961</v>
      </c>
      <c r="B96" s="6" t="n">
        <v>41</v>
      </c>
      <c r="C96" s="6" t="s">
        <v>1962</v>
      </c>
      <c r="D96" s="6" t="s">
        <v>1603</v>
      </c>
      <c r="E96" s="6" t="s">
        <v>1963</v>
      </c>
      <c r="F96" s="6" t="s">
        <v>1964</v>
      </c>
      <c r="G96" s="6" t="s">
        <v>1965</v>
      </c>
      <c r="H96" s="6" t="s">
        <v>1607</v>
      </c>
      <c r="I96" s="6"/>
      <c r="J96" s="6" t="n">
        <v>0.8</v>
      </c>
      <c r="K96" s="6" t="n">
        <v>1</v>
      </c>
      <c r="L96" s="6" t="n">
        <v>0.8</v>
      </c>
    </row>
    <row r="97" customFormat="false" ht="23.85" hidden="false" customHeight="false" outlineLevel="0" collapsed="false">
      <c r="A97" s="6" t="s">
        <v>1966</v>
      </c>
      <c r="B97" s="6" t="n">
        <v>41</v>
      </c>
      <c r="C97" s="6" t="s">
        <v>1629</v>
      </c>
      <c r="D97" s="6" t="s">
        <v>1603</v>
      </c>
      <c r="E97" s="6" t="s">
        <v>1967</v>
      </c>
      <c r="F97" s="6" t="s">
        <v>1964</v>
      </c>
      <c r="G97" s="6" t="s">
        <v>1968</v>
      </c>
      <c r="H97" s="6" t="s">
        <v>1607</v>
      </c>
      <c r="I97" s="6"/>
      <c r="J97" s="6" t="n">
        <v>0.8</v>
      </c>
      <c r="K97" s="6" t="n">
        <v>1</v>
      </c>
      <c r="L97" s="6" t="n">
        <v>0.8</v>
      </c>
    </row>
    <row r="98" customFormat="false" ht="23.85" hidden="false" customHeight="false" outlineLevel="0" collapsed="false">
      <c r="A98" s="6" t="s">
        <v>1969</v>
      </c>
      <c r="B98" s="6" t="n">
        <v>42</v>
      </c>
      <c r="C98" s="6" t="s">
        <v>1962</v>
      </c>
      <c r="D98" s="6" t="s">
        <v>1603</v>
      </c>
      <c r="E98" s="6" t="s">
        <v>1963</v>
      </c>
      <c r="F98" s="6" t="s">
        <v>1964</v>
      </c>
      <c r="G98" s="6" t="s">
        <v>1965</v>
      </c>
      <c r="H98" s="6" t="s">
        <v>1607</v>
      </c>
      <c r="I98" s="6"/>
      <c r="J98" s="6" t="n">
        <v>0.8</v>
      </c>
      <c r="K98" s="6" t="n">
        <v>1</v>
      </c>
      <c r="L98" s="6" t="n">
        <v>0.8</v>
      </c>
    </row>
    <row r="99" customFormat="false" ht="23.85" hidden="false" customHeight="false" outlineLevel="0" collapsed="false">
      <c r="A99" s="6" t="s">
        <v>1970</v>
      </c>
      <c r="B99" s="6" t="n">
        <v>42</v>
      </c>
      <c r="C99" s="6" t="s">
        <v>1629</v>
      </c>
      <c r="D99" s="6" t="s">
        <v>1603</v>
      </c>
      <c r="E99" s="6" t="s">
        <v>1967</v>
      </c>
      <c r="F99" s="6" t="s">
        <v>1964</v>
      </c>
      <c r="G99" s="6" t="s">
        <v>1968</v>
      </c>
      <c r="H99" s="6" t="s">
        <v>1607</v>
      </c>
      <c r="I99" s="6"/>
      <c r="J99" s="6" t="n">
        <v>0.8</v>
      </c>
      <c r="K99" s="6" t="n">
        <v>1</v>
      </c>
      <c r="L99" s="6" t="n">
        <v>0.8</v>
      </c>
    </row>
    <row r="100" customFormat="false" ht="23.85" hidden="false" customHeight="false" outlineLevel="0" collapsed="false">
      <c r="A100" s="6" t="s">
        <v>1971</v>
      </c>
      <c r="B100" s="6" t="n">
        <v>43</v>
      </c>
      <c r="C100" s="6" t="s">
        <v>1972</v>
      </c>
      <c r="D100" s="6" t="s">
        <v>1603</v>
      </c>
      <c r="E100" s="6" t="s">
        <v>1973</v>
      </c>
      <c r="F100" s="6" t="s">
        <v>1974</v>
      </c>
      <c r="G100" s="6" t="s">
        <v>1975</v>
      </c>
      <c r="H100" s="6" t="s">
        <v>1607</v>
      </c>
      <c r="I100" s="6"/>
      <c r="J100" s="6" t="n">
        <v>0.8</v>
      </c>
      <c r="K100" s="6" t="n">
        <v>1</v>
      </c>
      <c r="L100" s="6" t="n">
        <v>0.8</v>
      </c>
    </row>
    <row r="101" customFormat="false" ht="23.85" hidden="false" customHeight="false" outlineLevel="0" collapsed="false">
      <c r="A101" s="6" t="s">
        <v>1976</v>
      </c>
      <c r="B101" s="6" t="n">
        <v>44</v>
      </c>
      <c r="C101" s="6" t="s">
        <v>1679</v>
      </c>
      <c r="D101" s="6" t="s">
        <v>1603</v>
      </c>
      <c r="E101" s="6" t="s">
        <v>1977</v>
      </c>
      <c r="F101" s="6" t="s">
        <v>1978</v>
      </c>
      <c r="G101" s="6" t="s">
        <v>1979</v>
      </c>
      <c r="H101" s="6" t="s">
        <v>1607</v>
      </c>
      <c r="I101" s="6"/>
      <c r="J101" s="6" t="n">
        <v>0.8</v>
      </c>
      <c r="K101" s="6" t="n">
        <v>1</v>
      </c>
      <c r="L101" s="6" t="n">
        <v>0.8</v>
      </c>
    </row>
    <row r="102" customFormat="false" ht="23.85" hidden="false" customHeight="false" outlineLevel="0" collapsed="false">
      <c r="A102" s="6" t="s">
        <v>1980</v>
      </c>
      <c r="B102" s="6" t="n">
        <v>45</v>
      </c>
      <c r="C102" s="6" t="s">
        <v>1981</v>
      </c>
      <c r="D102" s="6" t="s">
        <v>1603</v>
      </c>
      <c r="E102" s="6" t="s">
        <v>1982</v>
      </c>
      <c r="F102" s="6" t="s">
        <v>1978</v>
      </c>
      <c r="G102" s="6" t="s">
        <v>1983</v>
      </c>
      <c r="H102" s="6" t="s">
        <v>1607</v>
      </c>
      <c r="I102" s="6"/>
      <c r="J102" s="6" t="n">
        <v>0.8</v>
      </c>
      <c r="K102" s="6" t="n">
        <v>1</v>
      </c>
      <c r="L102" s="6" t="n">
        <v>0.8</v>
      </c>
    </row>
    <row r="103" customFormat="false" ht="23.85" hidden="false" customHeight="false" outlineLevel="0" collapsed="false">
      <c r="A103" s="6" t="s">
        <v>1984</v>
      </c>
      <c r="B103" s="6" t="n">
        <v>46</v>
      </c>
      <c r="C103" s="6" t="s">
        <v>1985</v>
      </c>
      <c r="D103" s="6" t="s">
        <v>1986</v>
      </c>
      <c r="E103" s="6" t="s">
        <v>1987</v>
      </c>
      <c r="F103" s="6" t="s">
        <v>1978</v>
      </c>
      <c r="G103" s="6" t="s">
        <v>1988</v>
      </c>
      <c r="H103" s="6" t="s">
        <v>1701</v>
      </c>
      <c r="I103" s="6"/>
      <c r="J103" s="6" t="n">
        <v>0.8</v>
      </c>
      <c r="K103" s="6" t="n">
        <v>0.8</v>
      </c>
      <c r="L103" s="6" t="n">
        <v>0.64</v>
      </c>
    </row>
    <row r="104" customFormat="false" ht="23.85" hidden="false" customHeight="false" outlineLevel="0" collapsed="false">
      <c r="A104" s="6" t="s">
        <v>1989</v>
      </c>
      <c r="B104" s="6" t="n">
        <v>46</v>
      </c>
      <c r="C104" s="6" t="s">
        <v>1990</v>
      </c>
      <c r="D104" s="6" t="s">
        <v>1603</v>
      </c>
      <c r="E104" s="6" t="s">
        <v>1991</v>
      </c>
      <c r="F104" s="6" t="s">
        <v>1978</v>
      </c>
      <c r="G104" s="6" t="s">
        <v>1992</v>
      </c>
      <c r="H104" s="6" t="s">
        <v>1607</v>
      </c>
      <c r="I104" s="6"/>
      <c r="J104" s="6" t="n">
        <v>0.8</v>
      </c>
      <c r="K104" s="6" t="n">
        <v>1</v>
      </c>
      <c r="L104" s="6" t="n">
        <v>0.8</v>
      </c>
    </row>
    <row r="105" customFormat="false" ht="35.05" hidden="false" customHeight="false" outlineLevel="0" collapsed="false">
      <c r="A105" s="6" t="s">
        <v>1993</v>
      </c>
      <c r="B105" s="6" t="n">
        <v>47</v>
      </c>
      <c r="C105" s="6" t="s">
        <v>1994</v>
      </c>
      <c r="D105" s="6" t="s">
        <v>1603</v>
      </c>
      <c r="E105" s="6" t="s">
        <v>1995</v>
      </c>
      <c r="F105" s="6" t="s">
        <v>1996</v>
      </c>
      <c r="G105" s="6" t="s">
        <v>1997</v>
      </c>
      <c r="H105" s="6" t="s">
        <v>1607</v>
      </c>
      <c r="I105" s="6"/>
      <c r="J105" s="6" t="n">
        <v>0.8</v>
      </c>
      <c r="K105" s="6" t="n">
        <v>1</v>
      </c>
      <c r="L105" s="6" t="n">
        <v>0.8</v>
      </c>
    </row>
    <row r="106" customFormat="false" ht="23.85" hidden="false" customHeight="false" outlineLevel="0" collapsed="false">
      <c r="A106" s="6" t="s">
        <v>1998</v>
      </c>
      <c r="B106" s="6" t="n">
        <v>47</v>
      </c>
      <c r="C106" s="6" t="s">
        <v>1999</v>
      </c>
      <c r="D106" s="6" t="s">
        <v>1603</v>
      </c>
      <c r="E106" s="6" t="s">
        <v>2000</v>
      </c>
      <c r="F106" s="6" t="s">
        <v>1996</v>
      </c>
      <c r="G106" s="6" t="s">
        <v>2001</v>
      </c>
      <c r="H106" s="6" t="s">
        <v>1607</v>
      </c>
      <c r="I106" s="6"/>
      <c r="J106" s="6" t="n">
        <v>0.8</v>
      </c>
      <c r="K106" s="6" t="n">
        <v>1</v>
      </c>
      <c r="L106" s="6" t="n">
        <v>0.8</v>
      </c>
    </row>
    <row r="107" customFormat="false" ht="23.85" hidden="false" customHeight="false" outlineLevel="0" collapsed="false">
      <c r="A107" s="6" t="s">
        <v>2002</v>
      </c>
      <c r="B107" s="6" t="n">
        <v>47</v>
      </c>
      <c r="C107" s="6" t="s">
        <v>2003</v>
      </c>
      <c r="D107" s="6" t="s">
        <v>1986</v>
      </c>
      <c r="E107" s="6" t="s">
        <v>2004</v>
      </c>
      <c r="F107" s="6" t="s">
        <v>2005</v>
      </c>
      <c r="G107" s="6" t="s">
        <v>2006</v>
      </c>
      <c r="H107" s="6" t="s">
        <v>1607</v>
      </c>
      <c r="I107" s="6"/>
      <c r="J107" s="6" t="n">
        <v>0.8</v>
      </c>
      <c r="K107" s="6" t="n">
        <v>1</v>
      </c>
      <c r="L107" s="6" t="n">
        <v>0.8</v>
      </c>
    </row>
    <row r="108" customFormat="false" ht="23.85" hidden="false" customHeight="false" outlineLevel="0" collapsed="false">
      <c r="A108" s="6" t="s">
        <v>2007</v>
      </c>
      <c r="B108" s="6" t="n">
        <v>48</v>
      </c>
      <c r="C108" s="6" t="s">
        <v>2003</v>
      </c>
      <c r="D108" s="6" t="s">
        <v>1986</v>
      </c>
      <c r="E108" s="6" t="s">
        <v>2008</v>
      </c>
      <c r="F108" s="6" t="s">
        <v>2005</v>
      </c>
      <c r="G108" s="6" t="s">
        <v>2006</v>
      </c>
      <c r="H108" s="6" t="s">
        <v>1607</v>
      </c>
      <c r="I108" s="6"/>
      <c r="J108" s="6" t="n">
        <v>0.8</v>
      </c>
      <c r="K108" s="6" t="n">
        <v>1</v>
      </c>
      <c r="L108" s="6" t="n">
        <v>0.8</v>
      </c>
    </row>
    <row r="109" customFormat="false" ht="23.85" hidden="false" customHeight="false" outlineLevel="0" collapsed="false">
      <c r="A109" s="6" t="s">
        <v>2009</v>
      </c>
      <c r="B109" s="6" t="n">
        <v>48</v>
      </c>
      <c r="C109" s="6" t="s">
        <v>2010</v>
      </c>
      <c r="D109" s="6" t="s">
        <v>1603</v>
      </c>
      <c r="E109" s="6" t="s">
        <v>2011</v>
      </c>
      <c r="F109" s="6" t="s">
        <v>2012</v>
      </c>
      <c r="G109" s="6" t="s">
        <v>2013</v>
      </c>
      <c r="H109" s="6" t="s">
        <v>1607</v>
      </c>
      <c r="I109" s="6"/>
      <c r="J109" s="6" t="n">
        <v>0.8</v>
      </c>
      <c r="K109" s="6" t="n">
        <v>1</v>
      </c>
      <c r="L109" s="6" t="n">
        <v>0.8</v>
      </c>
    </row>
    <row r="110" customFormat="false" ht="15" hidden="false" customHeight="false" outlineLevel="0" collapsed="false">
      <c r="A110" s="6" t="s">
        <v>2014</v>
      </c>
      <c r="B110" s="6" t="n">
        <v>50</v>
      </c>
      <c r="C110" s="6" t="s">
        <v>1771</v>
      </c>
      <c r="D110" s="6" t="s">
        <v>1603</v>
      </c>
      <c r="E110" s="6" t="s">
        <v>2015</v>
      </c>
      <c r="F110" s="6" t="s">
        <v>2005</v>
      </c>
      <c r="G110" s="6" t="s">
        <v>2016</v>
      </c>
      <c r="H110" s="6" t="s">
        <v>1607</v>
      </c>
      <c r="I110" s="6" t="n">
        <v>49</v>
      </c>
      <c r="J110" s="6" t="n">
        <v>0.8</v>
      </c>
      <c r="K110" s="6" t="n">
        <v>1</v>
      </c>
      <c r="L110" s="6" t="n">
        <v>0.8</v>
      </c>
    </row>
    <row r="111" customFormat="false" ht="23.85" hidden="false" customHeight="false" outlineLevel="0" collapsed="false">
      <c r="A111" s="6" t="s">
        <v>2017</v>
      </c>
      <c r="B111" s="6" t="n">
        <v>50</v>
      </c>
      <c r="C111" s="6" t="s">
        <v>1952</v>
      </c>
      <c r="D111" s="6" t="s">
        <v>1603</v>
      </c>
      <c r="E111" s="6" t="s">
        <v>2018</v>
      </c>
      <c r="F111" s="6" t="s">
        <v>2019</v>
      </c>
      <c r="G111" s="6" t="s">
        <v>2020</v>
      </c>
      <c r="H111" s="6" t="s">
        <v>1701</v>
      </c>
      <c r="I111" s="6" t="n">
        <v>49</v>
      </c>
      <c r="J111" s="6" t="n">
        <v>0.8</v>
      </c>
      <c r="K111" s="6" t="n">
        <v>0.8</v>
      </c>
      <c r="L111" s="6" t="n">
        <v>0.64</v>
      </c>
    </row>
    <row r="112" customFormat="false" ht="23.85" hidden="false" customHeight="false" outlineLevel="0" collapsed="false">
      <c r="A112" s="6" t="s">
        <v>2021</v>
      </c>
      <c r="B112" s="6" t="n">
        <v>50</v>
      </c>
      <c r="C112" s="6" t="s">
        <v>2022</v>
      </c>
      <c r="D112" s="6" t="s">
        <v>1603</v>
      </c>
      <c r="E112" s="6" t="s">
        <v>2023</v>
      </c>
      <c r="F112" s="6" t="s">
        <v>2024</v>
      </c>
      <c r="G112" s="6" t="s">
        <v>2025</v>
      </c>
      <c r="H112" s="6" t="s">
        <v>1607</v>
      </c>
      <c r="I112" s="6" t="n">
        <v>49</v>
      </c>
      <c r="J112" s="6" t="n">
        <v>0.8</v>
      </c>
      <c r="K112" s="6" t="n">
        <v>1</v>
      </c>
      <c r="L112" s="6" t="n">
        <v>0.8</v>
      </c>
    </row>
    <row r="113" customFormat="false" ht="23.85" hidden="false" customHeight="false" outlineLevel="0" collapsed="false">
      <c r="A113" s="6" t="s">
        <v>2026</v>
      </c>
      <c r="B113" s="6" t="n">
        <v>50</v>
      </c>
      <c r="C113" s="6" t="s">
        <v>1647</v>
      </c>
      <c r="D113" s="6" t="s">
        <v>1603</v>
      </c>
      <c r="E113" s="6" t="s">
        <v>2027</v>
      </c>
      <c r="F113" s="6" t="s">
        <v>2024</v>
      </c>
      <c r="G113" s="6" t="s">
        <v>2028</v>
      </c>
      <c r="H113" s="6" t="s">
        <v>1607</v>
      </c>
      <c r="I113" s="6"/>
      <c r="J113" s="6" t="n">
        <v>0.8</v>
      </c>
      <c r="K113" s="6" t="n">
        <v>1</v>
      </c>
      <c r="L113" s="6" t="n">
        <v>0.8</v>
      </c>
    </row>
    <row r="114" customFormat="false" ht="15" hidden="false" customHeight="false" outlineLevel="0" collapsed="false">
      <c r="A114" s="6" t="s">
        <v>2029</v>
      </c>
      <c r="B114" s="6" t="n">
        <v>50</v>
      </c>
      <c r="C114" s="6" t="s">
        <v>2030</v>
      </c>
      <c r="D114" s="6" t="s">
        <v>1603</v>
      </c>
      <c r="E114" s="6" t="s">
        <v>2031</v>
      </c>
      <c r="F114" s="6" t="s">
        <v>2024</v>
      </c>
      <c r="G114" s="6" t="s">
        <v>2032</v>
      </c>
      <c r="H114" s="6" t="s">
        <v>1607</v>
      </c>
      <c r="I114" s="6"/>
      <c r="J114" s="6" t="n">
        <v>0.8</v>
      </c>
      <c r="K114" s="6" t="n">
        <v>1</v>
      </c>
      <c r="L114" s="6" t="n">
        <v>0.8</v>
      </c>
    </row>
    <row r="115" customFormat="false" ht="23.85" hidden="false" customHeight="false" outlineLevel="0" collapsed="false">
      <c r="A115" s="6" t="s">
        <v>2033</v>
      </c>
      <c r="B115" s="6" t="n">
        <v>50</v>
      </c>
      <c r="C115" s="6" t="s">
        <v>1647</v>
      </c>
      <c r="D115" s="6" t="s">
        <v>1603</v>
      </c>
      <c r="E115" s="6" t="s">
        <v>2034</v>
      </c>
      <c r="F115" s="6" t="s">
        <v>2035</v>
      </c>
      <c r="G115" s="6" t="s">
        <v>2036</v>
      </c>
      <c r="H115" s="6" t="s">
        <v>1607</v>
      </c>
      <c r="I115" s="6"/>
      <c r="J115" s="6" t="n">
        <v>0.8</v>
      </c>
      <c r="K115" s="6" t="n">
        <v>1</v>
      </c>
      <c r="L115" s="6" t="n">
        <v>0.8</v>
      </c>
    </row>
    <row r="116" customFormat="false" ht="23.85" hidden="false" customHeight="false" outlineLevel="0" collapsed="false">
      <c r="A116" s="6" t="s">
        <v>2037</v>
      </c>
      <c r="B116" s="6" t="n">
        <v>50</v>
      </c>
      <c r="C116" s="6" t="s">
        <v>2030</v>
      </c>
      <c r="D116" s="6" t="s">
        <v>1603</v>
      </c>
      <c r="E116" s="6" t="s">
        <v>2038</v>
      </c>
      <c r="F116" s="6" t="s">
        <v>2039</v>
      </c>
      <c r="G116" s="6" t="s">
        <v>2040</v>
      </c>
      <c r="H116" s="6" t="s">
        <v>1607</v>
      </c>
      <c r="I116" s="6"/>
      <c r="J116" s="6" t="n">
        <v>0.8</v>
      </c>
      <c r="K116" s="6" t="n">
        <v>1</v>
      </c>
      <c r="L116" s="6" t="n">
        <v>0.8</v>
      </c>
    </row>
    <row r="117" customFormat="false" ht="23.85" hidden="false" customHeight="false" outlineLevel="0" collapsed="false">
      <c r="A117" s="6" t="s">
        <v>2041</v>
      </c>
      <c r="B117" s="6" t="n">
        <v>51</v>
      </c>
      <c r="C117" s="6" t="s">
        <v>1647</v>
      </c>
      <c r="D117" s="6" t="s">
        <v>1603</v>
      </c>
      <c r="E117" s="6" t="s">
        <v>2042</v>
      </c>
      <c r="F117" s="6" t="s">
        <v>2035</v>
      </c>
      <c r="G117" s="6" t="s">
        <v>2043</v>
      </c>
      <c r="H117" s="6" t="s">
        <v>1607</v>
      </c>
      <c r="I117" s="6"/>
      <c r="J117" s="6" t="n">
        <v>0.8</v>
      </c>
      <c r="K117" s="6" t="n">
        <v>1</v>
      </c>
      <c r="L117" s="6" t="n">
        <v>0.8</v>
      </c>
    </row>
    <row r="118" customFormat="false" ht="23.85" hidden="false" customHeight="false" outlineLevel="0" collapsed="false">
      <c r="A118" s="6" t="s">
        <v>2044</v>
      </c>
      <c r="B118" s="6" t="n">
        <v>52</v>
      </c>
      <c r="C118" s="6" t="s">
        <v>2045</v>
      </c>
      <c r="D118" s="6" t="s">
        <v>1603</v>
      </c>
      <c r="E118" s="6" t="s">
        <v>2046</v>
      </c>
      <c r="F118" s="6" t="s">
        <v>2039</v>
      </c>
      <c r="G118" s="6" t="s">
        <v>2047</v>
      </c>
      <c r="H118" s="6" t="s">
        <v>1607</v>
      </c>
      <c r="I118" s="6"/>
      <c r="J118" s="6" t="n">
        <v>0.8</v>
      </c>
      <c r="K118" s="6" t="n">
        <v>1</v>
      </c>
      <c r="L118" s="6" t="n">
        <v>0.8</v>
      </c>
    </row>
    <row r="119" customFormat="false" ht="15" hidden="false" customHeight="false" outlineLevel="0" collapsed="false">
      <c r="A119" s="6" t="s">
        <v>2048</v>
      </c>
      <c r="B119" s="6" t="n">
        <v>52</v>
      </c>
      <c r="C119" s="6" t="s">
        <v>2049</v>
      </c>
      <c r="D119" s="6" t="s">
        <v>1603</v>
      </c>
      <c r="E119" s="6" t="s">
        <v>2050</v>
      </c>
      <c r="F119" s="6" t="s">
        <v>2051</v>
      </c>
      <c r="G119" s="6" t="s">
        <v>2052</v>
      </c>
      <c r="H119" s="6" t="s">
        <v>1607</v>
      </c>
      <c r="I119" s="6"/>
      <c r="J119" s="6" t="n">
        <v>0.8</v>
      </c>
      <c r="K119" s="6" t="n">
        <v>1</v>
      </c>
      <c r="L119" s="6" t="n">
        <v>0.8</v>
      </c>
    </row>
    <row r="120" customFormat="false" ht="23.85" hidden="false" customHeight="false" outlineLevel="0" collapsed="false">
      <c r="A120" s="6" t="s">
        <v>2053</v>
      </c>
      <c r="B120" s="6" t="n">
        <v>52</v>
      </c>
      <c r="C120" s="6" t="s">
        <v>2045</v>
      </c>
      <c r="D120" s="6" t="s">
        <v>1603</v>
      </c>
      <c r="E120" s="6" t="s">
        <v>2054</v>
      </c>
      <c r="F120" s="6" t="s">
        <v>2051</v>
      </c>
      <c r="G120" s="6" t="s">
        <v>2055</v>
      </c>
      <c r="H120" s="6" t="s">
        <v>1607</v>
      </c>
      <c r="I120" s="6"/>
      <c r="J120" s="6" t="n">
        <v>0.8</v>
      </c>
      <c r="K120" s="6" t="n">
        <v>1</v>
      </c>
      <c r="L120" s="6" t="n">
        <v>0.8</v>
      </c>
    </row>
    <row r="121" customFormat="false" ht="15" hidden="false" customHeight="false" outlineLevel="0" collapsed="false">
      <c r="A121" s="6" t="s">
        <v>2056</v>
      </c>
      <c r="B121" s="6" t="n">
        <v>53</v>
      </c>
      <c r="C121" s="6" t="s">
        <v>2049</v>
      </c>
      <c r="D121" s="6" t="s">
        <v>1603</v>
      </c>
      <c r="E121" s="6" t="s">
        <v>2050</v>
      </c>
      <c r="F121" s="6" t="s">
        <v>2051</v>
      </c>
      <c r="G121" s="6" t="s">
        <v>2052</v>
      </c>
      <c r="H121" s="6" t="s">
        <v>1607</v>
      </c>
      <c r="I121" s="6"/>
      <c r="J121" s="6" t="n">
        <v>0.8</v>
      </c>
      <c r="K121" s="6" t="n">
        <v>1</v>
      </c>
      <c r="L121" s="6" t="n">
        <v>0.8</v>
      </c>
    </row>
    <row r="122" customFormat="false" ht="35.05" hidden="false" customHeight="false" outlineLevel="0" collapsed="false">
      <c r="A122" s="6" t="s">
        <v>2057</v>
      </c>
      <c r="B122" s="6" t="n">
        <v>53</v>
      </c>
      <c r="C122" s="6" t="s">
        <v>1647</v>
      </c>
      <c r="D122" s="6" t="s">
        <v>1603</v>
      </c>
      <c r="E122" s="6" t="s">
        <v>2058</v>
      </c>
      <c r="F122" s="6" t="s">
        <v>2051</v>
      </c>
      <c r="G122" s="6" t="s">
        <v>2059</v>
      </c>
      <c r="H122" s="6" t="s">
        <v>1701</v>
      </c>
      <c r="I122" s="6"/>
      <c r="J122" s="6" t="n">
        <v>0.8</v>
      </c>
      <c r="K122" s="6" t="n">
        <v>0.8</v>
      </c>
      <c r="L122" s="6" t="n">
        <v>0.64</v>
      </c>
    </row>
    <row r="123" customFormat="false" ht="23.85" hidden="false" customHeight="false" outlineLevel="0" collapsed="false">
      <c r="A123" s="6" t="s">
        <v>2060</v>
      </c>
      <c r="B123" s="6" t="n">
        <v>54</v>
      </c>
      <c r="C123" s="6" t="s">
        <v>1647</v>
      </c>
      <c r="D123" s="6" t="s">
        <v>1603</v>
      </c>
      <c r="E123" s="6" t="s">
        <v>2061</v>
      </c>
      <c r="F123" s="6" t="s">
        <v>2062</v>
      </c>
      <c r="G123" s="6" t="s">
        <v>2063</v>
      </c>
      <c r="H123" s="6" t="s">
        <v>1607</v>
      </c>
      <c r="I123" s="6"/>
      <c r="J123" s="6" t="n">
        <v>0.8</v>
      </c>
      <c r="K123" s="6" t="n">
        <v>1</v>
      </c>
      <c r="L123" s="6" t="n">
        <v>0.8</v>
      </c>
    </row>
    <row r="124" customFormat="false" ht="35.05" hidden="false" customHeight="false" outlineLevel="0" collapsed="false">
      <c r="A124" s="6" t="s">
        <v>2064</v>
      </c>
      <c r="B124" s="6" t="n">
        <v>55</v>
      </c>
      <c r="C124" s="6" t="s">
        <v>2065</v>
      </c>
      <c r="D124" s="6" t="s">
        <v>1986</v>
      </c>
      <c r="E124" s="6" t="s">
        <v>2066</v>
      </c>
      <c r="F124" s="6" t="s">
        <v>2067</v>
      </c>
      <c r="G124" s="6" t="s">
        <v>2068</v>
      </c>
      <c r="H124" s="6" t="s">
        <v>1607</v>
      </c>
      <c r="I124" s="6"/>
      <c r="J124" s="6" t="n">
        <v>0.8</v>
      </c>
      <c r="K124" s="6" t="n">
        <v>1</v>
      </c>
      <c r="L124" s="6" t="n">
        <v>0.8</v>
      </c>
    </row>
    <row r="125" customFormat="false" ht="15" hidden="false" customHeight="false" outlineLevel="0" collapsed="false">
      <c r="A125" s="6" t="s">
        <v>2069</v>
      </c>
      <c r="B125" s="6" t="n">
        <v>55</v>
      </c>
      <c r="C125" s="6" t="s">
        <v>2070</v>
      </c>
      <c r="D125" s="6" t="s">
        <v>1603</v>
      </c>
      <c r="E125" s="6" t="s">
        <v>2071</v>
      </c>
      <c r="F125" s="6" t="s">
        <v>2067</v>
      </c>
      <c r="G125" s="6" t="s">
        <v>2072</v>
      </c>
      <c r="H125" s="6" t="s">
        <v>1607</v>
      </c>
      <c r="I125" s="6"/>
      <c r="J125" s="6" t="n">
        <v>0.8</v>
      </c>
      <c r="K125" s="6" t="n">
        <v>1</v>
      </c>
      <c r="L125" s="6" t="n">
        <v>0.8</v>
      </c>
    </row>
    <row r="126" customFormat="false" ht="23.85" hidden="false" customHeight="false" outlineLevel="0" collapsed="false">
      <c r="A126" s="6" t="s">
        <v>2073</v>
      </c>
      <c r="B126" s="6" t="n">
        <v>55</v>
      </c>
      <c r="C126" s="6" t="s">
        <v>1647</v>
      </c>
      <c r="D126" s="6" t="s">
        <v>1603</v>
      </c>
      <c r="E126" s="6" t="s">
        <v>2074</v>
      </c>
      <c r="F126" s="6" t="s">
        <v>2075</v>
      </c>
      <c r="G126" s="6" t="s">
        <v>2076</v>
      </c>
      <c r="H126" s="6" t="s">
        <v>1607</v>
      </c>
      <c r="I126" s="6"/>
      <c r="J126" s="6" t="n">
        <v>0.8</v>
      </c>
      <c r="K126" s="6" t="n">
        <v>1</v>
      </c>
      <c r="L126" s="6" t="n">
        <v>0.8</v>
      </c>
    </row>
    <row r="127" customFormat="false" ht="35.05" hidden="false" customHeight="false" outlineLevel="0" collapsed="false">
      <c r="A127" s="6" t="s">
        <v>2077</v>
      </c>
      <c r="B127" s="6" t="n">
        <v>56</v>
      </c>
      <c r="C127" s="6" t="s">
        <v>2065</v>
      </c>
      <c r="D127" s="6" t="s">
        <v>1986</v>
      </c>
      <c r="E127" s="6" t="s">
        <v>2066</v>
      </c>
      <c r="F127" s="6" t="s">
        <v>2067</v>
      </c>
      <c r="G127" s="6" t="s">
        <v>2068</v>
      </c>
      <c r="H127" s="6" t="s">
        <v>1607</v>
      </c>
      <c r="I127" s="6"/>
      <c r="J127" s="6" t="n">
        <v>0.8</v>
      </c>
      <c r="K127" s="6" t="n">
        <v>1</v>
      </c>
      <c r="L127" s="6" t="n">
        <v>0.8</v>
      </c>
    </row>
    <row r="128" customFormat="false" ht="15" hidden="false" customHeight="false" outlineLevel="0" collapsed="false">
      <c r="A128" s="6" t="s">
        <v>2078</v>
      </c>
      <c r="B128" s="6" t="n">
        <v>56</v>
      </c>
      <c r="C128" s="6" t="s">
        <v>2079</v>
      </c>
      <c r="D128" s="6" t="s">
        <v>1603</v>
      </c>
      <c r="E128" s="6" t="s">
        <v>2080</v>
      </c>
      <c r="F128" s="6" t="s">
        <v>2075</v>
      </c>
      <c r="G128" s="6" t="s">
        <v>2081</v>
      </c>
      <c r="H128" s="6" t="s">
        <v>1607</v>
      </c>
      <c r="I128" s="6"/>
      <c r="J128" s="6" t="n">
        <v>0.8</v>
      </c>
      <c r="K128" s="6" t="n">
        <v>1</v>
      </c>
      <c r="L128" s="6" t="n">
        <v>0.8</v>
      </c>
    </row>
    <row r="129" customFormat="false" ht="23.85" hidden="false" customHeight="false" outlineLevel="0" collapsed="false">
      <c r="A129" s="6" t="s">
        <v>2082</v>
      </c>
      <c r="B129" s="6" t="n">
        <v>56</v>
      </c>
      <c r="C129" s="6" t="s">
        <v>2083</v>
      </c>
      <c r="D129" s="6" t="s">
        <v>1603</v>
      </c>
      <c r="E129" s="6" t="s">
        <v>2080</v>
      </c>
      <c r="F129" s="6" t="s">
        <v>2075</v>
      </c>
      <c r="G129" s="6" t="s">
        <v>2084</v>
      </c>
      <c r="H129" s="6" t="s">
        <v>1607</v>
      </c>
      <c r="I129" s="6"/>
      <c r="J129" s="6" t="n">
        <v>0.8</v>
      </c>
      <c r="K129" s="6" t="n">
        <v>1</v>
      </c>
      <c r="L129" s="6" t="n">
        <v>0.8</v>
      </c>
    </row>
    <row r="130" customFormat="false" ht="23.85" hidden="false" customHeight="false" outlineLevel="0" collapsed="false">
      <c r="A130" s="6" t="s">
        <v>2085</v>
      </c>
      <c r="B130" s="6" t="n">
        <v>56</v>
      </c>
      <c r="C130" s="6" t="s">
        <v>1647</v>
      </c>
      <c r="D130" s="6" t="s">
        <v>1603</v>
      </c>
      <c r="E130" s="6" t="s">
        <v>2074</v>
      </c>
      <c r="F130" s="6" t="s">
        <v>2075</v>
      </c>
      <c r="G130" s="6" t="s">
        <v>2076</v>
      </c>
      <c r="H130" s="6" t="s">
        <v>1607</v>
      </c>
      <c r="I130" s="6"/>
      <c r="J130" s="6" t="n">
        <v>0.8</v>
      </c>
      <c r="K130" s="6" t="n">
        <v>1</v>
      </c>
      <c r="L130" s="6" t="n">
        <v>0.8</v>
      </c>
    </row>
    <row r="131" customFormat="false" ht="15" hidden="false" customHeight="false" outlineLevel="0" collapsed="false">
      <c r="A131" s="6" t="s">
        <v>2086</v>
      </c>
      <c r="B131" s="6" t="n">
        <v>57</v>
      </c>
      <c r="C131" s="6" t="s">
        <v>1771</v>
      </c>
      <c r="D131" s="6" t="s">
        <v>1603</v>
      </c>
      <c r="E131" s="6" t="s">
        <v>2087</v>
      </c>
      <c r="F131" s="6" t="s">
        <v>2088</v>
      </c>
      <c r="G131" s="6" t="s">
        <v>2089</v>
      </c>
      <c r="H131" s="6" t="s">
        <v>1607</v>
      </c>
      <c r="I131" s="6"/>
      <c r="J131" s="6" t="n">
        <v>0.8</v>
      </c>
      <c r="K131" s="6" t="n">
        <v>1</v>
      </c>
      <c r="L131" s="6" t="n">
        <v>0.8</v>
      </c>
    </row>
    <row r="132" customFormat="false" ht="23.85" hidden="false" customHeight="false" outlineLevel="0" collapsed="false">
      <c r="A132" s="6" t="s">
        <v>2090</v>
      </c>
      <c r="B132" s="6" t="n">
        <v>57</v>
      </c>
      <c r="C132" s="6" t="s">
        <v>2091</v>
      </c>
      <c r="D132" s="6" t="s">
        <v>1603</v>
      </c>
      <c r="E132" s="6" t="s">
        <v>2092</v>
      </c>
      <c r="F132" s="6" t="s">
        <v>2088</v>
      </c>
      <c r="G132" s="6" t="s">
        <v>2093</v>
      </c>
      <c r="H132" s="6" t="s">
        <v>1607</v>
      </c>
      <c r="I132" s="6"/>
      <c r="J132" s="6" t="n">
        <v>0.8</v>
      </c>
      <c r="K132" s="6" t="n">
        <v>1</v>
      </c>
      <c r="L132" s="6" t="n">
        <v>0.8</v>
      </c>
    </row>
    <row r="133" customFormat="false" ht="23.85" hidden="false" customHeight="false" outlineLevel="0" collapsed="false">
      <c r="A133" s="6" t="s">
        <v>2094</v>
      </c>
      <c r="B133" s="6" t="n">
        <v>58</v>
      </c>
      <c r="C133" s="6" t="s">
        <v>2091</v>
      </c>
      <c r="D133" s="6" t="s">
        <v>1603</v>
      </c>
      <c r="E133" s="6" t="s">
        <v>2092</v>
      </c>
      <c r="F133" s="6" t="s">
        <v>2088</v>
      </c>
      <c r="G133" s="6" t="s">
        <v>2093</v>
      </c>
      <c r="H133" s="6" t="s">
        <v>1607</v>
      </c>
      <c r="I133" s="6"/>
      <c r="J133" s="6" t="n">
        <v>0.8</v>
      </c>
      <c r="K133" s="6" t="n">
        <v>1</v>
      </c>
      <c r="L133" s="6" t="n">
        <v>0.8</v>
      </c>
    </row>
    <row r="134" customFormat="false" ht="23.85" hidden="false" customHeight="false" outlineLevel="0" collapsed="false">
      <c r="A134" s="6" t="s">
        <v>2095</v>
      </c>
      <c r="B134" s="6" t="n">
        <v>59</v>
      </c>
      <c r="C134" s="6" t="s">
        <v>2030</v>
      </c>
      <c r="D134" s="6" t="s">
        <v>1603</v>
      </c>
      <c r="E134" s="6" t="s">
        <v>2096</v>
      </c>
      <c r="F134" s="6" t="s">
        <v>2097</v>
      </c>
      <c r="G134" s="6" t="s">
        <v>2098</v>
      </c>
      <c r="H134" s="6" t="s">
        <v>1607</v>
      </c>
      <c r="I134" s="6"/>
      <c r="J134" s="6" t="n">
        <v>0.8</v>
      </c>
      <c r="K134" s="6" t="n">
        <v>1</v>
      </c>
      <c r="L134" s="6" t="n">
        <v>0.8</v>
      </c>
    </row>
    <row r="135" customFormat="false" ht="23.85" hidden="false" customHeight="false" outlineLevel="0" collapsed="false">
      <c r="A135" s="6" t="s">
        <v>2099</v>
      </c>
      <c r="B135" s="6" t="n">
        <v>60</v>
      </c>
      <c r="C135" s="6" t="s">
        <v>1985</v>
      </c>
      <c r="D135" s="6" t="s">
        <v>1986</v>
      </c>
      <c r="E135" s="6" t="s">
        <v>2100</v>
      </c>
      <c r="F135" s="6" t="s">
        <v>2097</v>
      </c>
      <c r="G135" s="6" t="s">
        <v>2101</v>
      </c>
      <c r="H135" s="6" t="s">
        <v>1607</v>
      </c>
      <c r="I135" s="6"/>
      <c r="J135" s="6" t="n">
        <v>0.8</v>
      </c>
      <c r="K135" s="6" t="n">
        <v>1</v>
      </c>
      <c r="L135" s="6" t="n">
        <v>0.8</v>
      </c>
    </row>
    <row r="136" customFormat="false" ht="23.85" hidden="false" customHeight="false" outlineLevel="0" collapsed="false">
      <c r="A136" s="6" t="s">
        <v>2102</v>
      </c>
      <c r="B136" s="6" t="n">
        <v>60</v>
      </c>
      <c r="C136" s="6" t="s">
        <v>2103</v>
      </c>
      <c r="D136" s="6" t="s">
        <v>1603</v>
      </c>
      <c r="E136" s="6" t="s">
        <v>2104</v>
      </c>
      <c r="F136" s="6" t="s">
        <v>2012</v>
      </c>
      <c r="G136" s="6" t="s">
        <v>2105</v>
      </c>
      <c r="H136" s="6" t="s">
        <v>1607</v>
      </c>
      <c r="I136" s="6"/>
      <c r="J136" s="6" t="n">
        <v>0.8</v>
      </c>
      <c r="K136" s="6" t="n">
        <v>1</v>
      </c>
      <c r="L136" s="6" t="n">
        <v>0.8</v>
      </c>
    </row>
    <row r="137" customFormat="false" ht="15" hidden="false" customHeight="false" outlineLevel="0" collapsed="false">
      <c r="A137" s="6" t="s">
        <v>2106</v>
      </c>
      <c r="B137" s="6" t="n">
        <v>61</v>
      </c>
      <c r="C137" s="6" t="s">
        <v>2107</v>
      </c>
      <c r="D137" s="6" t="s">
        <v>1603</v>
      </c>
      <c r="E137" s="6" t="s">
        <v>2011</v>
      </c>
      <c r="F137" s="6" t="s">
        <v>2012</v>
      </c>
      <c r="G137" s="6" t="s">
        <v>2013</v>
      </c>
      <c r="H137" s="6" t="s">
        <v>1607</v>
      </c>
      <c r="I137" s="6"/>
      <c r="J137" s="6" t="n">
        <v>0.8</v>
      </c>
      <c r="K137" s="6" t="n">
        <v>1</v>
      </c>
      <c r="L137" s="6" t="n">
        <v>0.8</v>
      </c>
    </row>
    <row r="138" customFormat="false" ht="15" hidden="false" customHeight="false" outlineLevel="0" collapsed="false">
      <c r="A138" s="6" t="s">
        <v>2108</v>
      </c>
      <c r="B138" s="6" t="n">
        <v>61</v>
      </c>
      <c r="C138" s="6" t="s">
        <v>2109</v>
      </c>
      <c r="D138" s="6" t="s">
        <v>1603</v>
      </c>
      <c r="E138" s="6" t="s">
        <v>2110</v>
      </c>
      <c r="F138" s="6" t="s">
        <v>2012</v>
      </c>
      <c r="G138" s="6" t="s">
        <v>2111</v>
      </c>
      <c r="H138" s="6" t="s">
        <v>1607</v>
      </c>
      <c r="I138" s="6"/>
      <c r="J138" s="6" t="n">
        <v>0.8</v>
      </c>
      <c r="K138" s="6" t="n">
        <v>1</v>
      </c>
      <c r="L138" s="6" t="n">
        <v>0.8</v>
      </c>
    </row>
    <row r="139" customFormat="false" ht="23.85" hidden="false" customHeight="false" outlineLevel="0" collapsed="false">
      <c r="A139" s="6" t="s">
        <v>2112</v>
      </c>
      <c r="B139" s="6" t="n">
        <v>62</v>
      </c>
      <c r="C139" s="6" t="s">
        <v>1647</v>
      </c>
      <c r="D139" s="6" t="s">
        <v>1603</v>
      </c>
      <c r="E139" s="6" t="s">
        <v>2113</v>
      </c>
      <c r="F139" s="6" t="s">
        <v>2114</v>
      </c>
      <c r="G139" s="6" t="s">
        <v>2115</v>
      </c>
      <c r="H139" s="6" t="s">
        <v>1607</v>
      </c>
      <c r="I139" s="6"/>
      <c r="J139" s="6" t="n">
        <v>0.8</v>
      </c>
      <c r="K139" s="6" t="n">
        <v>1</v>
      </c>
      <c r="L139" s="6" t="n">
        <v>0.8</v>
      </c>
    </row>
    <row r="140" customFormat="false" ht="23.85" hidden="false" customHeight="false" outlineLevel="0" collapsed="false">
      <c r="A140" s="6" t="s">
        <v>2116</v>
      </c>
      <c r="B140" s="6" t="n">
        <v>63</v>
      </c>
      <c r="C140" s="6" t="s">
        <v>1647</v>
      </c>
      <c r="D140" s="6" t="s">
        <v>1603</v>
      </c>
      <c r="E140" s="6" t="s">
        <v>2113</v>
      </c>
      <c r="F140" s="6" t="s">
        <v>2114</v>
      </c>
      <c r="G140" s="6" t="s">
        <v>2115</v>
      </c>
      <c r="H140" s="6" t="s">
        <v>1607</v>
      </c>
      <c r="I140" s="6"/>
      <c r="J140" s="6" t="n">
        <v>0.8</v>
      </c>
      <c r="K140" s="6" t="n">
        <v>1</v>
      </c>
      <c r="L140" s="6" t="n">
        <v>0.8</v>
      </c>
    </row>
    <row r="141" customFormat="false" ht="23.85" hidden="false" customHeight="false" outlineLevel="0" collapsed="false">
      <c r="A141" s="6" t="s">
        <v>2117</v>
      </c>
      <c r="B141" s="6" t="n">
        <v>64</v>
      </c>
      <c r="C141" s="6" t="s">
        <v>2118</v>
      </c>
      <c r="D141" s="11" t="s">
        <v>2119</v>
      </c>
      <c r="E141" s="6" t="s">
        <v>2120</v>
      </c>
      <c r="F141" s="6" t="s">
        <v>2121</v>
      </c>
      <c r="G141" s="6" t="s">
        <v>2122</v>
      </c>
      <c r="H141" s="6" t="s">
        <v>1701</v>
      </c>
      <c r="I141" s="6"/>
      <c r="J141" s="6" t="n">
        <v>0.3</v>
      </c>
      <c r="K141" s="6" t="n">
        <v>0.8</v>
      </c>
      <c r="L141" s="6" t="n">
        <v>0.24</v>
      </c>
    </row>
    <row r="142" customFormat="false" ht="35.05" hidden="false" customHeight="false" outlineLevel="0" collapsed="false">
      <c r="A142" s="6" t="s">
        <v>2123</v>
      </c>
      <c r="B142" s="6" t="n">
        <v>65</v>
      </c>
      <c r="C142" s="6" t="s">
        <v>2124</v>
      </c>
      <c r="D142" s="6" t="s">
        <v>1603</v>
      </c>
      <c r="E142" s="6" t="s">
        <v>2125</v>
      </c>
      <c r="F142" s="6" t="s">
        <v>2126</v>
      </c>
      <c r="G142" s="6" t="s">
        <v>2127</v>
      </c>
      <c r="H142" s="6" t="s">
        <v>1607</v>
      </c>
      <c r="I142" s="6"/>
      <c r="J142" s="6" t="n">
        <v>0.8</v>
      </c>
      <c r="K142" s="6" t="n">
        <v>1</v>
      </c>
      <c r="L142" s="6" t="n">
        <v>0.8</v>
      </c>
    </row>
    <row r="143" customFormat="false" ht="23.85" hidden="false" customHeight="false" outlineLevel="0" collapsed="false">
      <c r="A143" s="6" t="s">
        <v>2128</v>
      </c>
      <c r="B143" s="6" t="n">
        <v>65</v>
      </c>
      <c r="C143" s="6" t="s">
        <v>1715</v>
      </c>
      <c r="D143" s="6" t="s">
        <v>1603</v>
      </c>
      <c r="E143" s="6" t="s">
        <v>2129</v>
      </c>
      <c r="F143" s="6" t="s">
        <v>2130</v>
      </c>
      <c r="G143" s="6" t="s">
        <v>2131</v>
      </c>
      <c r="H143" s="6" t="s">
        <v>1607</v>
      </c>
      <c r="I143" s="6"/>
      <c r="J143" s="6" t="n">
        <v>0.8</v>
      </c>
      <c r="K143" s="6" t="n">
        <v>1</v>
      </c>
      <c r="L143" s="6" t="n">
        <v>0.8</v>
      </c>
    </row>
    <row r="144" customFormat="false" ht="23.85" hidden="false" customHeight="false" outlineLevel="0" collapsed="false">
      <c r="A144" s="6" t="s">
        <v>2132</v>
      </c>
      <c r="B144" s="6" t="n">
        <v>65</v>
      </c>
      <c r="C144" s="6" t="s">
        <v>2133</v>
      </c>
      <c r="D144" s="6" t="s">
        <v>1986</v>
      </c>
      <c r="E144" s="6" t="s">
        <v>2134</v>
      </c>
      <c r="F144" s="6" t="s">
        <v>1717</v>
      </c>
      <c r="G144" s="6" t="s">
        <v>2135</v>
      </c>
      <c r="H144" s="6" t="s">
        <v>1607</v>
      </c>
      <c r="I144" s="6"/>
      <c r="J144" s="6" t="n">
        <v>0.8</v>
      </c>
      <c r="K144" s="6" t="n">
        <v>1</v>
      </c>
      <c r="L144" s="6" t="n">
        <v>0.8</v>
      </c>
    </row>
    <row r="145" customFormat="false" ht="15" hidden="false" customHeight="false" outlineLevel="0" collapsed="false">
      <c r="A145" s="6" t="s">
        <v>2136</v>
      </c>
      <c r="B145" s="6" t="n">
        <v>66</v>
      </c>
      <c r="C145" s="6" t="s">
        <v>2107</v>
      </c>
      <c r="D145" s="6" t="s">
        <v>1603</v>
      </c>
      <c r="E145" s="6" t="s">
        <v>2137</v>
      </c>
      <c r="F145" s="6" t="s">
        <v>2138</v>
      </c>
      <c r="G145" s="6" t="s">
        <v>2139</v>
      </c>
      <c r="H145" s="6" t="s">
        <v>1607</v>
      </c>
      <c r="I145" s="6"/>
      <c r="J145" s="6" t="n">
        <v>0.8</v>
      </c>
      <c r="K145" s="6" t="n">
        <v>1</v>
      </c>
      <c r="L145" s="6" t="n">
        <v>0.8</v>
      </c>
    </row>
    <row r="146" customFormat="false" ht="15" hidden="false" customHeight="false" outlineLevel="0" collapsed="false">
      <c r="A146" s="6" t="s">
        <v>2140</v>
      </c>
      <c r="B146" s="6" t="n">
        <v>66</v>
      </c>
      <c r="C146" s="6" t="s">
        <v>2141</v>
      </c>
      <c r="D146" s="6" t="s">
        <v>1603</v>
      </c>
      <c r="E146" s="6" t="s">
        <v>2142</v>
      </c>
      <c r="F146" s="6" t="s">
        <v>2138</v>
      </c>
      <c r="G146" s="6" t="s">
        <v>2143</v>
      </c>
      <c r="H146" s="6" t="s">
        <v>1607</v>
      </c>
      <c r="I146" s="6"/>
      <c r="J146" s="6" t="n">
        <v>0.8</v>
      </c>
      <c r="K146" s="6" t="n">
        <v>1</v>
      </c>
      <c r="L146" s="6" t="n">
        <v>0.8</v>
      </c>
    </row>
    <row r="147" customFormat="false" ht="23.85" hidden="false" customHeight="false" outlineLevel="0" collapsed="false">
      <c r="A147" s="6" t="s">
        <v>2144</v>
      </c>
      <c r="B147" s="6" t="n">
        <v>66</v>
      </c>
      <c r="C147" s="6" t="s">
        <v>1703</v>
      </c>
      <c r="D147" s="6" t="s">
        <v>1603</v>
      </c>
      <c r="E147" s="6" t="s">
        <v>2145</v>
      </c>
      <c r="F147" s="6" t="s">
        <v>2130</v>
      </c>
      <c r="G147" s="6" t="s">
        <v>2146</v>
      </c>
      <c r="H147" s="6" t="s">
        <v>1607</v>
      </c>
      <c r="I147" s="6"/>
      <c r="J147" s="6" t="n">
        <v>0.8</v>
      </c>
      <c r="K147" s="6" t="n">
        <v>1</v>
      </c>
      <c r="L147" s="6" t="n">
        <v>0.8</v>
      </c>
    </row>
    <row r="148" customFormat="false" ht="23.85" hidden="false" customHeight="false" outlineLevel="0" collapsed="false">
      <c r="A148" s="6" t="s">
        <v>2147</v>
      </c>
      <c r="B148" s="6" t="n">
        <v>68</v>
      </c>
      <c r="C148" s="6" t="s">
        <v>2148</v>
      </c>
      <c r="D148" s="6" t="s">
        <v>1603</v>
      </c>
      <c r="E148" s="6" t="s">
        <v>2149</v>
      </c>
      <c r="F148" s="6" t="s">
        <v>2150</v>
      </c>
      <c r="G148" s="6" t="s">
        <v>2151</v>
      </c>
      <c r="H148" s="6" t="s">
        <v>1607</v>
      </c>
      <c r="I148" s="6"/>
      <c r="J148" s="6" t="n">
        <v>0.8</v>
      </c>
      <c r="K148" s="6" t="n">
        <v>1</v>
      </c>
      <c r="L148" s="6" t="n">
        <v>0.8</v>
      </c>
    </row>
    <row r="149" customFormat="false" ht="15" hidden="false" customHeight="false" outlineLevel="0" collapsed="false">
      <c r="A149" s="6" t="s">
        <v>2152</v>
      </c>
      <c r="B149" s="6" t="n">
        <v>69</v>
      </c>
      <c r="C149" s="6" t="s">
        <v>1771</v>
      </c>
      <c r="D149" s="6" t="s">
        <v>1603</v>
      </c>
      <c r="E149" s="6" t="s">
        <v>2153</v>
      </c>
      <c r="F149" s="6" t="s">
        <v>2154</v>
      </c>
      <c r="G149" s="6" t="s">
        <v>2155</v>
      </c>
      <c r="H149" s="6" t="s">
        <v>1607</v>
      </c>
      <c r="I149" s="6"/>
      <c r="J149" s="6" t="n">
        <v>0.8</v>
      </c>
      <c r="K149" s="6" t="n">
        <v>1</v>
      </c>
      <c r="L149" s="6" t="n">
        <v>0.8</v>
      </c>
    </row>
    <row r="150" customFormat="false" ht="23.85" hidden="false" customHeight="false" outlineLevel="0" collapsed="false">
      <c r="A150" s="6" t="s">
        <v>2156</v>
      </c>
      <c r="B150" s="6" t="n">
        <v>70</v>
      </c>
      <c r="C150" s="6" t="s">
        <v>2157</v>
      </c>
      <c r="D150" s="6" t="s">
        <v>1603</v>
      </c>
      <c r="E150" s="6" t="s">
        <v>2158</v>
      </c>
      <c r="F150" s="6" t="s">
        <v>2159</v>
      </c>
      <c r="G150" s="6" t="s">
        <v>2160</v>
      </c>
      <c r="H150" s="6" t="s">
        <v>1607</v>
      </c>
      <c r="I150" s="6"/>
      <c r="J150" s="6" t="n">
        <v>0.8</v>
      </c>
      <c r="K150" s="6" t="n">
        <v>1</v>
      </c>
      <c r="L150" s="6" t="n">
        <v>0.8</v>
      </c>
    </row>
    <row r="151" customFormat="false" ht="23.85" hidden="false" customHeight="false" outlineLevel="0" collapsed="false">
      <c r="A151" s="6" t="s">
        <v>2161</v>
      </c>
      <c r="B151" s="6" t="n">
        <v>71</v>
      </c>
      <c r="C151" s="6" t="s">
        <v>1647</v>
      </c>
      <c r="D151" s="6" t="s">
        <v>1603</v>
      </c>
      <c r="E151" s="6" t="s">
        <v>2162</v>
      </c>
      <c r="F151" s="6" t="s">
        <v>2159</v>
      </c>
      <c r="G151" s="6" t="s">
        <v>2163</v>
      </c>
      <c r="H151" s="6" t="s">
        <v>1607</v>
      </c>
      <c r="I151" s="6"/>
      <c r="J151" s="6" t="n">
        <v>0.8</v>
      </c>
      <c r="K151" s="6" t="n">
        <v>1</v>
      </c>
      <c r="L151" s="6" t="n">
        <v>0.8</v>
      </c>
    </row>
    <row r="152" customFormat="false" ht="23.85" hidden="false" customHeight="false" outlineLevel="0" collapsed="false">
      <c r="A152" s="6" t="s">
        <v>2164</v>
      </c>
      <c r="B152" s="6" t="n">
        <v>71</v>
      </c>
      <c r="C152" s="6" t="s">
        <v>1981</v>
      </c>
      <c r="D152" s="6" t="s">
        <v>1603</v>
      </c>
      <c r="E152" s="6" t="s">
        <v>2165</v>
      </c>
      <c r="F152" s="6"/>
      <c r="G152" s="6" t="s">
        <v>2166</v>
      </c>
      <c r="H152" s="6" t="s">
        <v>1607</v>
      </c>
      <c r="I152" s="6"/>
      <c r="J152" s="6" t="n">
        <v>0.8</v>
      </c>
      <c r="K152" s="6" t="n">
        <v>1</v>
      </c>
      <c r="L152" s="6" t="n">
        <v>0.8</v>
      </c>
    </row>
    <row r="153" customFormat="false" ht="23.85" hidden="false" customHeight="false" outlineLevel="0" collapsed="false">
      <c r="A153" s="6" t="s">
        <v>2167</v>
      </c>
      <c r="B153" s="6" t="n">
        <v>72</v>
      </c>
      <c r="C153" s="6" t="s">
        <v>2168</v>
      </c>
      <c r="D153" s="6" t="s">
        <v>1603</v>
      </c>
      <c r="E153" s="6" t="s">
        <v>2169</v>
      </c>
      <c r="F153" s="6" t="s">
        <v>2170</v>
      </c>
      <c r="G153" s="6" t="s">
        <v>2171</v>
      </c>
      <c r="H153" s="6" t="s">
        <v>1607</v>
      </c>
      <c r="I153" s="6"/>
      <c r="J153" s="6" t="n">
        <v>0.8</v>
      </c>
      <c r="K153" s="6" t="n">
        <v>1</v>
      </c>
      <c r="L153" s="6" t="n">
        <v>0.8</v>
      </c>
    </row>
    <row r="154" customFormat="false" ht="23.85" hidden="false" customHeight="false" outlineLevel="0" collapsed="false">
      <c r="A154" s="6" t="s">
        <v>2172</v>
      </c>
      <c r="B154" s="6" t="n">
        <v>72</v>
      </c>
      <c r="C154" s="6" t="s">
        <v>2173</v>
      </c>
      <c r="D154" s="6" t="s">
        <v>1603</v>
      </c>
      <c r="E154" s="6" t="s">
        <v>2174</v>
      </c>
      <c r="F154" s="6" t="s">
        <v>2175</v>
      </c>
      <c r="G154" s="6" t="s">
        <v>2176</v>
      </c>
      <c r="H154" s="6" t="s">
        <v>1607</v>
      </c>
      <c r="I154" s="6"/>
      <c r="J154" s="6" t="n">
        <v>0.8</v>
      </c>
      <c r="K154" s="6" t="n">
        <v>1</v>
      </c>
      <c r="L154" s="6" t="n">
        <v>0.8</v>
      </c>
    </row>
    <row r="155" customFormat="false" ht="23.85" hidden="false" customHeight="false" outlineLevel="0" collapsed="false">
      <c r="A155" s="6" t="s">
        <v>2177</v>
      </c>
      <c r="B155" s="6" t="n">
        <v>72</v>
      </c>
      <c r="C155" s="6" t="s">
        <v>1981</v>
      </c>
      <c r="D155" s="6" t="s">
        <v>1603</v>
      </c>
      <c r="E155" s="6" t="s">
        <v>2165</v>
      </c>
      <c r="F155" s="6"/>
      <c r="G155" s="6" t="s">
        <v>2166</v>
      </c>
      <c r="H155" s="6" t="s">
        <v>1607</v>
      </c>
      <c r="I155" s="6"/>
      <c r="J155" s="6" t="n">
        <v>0.8</v>
      </c>
      <c r="K155" s="6" t="n">
        <v>1</v>
      </c>
      <c r="L155" s="6" t="n">
        <v>0.8</v>
      </c>
    </row>
    <row r="156" customFormat="false" ht="23.85" hidden="false" customHeight="false" outlineLevel="0" collapsed="false">
      <c r="A156" s="6" t="s">
        <v>2178</v>
      </c>
      <c r="B156" s="6" t="n">
        <v>73</v>
      </c>
      <c r="C156" s="6" t="s">
        <v>1647</v>
      </c>
      <c r="D156" s="6" t="s">
        <v>1603</v>
      </c>
      <c r="E156" s="6" t="s">
        <v>2179</v>
      </c>
      <c r="F156" s="6" t="s">
        <v>2170</v>
      </c>
      <c r="G156" s="6" t="s">
        <v>2180</v>
      </c>
      <c r="H156" s="6" t="s">
        <v>1607</v>
      </c>
      <c r="I156" s="6"/>
      <c r="J156" s="6" t="n">
        <v>0.8</v>
      </c>
      <c r="K156" s="6" t="n">
        <v>1</v>
      </c>
      <c r="L156" s="6" t="n">
        <v>0.8</v>
      </c>
    </row>
    <row r="157" customFormat="false" ht="23.85" hidden="false" customHeight="false" outlineLevel="0" collapsed="false">
      <c r="A157" s="6" t="s">
        <v>2181</v>
      </c>
      <c r="B157" s="6" t="n">
        <v>73</v>
      </c>
      <c r="C157" s="6" t="s">
        <v>2182</v>
      </c>
      <c r="D157" s="6" t="s">
        <v>1986</v>
      </c>
      <c r="E157" s="6" t="s">
        <v>2183</v>
      </c>
      <c r="F157" s="6" t="s">
        <v>2170</v>
      </c>
      <c r="G157" s="6" t="s">
        <v>2184</v>
      </c>
      <c r="H157" s="6" t="s">
        <v>1607</v>
      </c>
      <c r="I157" s="6"/>
      <c r="J157" s="6" t="n">
        <v>0.8</v>
      </c>
      <c r="K157" s="6" t="n">
        <v>1</v>
      </c>
      <c r="L157" s="6" t="n">
        <v>0.8</v>
      </c>
    </row>
    <row r="158" customFormat="false" ht="23.85" hidden="false" customHeight="false" outlineLevel="0" collapsed="false">
      <c r="A158" s="6" t="s">
        <v>2185</v>
      </c>
      <c r="B158" s="6" t="n">
        <v>73</v>
      </c>
      <c r="C158" s="6" t="s">
        <v>1981</v>
      </c>
      <c r="D158" s="6" t="s">
        <v>1603</v>
      </c>
      <c r="E158" s="6" t="s">
        <v>2186</v>
      </c>
      <c r="F158" s="6" t="s">
        <v>2175</v>
      </c>
      <c r="G158" s="6" t="s">
        <v>2187</v>
      </c>
      <c r="H158" s="6" t="s">
        <v>1607</v>
      </c>
      <c r="I158" s="6"/>
      <c r="J158" s="6" t="n">
        <v>0.8</v>
      </c>
      <c r="K158" s="6" t="n">
        <v>1</v>
      </c>
      <c r="L158" s="6" t="n">
        <v>0.8</v>
      </c>
    </row>
    <row r="159" customFormat="false" ht="23.85" hidden="false" customHeight="false" outlineLevel="0" collapsed="false">
      <c r="A159" s="6" t="s">
        <v>2188</v>
      </c>
      <c r="B159" s="6" t="n">
        <v>74</v>
      </c>
      <c r="C159" s="6" t="s">
        <v>2173</v>
      </c>
      <c r="D159" s="6" t="s">
        <v>1603</v>
      </c>
      <c r="E159" s="6" t="s">
        <v>2189</v>
      </c>
      <c r="F159" s="6" t="s">
        <v>2175</v>
      </c>
      <c r="G159" s="6" t="s">
        <v>2190</v>
      </c>
      <c r="H159" s="6" t="s">
        <v>1607</v>
      </c>
      <c r="I159" s="6"/>
      <c r="J159" s="6" t="n">
        <v>0.8</v>
      </c>
      <c r="K159" s="6" t="n">
        <v>1</v>
      </c>
      <c r="L159" s="6" t="n">
        <v>0.8</v>
      </c>
    </row>
    <row r="160" customFormat="false" ht="23.85" hidden="false" customHeight="false" outlineLevel="0" collapsed="false">
      <c r="A160" s="6" t="s">
        <v>2191</v>
      </c>
      <c r="B160" s="6" t="n">
        <v>74</v>
      </c>
      <c r="C160" s="6" t="s">
        <v>1647</v>
      </c>
      <c r="D160" s="6" t="s">
        <v>1603</v>
      </c>
      <c r="E160" s="6" t="s">
        <v>2192</v>
      </c>
      <c r="F160" s="6" t="s">
        <v>2175</v>
      </c>
      <c r="G160" s="6" t="s">
        <v>2193</v>
      </c>
      <c r="H160" s="6" t="s">
        <v>1607</v>
      </c>
      <c r="I160" s="6"/>
      <c r="J160" s="6" t="n">
        <v>0.8</v>
      </c>
      <c r="K160" s="6" t="n">
        <v>1</v>
      </c>
      <c r="L160" s="6" t="n">
        <v>0.8</v>
      </c>
    </row>
    <row r="161" customFormat="false" ht="23.85" hidden="false" customHeight="false" outlineLevel="0" collapsed="false">
      <c r="A161" s="6" t="s">
        <v>2194</v>
      </c>
      <c r="B161" s="6" t="n">
        <v>74</v>
      </c>
      <c r="C161" s="6" t="s">
        <v>1981</v>
      </c>
      <c r="D161" s="6" t="s">
        <v>1603</v>
      </c>
      <c r="E161" s="6" t="s">
        <v>2186</v>
      </c>
      <c r="F161" s="6" t="s">
        <v>2175</v>
      </c>
      <c r="G161" s="6" t="s">
        <v>2187</v>
      </c>
      <c r="H161" s="6" t="s">
        <v>1607</v>
      </c>
      <c r="I161" s="6"/>
      <c r="J161" s="6" t="n">
        <v>0.8</v>
      </c>
      <c r="K161" s="6" t="n">
        <v>1</v>
      </c>
      <c r="L161" s="6" t="n">
        <v>0.8</v>
      </c>
    </row>
    <row r="162" customFormat="false" ht="23.85" hidden="false" customHeight="false" outlineLevel="0" collapsed="false">
      <c r="A162" s="6" t="s">
        <v>2195</v>
      </c>
      <c r="B162" s="6" t="n">
        <v>75</v>
      </c>
      <c r="C162" s="6" t="s">
        <v>1647</v>
      </c>
      <c r="D162" s="6" t="s">
        <v>1603</v>
      </c>
      <c r="E162" s="6" t="s">
        <v>2179</v>
      </c>
      <c r="F162" s="6" t="s">
        <v>2170</v>
      </c>
      <c r="G162" s="6" t="s">
        <v>2180</v>
      </c>
      <c r="H162" s="6" t="s">
        <v>1607</v>
      </c>
      <c r="I162" s="6"/>
      <c r="J162" s="6" t="n">
        <v>0.8</v>
      </c>
      <c r="K162" s="6" t="n">
        <v>1</v>
      </c>
      <c r="L162" s="6" t="n">
        <v>0.8</v>
      </c>
    </row>
    <row r="163" customFormat="false" ht="23.85" hidden="false" customHeight="false" outlineLevel="0" collapsed="false">
      <c r="A163" s="6" t="s">
        <v>2196</v>
      </c>
      <c r="B163" s="6" t="n">
        <v>75</v>
      </c>
      <c r="C163" s="6" t="s">
        <v>1647</v>
      </c>
      <c r="D163" s="6" t="s">
        <v>1603</v>
      </c>
      <c r="E163" s="6" t="s">
        <v>2179</v>
      </c>
      <c r="F163" s="6" t="s">
        <v>2170</v>
      </c>
      <c r="G163" s="6" t="s">
        <v>2180</v>
      </c>
      <c r="H163" s="6" t="s">
        <v>1607</v>
      </c>
      <c r="I163" s="6" t="n">
        <v>76</v>
      </c>
      <c r="J163" s="6" t="n">
        <v>0.8</v>
      </c>
      <c r="K163" s="6" t="n">
        <v>1</v>
      </c>
      <c r="L163" s="6" t="n">
        <v>0.8</v>
      </c>
    </row>
    <row r="164" customFormat="false" ht="23.85" hidden="false" customHeight="false" outlineLevel="0" collapsed="false">
      <c r="A164" s="6" t="s">
        <v>2197</v>
      </c>
      <c r="B164" s="6" t="n">
        <v>75</v>
      </c>
      <c r="C164" s="6" t="s">
        <v>1647</v>
      </c>
      <c r="D164" s="6" t="s">
        <v>1603</v>
      </c>
      <c r="E164" s="6" t="s">
        <v>2198</v>
      </c>
      <c r="F164" s="6" t="s">
        <v>2175</v>
      </c>
      <c r="G164" s="6" t="s">
        <v>2199</v>
      </c>
      <c r="H164" s="6" t="s">
        <v>1607</v>
      </c>
      <c r="I164" s="6"/>
      <c r="J164" s="6" t="n">
        <v>0.8</v>
      </c>
      <c r="K164" s="6" t="n">
        <v>1</v>
      </c>
      <c r="L164" s="6" t="n">
        <v>0.8</v>
      </c>
    </row>
    <row r="165" customFormat="false" ht="23.85" hidden="false" customHeight="false" outlineLevel="0" collapsed="false">
      <c r="A165" s="6" t="s">
        <v>2200</v>
      </c>
      <c r="B165" s="6" t="n">
        <v>75</v>
      </c>
      <c r="C165" s="6" t="s">
        <v>2201</v>
      </c>
      <c r="D165" s="6" t="s">
        <v>1603</v>
      </c>
      <c r="E165" s="6" t="s">
        <v>2202</v>
      </c>
      <c r="F165" s="6" t="s">
        <v>2175</v>
      </c>
      <c r="G165" s="6" t="s">
        <v>2203</v>
      </c>
      <c r="H165" s="6" t="s">
        <v>1607</v>
      </c>
      <c r="I165" s="6"/>
      <c r="J165" s="6" t="n">
        <v>0.8</v>
      </c>
      <c r="K165" s="6" t="n">
        <v>1</v>
      </c>
      <c r="L165" s="6" t="n">
        <v>0.8</v>
      </c>
    </row>
    <row r="166" customFormat="false" ht="23.85" hidden="false" customHeight="false" outlineLevel="0" collapsed="false">
      <c r="A166" s="6" t="s">
        <v>2204</v>
      </c>
      <c r="B166" s="6" t="n">
        <v>75</v>
      </c>
      <c r="C166" s="6" t="s">
        <v>1647</v>
      </c>
      <c r="D166" s="6" t="s">
        <v>1603</v>
      </c>
      <c r="E166" s="6" t="s">
        <v>2198</v>
      </c>
      <c r="F166" s="6" t="s">
        <v>2175</v>
      </c>
      <c r="G166" s="6" t="s">
        <v>2199</v>
      </c>
      <c r="H166" s="6" t="s">
        <v>1607</v>
      </c>
      <c r="I166" s="6" t="n">
        <v>76</v>
      </c>
      <c r="J166" s="6" t="n">
        <v>0.8</v>
      </c>
      <c r="K166" s="6" t="n">
        <v>1</v>
      </c>
      <c r="L166" s="6" t="n">
        <v>0.8</v>
      </c>
    </row>
    <row r="167" customFormat="false" ht="23.85" hidden="false" customHeight="false" outlineLevel="0" collapsed="false">
      <c r="A167" s="6" t="s">
        <v>2205</v>
      </c>
      <c r="B167" s="6" t="n">
        <v>75</v>
      </c>
      <c r="C167" s="6" t="s">
        <v>2201</v>
      </c>
      <c r="D167" s="6" t="s">
        <v>1603</v>
      </c>
      <c r="E167" s="6" t="s">
        <v>2202</v>
      </c>
      <c r="F167" s="6" t="s">
        <v>2175</v>
      </c>
      <c r="G167" s="6" t="s">
        <v>2203</v>
      </c>
      <c r="H167" s="6" t="s">
        <v>1607</v>
      </c>
      <c r="I167" s="6" t="n">
        <v>76</v>
      </c>
      <c r="J167" s="6" t="n">
        <v>0.8</v>
      </c>
      <c r="K167" s="6" t="n">
        <v>1</v>
      </c>
      <c r="L167" s="6" t="n">
        <v>0.8</v>
      </c>
    </row>
    <row r="168" customFormat="false" ht="23.85" hidden="false" customHeight="false" outlineLevel="0" collapsed="false">
      <c r="A168" s="6" t="s">
        <v>2206</v>
      </c>
      <c r="B168" s="6" t="n">
        <v>77</v>
      </c>
      <c r="C168" s="6" t="s">
        <v>1985</v>
      </c>
      <c r="D168" s="6" t="s">
        <v>1986</v>
      </c>
      <c r="E168" s="6" t="s">
        <v>2207</v>
      </c>
      <c r="F168" s="6" t="s">
        <v>2208</v>
      </c>
      <c r="G168" s="6" t="s">
        <v>2209</v>
      </c>
      <c r="H168" s="6" t="s">
        <v>1607</v>
      </c>
      <c r="I168" s="6"/>
      <c r="J168" s="6" t="n">
        <v>0.8</v>
      </c>
      <c r="K168" s="6" t="n">
        <v>1</v>
      </c>
      <c r="L168" s="6" t="n">
        <v>0.8</v>
      </c>
    </row>
    <row r="169" customFormat="false" ht="23.85" hidden="false" customHeight="false" outlineLevel="0" collapsed="false">
      <c r="A169" s="6" t="s">
        <v>2210</v>
      </c>
      <c r="B169" s="6" t="n">
        <v>78</v>
      </c>
      <c r="C169" s="6" t="s">
        <v>2182</v>
      </c>
      <c r="D169" s="6" t="s">
        <v>1986</v>
      </c>
      <c r="E169" s="6" t="s">
        <v>2211</v>
      </c>
      <c r="F169" s="6" t="s">
        <v>2212</v>
      </c>
      <c r="G169" s="6" t="s">
        <v>2213</v>
      </c>
      <c r="H169" s="6" t="s">
        <v>1607</v>
      </c>
      <c r="I169" s="6"/>
      <c r="J169" s="6" t="n">
        <v>0.8</v>
      </c>
      <c r="K169" s="6" t="n">
        <v>1</v>
      </c>
      <c r="L169" s="6" t="n">
        <v>0.8</v>
      </c>
    </row>
    <row r="170" customFormat="false" ht="23.85" hidden="false" customHeight="false" outlineLevel="0" collapsed="false">
      <c r="A170" s="6" t="s">
        <v>2214</v>
      </c>
      <c r="B170" s="6" t="n">
        <v>78</v>
      </c>
      <c r="C170" s="6" t="s">
        <v>1647</v>
      </c>
      <c r="D170" s="6" t="s">
        <v>1603</v>
      </c>
      <c r="E170" s="6" t="s">
        <v>2215</v>
      </c>
      <c r="F170" s="6" t="s">
        <v>2216</v>
      </c>
      <c r="G170" s="6" t="s">
        <v>2217</v>
      </c>
      <c r="H170" s="6" t="s">
        <v>1607</v>
      </c>
      <c r="I170" s="6"/>
      <c r="J170" s="6" t="n">
        <v>0.8</v>
      </c>
      <c r="K170" s="6" t="n">
        <v>1</v>
      </c>
      <c r="L170" s="6" t="n">
        <v>0.8</v>
      </c>
    </row>
    <row r="171" customFormat="false" ht="23.85" hidden="false" customHeight="false" outlineLevel="0" collapsed="false">
      <c r="A171" s="6" t="s">
        <v>2218</v>
      </c>
      <c r="B171" s="6" t="n">
        <v>78</v>
      </c>
      <c r="C171" s="6" t="s">
        <v>2219</v>
      </c>
      <c r="D171" s="6" t="s">
        <v>1603</v>
      </c>
      <c r="E171" s="6" t="s">
        <v>2220</v>
      </c>
      <c r="F171" s="6" t="s">
        <v>2216</v>
      </c>
      <c r="G171" s="6" t="s">
        <v>2221</v>
      </c>
      <c r="H171" s="6" t="s">
        <v>1701</v>
      </c>
      <c r="I171" s="6"/>
      <c r="J171" s="6" t="n">
        <v>0.8</v>
      </c>
      <c r="K171" s="6" t="n">
        <v>0.8</v>
      </c>
      <c r="L171" s="6" t="n">
        <v>0.64</v>
      </c>
    </row>
    <row r="172" customFormat="false" ht="23.85" hidden="false" customHeight="false" outlineLevel="0" collapsed="false">
      <c r="A172" s="6" t="s">
        <v>2222</v>
      </c>
      <c r="B172" s="6" t="n">
        <v>79</v>
      </c>
      <c r="C172" s="6" t="s">
        <v>2182</v>
      </c>
      <c r="D172" s="6" t="s">
        <v>1986</v>
      </c>
      <c r="E172" s="6" t="s">
        <v>2211</v>
      </c>
      <c r="F172" s="6" t="s">
        <v>2212</v>
      </c>
      <c r="G172" s="6" t="s">
        <v>2213</v>
      </c>
      <c r="H172" s="6" t="s">
        <v>1607</v>
      </c>
      <c r="I172" s="6"/>
      <c r="J172" s="6" t="n">
        <v>0.8</v>
      </c>
      <c r="K172" s="6" t="n">
        <v>1</v>
      </c>
      <c r="L172" s="6" t="n">
        <v>0.8</v>
      </c>
    </row>
    <row r="173" customFormat="false" ht="23.85" hidden="false" customHeight="false" outlineLevel="0" collapsed="false">
      <c r="A173" s="6" t="s">
        <v>2223</v>
      </c>
      <c r="B173" s="6" t="n">
        <v>79</v>
      </c>
      <c r="C173" s="6" t="s">
        <v>1647</v>
      </c>
      <c r="D173" s="6" t="s">
        <v>1603</v>
      </c>
      <c r="E173" s="6" t="s">
        <v>2215</v>
      </c>
      <c r="F173" s="6" t="s">
        <v>2216</v>
      </c>
      <c r="G173" s="6" t="s">
        <v>2217</v>
      </c>
      <c r="H173" s="6" t="s">
        <v>1607</v>
      </c>
      <c r="I173" s="6"/>
      <c r="J173" s="6" t="n">
        <v>0.8</v>
      </c>
      <c r="K173" s="6" t="n">
        <v>1</v>
      </c>
      <c r="L173" s="6" t="n">
        <v>0.8</v>
      </c>
    </row>
    <row r="174" customFormat="false" ht="23.85" hidden="false" customHeight="false" outlineLevel="0" collapsed="false">
      <c r="A174" s="6" t="s">
        <v>2224</v>
      </c>
      <c r="B174" s="6" t="n">
        <v>79</v>
      </c>
      <c r="C174" s="6" t="s">
        <v>2225</v>
      </c>
      <c r="D174" s="6" t="s">
        <v>1603</v>
      </c>
      <c r="E174" s="6" t="s">
        <v>2226</v>
      </c>
      <c r="F174" s="6" t="s">
        <v>2216</v>
      </c>
      <c r="G174" s="6" t="s">
        <v>2227</v>
      </c>
      <c r="H174" s="6" t="s">
        <v>1607</v>
      </c>
      <c r="I174" s="6"/>
      <c r="J174" s="6" t="n">
        <v>0.8</v>
      </c>
      <c r="K174" s="6" t="n">
        <v>1</v>
      </c>
      <c r="L174" s="6" t="n">
        <v>0.8</v>
      </c>
    </row>
    <row r="175" customFormat="false" ht="23.85" hidden="false" customHeight="false" outlineLevel="0" collapsed="false">
      <c r="A175" s="6" t="s">
        <v>2228</v>
      </c>
      <c r="B175" s="6" t="n">
        <v>79</v>
      </c>
      <c r="C175" s="6" t="s">
        <v>2219</v>
      </c>
      <c r="D175" s="6" t="s">
        <v>1603</v>
      </c>
      <c r="E175" s="6" t="s">
        <v>2220</v>
      </c>
      <c r="F175" s="6" t="s">
        <v>2216</v>
      </c>
      <c r="G175" s="6" t="s">
        <v>2221</v>
      </c>
      <c r="H175" s="6" t="s">
        <v>1701</v>
      </c>
      <c r="I175" s="6"/>
      <c r="J175" s="6" t="n">
        <v>0.8</v>
      </c>
      <c r="K175" s="6" t="n">
        <v>0.8</v>
      </c>
      <c r="L175" s="6" t="n">
        <v>0.64</v>
      </c>
    </row>
    <row r="176" customFormat="false" ht="23.85" hidden="false" customHeight="false" outlineLevel="0" collapsed="false">
      <c r="A176" s="6" t="s">
        <v>2229</v>
      </c>
      <c r="B176" s="6" t="n">
        <v>80</v>
      </c>
      <c r="C176" s="6" t="s">
        <v>1647</v>
      </c>
      <c r="D176" s="6" t="s">
        <v>1603</v>
      </c>
      <c r="E176" s="6" t="s">
        <v>2215</v>
      </c>
      <c r="F176" s="6" t="s">
        <v>2216</v>
      </c>
      <c r="G176" s="6" t="s">
        <v>2217</v>
      </c>
      <c r="H176" s="6" t="s">
        <v>1607</v>
      </c>
      <c r="I176" s="6"/>
      <c r="J176" s="6" t="n">
        <v>0.8</v>
      </c>
      <c r="K176" s="6" t="n">
        <v>1</v>
      </c>
      <c r="L176" s="6" t="n">
        <v>0.8</v>
      </c>
    </row>
    <row r="177" customFormat="false" ht="23.85" hidden="false" customHeight="false" outlineLevel="0" collapsed="false">
      <c r="A177" s="6" t="s">
        <v>2230</v>
      </c>
      <c r="B177" s="6" t="n">
        <v>80</v>
      </c>
      <c r="C177" s="6" t="s">
        <v>2225</v>
      </c>
      <c r="D177" s="6" t="s">
        <v>1603</v>
      </c>
      <c r="E177" s="6" t="s">
        <v>2226</v>
      </c>
      <c r="F177" s="6" t="s">
        <v>2216</v>
      </c>
      <c r="G177" s="6" t="s">
        <v>2227</v>
      </c>
      <c r="H177" s="6" t="s">
        <v>1607</v>
      </c>
      <c r="I177" s="6"/>
      <c r="J177" s="6" t="n">
        <v>0.8</v>
      </c>
      <c r="K177" s="6" t="n">
        <v>1</v>
      </c>
      <c r="L177" s="6" t="n">
        <v>0.8</v>
      </c>
    </row>
    <row r="178" customFormat="false" ht="23.85" hidden="false" customHeight="false" outlineLevel="0" collapsed="false">
      <c r="A178" s="6" t="s">
        <v>2231</v>
      </c>
      <c r="B178" s="6" t="n">
        <v>80</v>
      </c>
      <c r="C178" s="6" t="s">
        <v>1981</v>
      </c>
      <c r="D178" s="6" t="s">
        <v>1603</v>
      </c>
      <c r="E178" s="6" t="s">
        <v>2232</v>
      </c>
      <c r="F178" s="6" t="s">
        <v>2233</v>
      </c>
      <c r="G178" s="6" t="s">
        <v>2234</v>
      </c>
      <c r="H178" s="6" t="s">
        <v>1607</v>
      </c>
      <c r="I178" s="6"/>
      <c r="J178" s="6" t="n">
        <v>0.8</v>
      </c>
      <c r="K178" s="6" t="n">
        <v>1</v>
      </c>
      <c r="L178" s="6" t="n">
        <v>0.8</v>
      </c>
    </row>
    <row r="179" customFormat="false" ht="23.85" hidden="false" customHeight="false" outlineLevel="0" collapsed="false">
      <c r="A179" s="6" t="s">
        <v>2235</v>
      </c>
      <c r="B179" s="6" t="n">
        <v>80</v>
      </c>
      <c r="C179" s="6" t="s">
        <v>2236</v>
      </c>
      <c r="D179" s="6" t="s">
        <v>1603</v>
      </c>
      <c r="E179" s="6" t="s">
        <v>2237</v>
      </c>
      <c r="F179" s="6" t="s">
        <v>2233</v>
      </c>
      <c r="G179" s="6" t="s">
        <v>2238</v>
      </c>
      <c r="H179" s="6" t="s">
        <v>1607</v>
      </c>
      <c r="I179" s="6"/>
      <c r="J179" s="6" t="n">
        <v>0.8</v>
      </c>
      <c r="K179" s="6" t="n">
        <v>1</v>
      </c>
      <c r="L179" s="6" t="n">
        <v>0.8</v>
      </c>
    </row>
    <row r="180" customFormat="false" ht="23.85" hidden="false" customHeight="false" outlineLevel="0" collapsed="false">
      <c r="A180" s="6" t="s">
        <v>2239</v>
      </c>
      <c r="B180" s="6" t="n">
        <v>80</v>
      </c>
      <c r="C180" s="6" t="s">
        <v>2240</v>
      </c>
      <c r="D180" s="6" t="s">
        <v>1603</v>
      </c>
      <c r="E180" s="6" t="s">
        <v>2241</v>
      </c>
      <c r="F180" s="6" t="s">
        <v>2242</v>
      </c>
      <c r="G180" s="6" t="s">
        <v>2243</v>
      </c>
      <c r="H180" s="6" t="s">
        <v>1607</v>
      </c>
      <c r="I180" s="6"/>
      <c r="J180" s="6" t="n">
        <v>0.8</v>
      </c>
      <c r="K180" s="6" t="n">
        <v>1</v>
      </c>
      <c r="L180" s="6" t="n">
        <v>0.8</v>
      </c>
    </row>
    <row r="181" customFormat="false" ht="23.85" hidden="false" customHeight="false" outlineLevel="0" collapsed="false">
      <c r="A181" s="6" t="s">
        <v>2244</v>
      </c>
      <c r="B181" s="6" t="n">
        <v>81</v>
      </c>
      <c r="C181" s="6" t="s">
        <v>2245</v>
      </c>
      <c r="D181" s="6" t="s">
        <v>1603</v>
      </c>
      <c r="E181" s="6" t="s">
        <v>2246</v>
      </c>
      <c r="F181" s="6" t="s">
        <v>2247</v>
      </c>
      <c r="G181" s="6" t="s">
        <v>2248</v>
      </c>
      <c r="H181" s="6" t="s">
        <v>1607</v>
      </c>
      <c r="I181" s="6"/>
      <c r="J181" s="6" t="n">
        <v>0.8</v>
      </c>
      <c r="K181" s="6" t="n">
        <v>1</v>
      </c>
      <c r="L181" s="6" t="n">
        <v>0.8</v>
      </c>
    </row>
    <row r="182" customFormat="false" ht="23.85" hidden="false" customHeight="false" outlineLevel="0" collapsed="false">
      <c r="A182" s="6" t="s">
        <v>2249</v>
      </c>
      <c r="B182" s="6" t="n">
        <v>82</v>
      </c>
      <c r="C182" s="6" t="s">
        <v>2245</v>
      </c>
      <c r="D182" s="6" t="s">
        <v>1603</v>
      </c>
      <c r="E182" s="6" t="s">
        <v>2246</v>
      </c>
      <c r="F182" s="6" t="s">
        <v>2247</v>
      </c>
      <c r="G182" s="6" t="s">
        <v>2248</v>
      </c>
      <c r="H182" s="6" t="s">
        <v>1607</v>
      </c>
      <c r="I182" s="6"/>
      <c r="J182" s="6" t="n">
        <v>0.8</v>
      </c>
      <c r="K182" s="6" t="n">
        <v>1</v>
      </c>
      <c r="L182" s="6" t="n">
        <v>0.8</v>
      </c>
    </row>
    <row r="183" customFormat="false" ht="23.85" hidden="false" customHeight="false" outlineLevel="0" collapsed="false">
      <c r="A183" s="6" t="s">
        <v>2250</v>
      </c>
      <c r="B183" s="6" t="n">
        <v>82</v>
      </c>
      <c r="C183" s="6" t="s">
        <v>2251</v>
      </c>
      <c r="D183" s="6" t="s">
        <v>1603</v>
      </c>
      <c r="E183" s="6" t="s">
        <v>2252</v>
      </c>
      <c r="F183" s="6" t="s">
        <v>2247</v>
      </c>
      <c r="G183" s="6" t="s">
        <v>2253</v>
      </c>
      <c r="H183" s="6" t="s">
        <v>1607</v>
      </c>
      <c r="I183" s="6"/>
      <c r="J183" s="6" t="n">
        <v>0.8</v>
      </c>
      <c r="K183" s="6" t="n">
        <v>1</v>
      </c>
      <c r="L183" s="6" t="n">
        <v>0.8</v>
      </c>
    </row>
    <row r="184" customFormat="false" ht="23.85" hidden="false" customHeight="false" outlineLevel="0" collapsed="false">
      <c r="A184" s="6" t="s">
        <v>2254</v>
      </c>
      <c r="B184" s="6" t="n">
        <v>83</v>
      </c>
      <c r="C184" s="6" t="s">
        <v>1715</v>
      </c>
      <c r="D184" s="6" t="s">
        <v>1603</v>
      </c>
      <c r="E184" s="6" t="s">
        <v>2255</v>
      </c>
      <c r="F184" s="6" t="s">
        <v>2256</v>
      </c>
      <c r="G184" s="6" t="s">
        <v>2257</v>
      </c>
      <c r="H184" s="6" t="s">
        <v>1607</v>
      </c>
      <c r="I184" s="6"/>
      <c r="J184" s="6" t="n">
        <v>0.8</v>
      </c>
      <c r="K184" s="6" t="n">
        <v>1</v>
      </c>
      <c r="L184" s="6" t="n">
        <v>0.8</v>
      </c>
    </row>
    <row r="185" customFormat="false" ht="23.85" hidden="false" customHeight="false" outlineLevel="0" collapsed="false">
      <c r="A185" s="6" t="s">
        <v>2258</v>
      </c>
      <c r="B185" s="6" t="n">
        <v>84</v>
      </c>
      <c r="C185" s="6" t="s">
        <v>2259</v>
      </c>
      <c r="D185" s="6" t="s">
        <v>1603</v>
      </c>
      <c r="E185" s="6" t="s">
        <v>2260</v>
      </c>
      <c r="F185" s="6"/>
      <c r="G185" s="6"/>
      <c r="H185" s="12" t="s">
        <v>2261</v>
      </c>
      <c r="I185" s="6"/>
      <c r="J185" s="6" t="n">
        <v>0.8</v>
      </c>
      <c r="K185" s="6" t="n">
        <v>0.65</v>
      </c>
      <c r="L185" s="6" t="n">
        <v>0</v>
      </c>
    </row>
    <row r="186" customFormat="false" ht="23.85" hidden="false" customHeight="false" outlineLevel="0" collapsed="false">
      <c r="A186" s="6" t="s">
        <v>2262</v>
      </c>
      <c r="B186" s="6" t="n">
        <v>85</v>
      </c>
      <c r="C186" s="6" t="s">
        <v>2263</v>
      </c>
      <c r="D186" s="6" t="s">
        <v>1603</v>
      </c>
      <c r="E186" s="6" t="s">
        <v>2264</v>
      </c>
      <c r="F186" s="6" t="s">
        <v>2265</v>
      </c>
      <c r="G186" s="6" t="s">
        <v>2266</v>
      </c>
      <c r="H186" s="6" t="s">
        <v>1607</v>
      </c>
      <c r="I186" s="6"/>
      <c r="J186" s="6" t="n">
        <v>0.8</v>
      </c>
      <c r="K186" s="6" t="n">
        <v>1</v>
      </c>
      <c r="L186" s="6" t="n">
        <v>0.8</v>
      </c>
    </row>
    <row r="187" customFormat="false" ht="23.85" hidden="false" customHeight="false" outlineLevel="0" collapsed="false">
      <c r="A187" s="6" t="s">
        <v>2267</v>
      </c>
      <c r="B187" s="6" t="n">
        <v>85</v>
      </c>
      <c r="C187" s="6" t="s">
        <v>1647</v>
      </c>
      <c r="D187" s="6" t="s">
        <v>1603</v>
      </c>
      <c r="E187" s="6" t="s">
        <v>2268</v>
      </c>
      <c r="F187" s="6" t="s">
        <v>2265</v>
      </c>
      <c r="G187" s="6" t="s">
        <v>2269</v>
      </c>
      <c r="H187" s="6" t="s">
        <v>1607</v>
      </c>
      <c r="I187" s="6"/>
      <c r="J187" s="6" t="n">
        <v>0.8</v>
      </c>
      <c r="K187" s="6" t="n">
        <v>1</v>
      </c>
      <c r="L187" s="6" t="n">
        <v>0.8</v>
      </c>
    </row>
    <row r="188" customFormat="false" ht="23.85" hidden="false" customHeight="false" outlineLevel="0" collapsed="false">
      <c r="A188" s="6" t="s">
        <v>2270</v>
      </c>
      <c r="B188" s="6" t="n">
        <v>86</v>
      </c>
      <c r="C188" s="6" t="s">
        <v>2259</v>
      </c>
      <c r="D188" s="6" t="s">
        <v>1603</v>
      </c>
      <c r="E188" s="6" t="s">
        <v>2260</v>
      </c>
      <c r="F188" s="6"/>
      <c r="G188" s="6"/>
      <c r="H188" s="12" t="s">
        <v>2261</v>
      </c>
      <c r="I188" s="6"/>
      <c r="J188" s="6" t="n">
        <v>0.8</v>
      </c>
      <c r="K188" s="6" t="n">
        <v>0.65</v>
      </c>
      <c r="L188" s="6" t="n">
        <v>0</v>
      </c>
    </row>
    <row r="189" customFormat="false" ht="23.85" hidden="false" customHeight="false" outlineLevel="0" collapsed="false">
      <c r="A189" s="6" t="s">
        <v>2271</v>
      </c>
      <c r="B189" s="6" t="n">
        <v>86</v>
      </c>
      <c r="C189" s="6" t="s">
        <v>2272</v>
      </c>
      <c r="D189" s="6" t="s">
        <v>1603</v>
      </c>
      <c r="E189" s="6" t="s">
        <v>2260</v>
      </c>
      <c r="F189" s="6"/>
      <c r="G189" s="6"/>
      <c r="H189" s="12" t="s">
        <v>2261</v>
      </c>
      <c r="I189" s="6"/>
      <c r="J189" s="6" t="n">
        <v>0.8</v>
      </c>
      <c r="K189" s="6" t="n">
        <v>0.65</v>
      </c>
      <c r="L189" s="6" t="n">
        <v>0</v>
      </c>
    </row>
    <row r="190" customFormat="false" ht="15" hidden="false" customHeight="false" outlineLevel="0" collapsed="false">
      <c r="A190" s="6" t="s">
        <v>2273</v>
      </c>
      <c r="B190" s="6" t="n">
        <v>87</v>
      </c>
      <c r="C190" s="6" t="s">
        <v>2274</v>
      </c>
      <c r="D190" s="6" t="s">
        <v>1986</v>
      </c>
      <c r="E190" s="6" t="s">
        <v>2275</v>
      </c>
      <c r="F190" s="6" t="s">
        <v>2276</v>
      </c>
      <c r="G190" s="6" t="s">
        <v>2277</v>
      </c>
      <c r="H190" s="6" t="s">
        <v>1607</v>
      </c>
      <c r="I190" s="6"/>
      <c r="J190" s="6" t="n">
        <v>0.8</v>
      </c>
      <c r="K190" s="6" t="n">
        <v>1</v>
      </c>
      <c r="L190" s="6" t="n">
        <v>0.8</v>
      </c>
    </row>
    <row r="191" customFormat="false" ht="23.85" hidden="false" customHeight="false" outlineLevel="0" collapsed="false">
      <c r="A191" s="6" t="s">
        <v>2278</v>
      </c>
      <c r="B191" s="6" t="n">
        <v>88</v>
      </c>
      <c r="C191" s="6" t="s">
        <v>2272</v>
      </c>
      <c r="D191" s="6" t="s">
        <v>1603</v>
      </c>
      <c r="E191" s="6" t="s">
        <v>2260</v>
      </c>
      <c r="F191" s="6"/>
      <c r="G191" s="6"/>
      <c r="H191" s="12" t="s">
        <v>2261</v>
      </c>
      <c r="I191" s="6"/>
      <c r="J191" s="6" t="n">
        <v>0.8</v>
      </c>
      <c r="K191" s="6" t="n">
        <v>0.65</v>
      </c>
      <c r="L191" s="6" t="n">
        <v>0</v>
      </c>
    </row>
    <row r="192" customFormat="false" ht="23.85" hidden="false" customHeight="false" outlineLevel="0" collapsed="false">
      <c r="A192" s="6" t="s">
        <v>2279</v>
      </c>
      <c r="B192" s="6" t="n">
        <v>88</v>
      </c>
      <c r="C192" s="6" t="s">
        <v>2280</v>
      </c>
      <c r="D192" s="6" t="s">
        <v>1603</v>
      </c>
      <c r="E192" s="6" t="s">
        <v>2260</v>
      </c>
      <c r="F192" s="6"/>
      <c r="G192" s="6"/>
      <c r="H192" s="12" t="s">
        <v>2261</v>
      </c>
      <c r="I192" s="6"/>
      <c r="J192" s="6" t="n">
        <v>0.8</v>
      </c>
      <c r="K192" s="6" t="n">
        <v>0.65</v>
      </c>
      <c r="L192" s="6" t="n">
        <v>0</v>
      </c>
    </row>
    <row r="193" customFormat="false" ht="23.85" hidden="false" customHeight="false" outlineLevel="0" collapsed="false">
      <c r="A193" s="6" t="s">
        <v>2281</v>
      </c>
      <c r="B193" s="6" t="n">
        <v>89</v>
      </c>
      <c r="C193" s="6" t="s">
        <v>2272</v>
      </c>
      <c r="D193" s="6" t="s">
        <v>1603</v>
      </c>
      <c r="E193" s="6" t="s">
        <v>2260</v>
      </c>
      <c r="F193" s="6"/>
      <c r="G193" s="6"/>
      <c r="H193" s="12" t="s">
        <v>2261</v>
      </c>
      <c r="I193" s="6"/>
      <c r="J193" s="6" t="n">
        <v>0.8</v>
      </c>
      <c r="K193" s="6" t="n">
        <v>0.65</v>
      </c>
      <c r="L193" s="6" t="n">
        <v>0</v>
      </c>
    </row>
    <row r="194" customFormat="false" ht="23.85" hidden="false" customHeight="false" outlineLevel="0" collapsed="false">
      <c r="A194" s="6" t="s">
        <v>2282</v>
      </c>
      <c r="B194" s="6" t="n">
        <v>90</v>
      </c>
      <c r="C194" s="6" t="s">
        <v>2283</v>
      </c>
      <c r="D194" s="6" t="s">
        <v>1603</v>
      </c>
      <c r="E194" s="6" t="s">
        <v>2284</v>
      </c>
      <c r="F194" s="6" t="s">
        <v>2285</v>
      </c>
      <c r="G194" s="6" t="s">
        <v>2286</v>
      </c>
      <c r="H194" s="6" t="s">
        <v>1607</v>
      </c>
      <c r="I194" s="6"/>
      <c r="J194" s="6" t="n">
        <v>0.8</v>
      </c>
      <c r="K194" s="6" t="n">
        <v>1</v>
      </c>
      <c r="L194" s="6" t="n">
        <v>0.8</v>
      </c>
    </row>
    <row r="195" customFormat="false" ht="23.85" hidden="false" customHeight="false" outlineLevel="0" collapsed="false">
      <c r="A195" s="6" t="s">
        <v>2287</v>
      </c>
      <c r="B195" s="6" t="n">
        <v>90</v>
      </c>
      <c r="C195" s="6" t="s">
        <v>1633</v>
      </c>
      <c r="D195" s="6" t="s">
        <v>1603</v>
      </c>
      <c r="E195" s="6" t="s">
        <v>2288</v>
      </c>
      <c r="F195" s="6" t="s">
        <v>2289</v>
      </c>
      <c r="G195" s="6" t="s">
        <v>2290</v>
      </c>
      <c r="H195" s="6" t="s">
        <v>1607</v>
      </c>
      <c r="I195" s="6"/>
      <c r="J195" s="6" t="n">
        <v>0.8</v>
      </c>
      <c r="K195" s="6" t="n">
        <v>1</v>
      </c>
      <c r="L195" s="6" t="n">
        <v>0.8</v>
      </c>
    </row>
    <row r="196" customFormat="false" ht="23.85" hidden="false" customHeight="false" outlineLevel="0" collapsed="false">
      <c r="A196" s="6" t="s">
        <v>2291</v>
      </c>
      <c r="B196" s="6" t="n">
        <v>91</v>
      </c>
      <c r="C196" s="6" t="s">
        <v>2283</v>
      </c>
      <c r="D196" s="6" t="s">
        <v>1603</v>
      </c>
      <c r="E196" s="6" t="s">
        <v>2292</v>
      </c>
      <c r="F196" s="6" t="s">
        <v>2293</v>
      </c>
      <c r="G196" s="6" t="s">
        <v>2294</v>
      </c>
      <c r="H196" s="6" t="s">
        <v>1607</v>
      </c>
      <c r="I196" s="6"/>
      <c r="J196" s="6" t="n">
        <v>0.8</v>
      </c>
      <c r="K196" s="6" t="n">
        <v>1</v>
      </c>
      <c r="L196" s="6" t="n">
        <v>0.8</v>
      </c>
    </row>
    <row r="197" customFormat="false" ht="23.85" hidden="false" customHeight="false" outlineLevel="0" collapsed="false">
      <c r="A197" s="6" t="s">
        <v>2295</v>
      </c>
      <c r="B197" s="6" t="n">
        <v>92</v>
      </c>
      <c r="C197" s="6" t="s">
        <v>1629</v>
      </c>
      <c r="D197" s="6" t="s">
        <v>1603</v>
      </c>
      <c r="E197" s="6" t="s">
        <v>2296</v>
      </c>
      <c r="F197" s="6" t="s">
        <v>2293</v>
      </c>
      <c r="G197" s="6" t="s">
        <v>2297</v>
      </c>
      <c r="H197" s="6" t="s">
        <v>1607</v>
      </c>
      <c r="I197" s="6"/>
      <c r="J197" s="6" t="n">
        <v>0.8</v>
      </c>
      <c r="K197" s="6" t="n">
        <v>1</v>
      </c>
      <c r="L197" s="6" t="n">
        <v>0.8</v>
      </c>
    </row>
    <row r="198" customFormat="false" ht="23.85" hidden="false" customHeight="false" outlineLevel="0" collapsed="false">
      <c r="A198" s="6" t="s">
        <v>2298</v>
      </c>
      <c r="B198" s="6" t="n">
        <v>93</v>
      </c>
      <c r="C198" s="6" t="s">
        <v>1647</v>
      </c>
      <c r="D198" s="6" t="s">
        <v>1603</v>
      </c>
      <c r="E198" s="6" t="s">
        <v>2299</v>
      </c>
      <c r="F198" s="6" t="s">
        <v>2285</v>
      </c>
      <c r="G198" s="6" t="s">
        <v>2300</v>
      </c>
      <c r="H198" s="6" t="s">
        <v>1607</v>
      </c>
      <c r="I198" s="6"/>
      <c r="J198" s="6" t="n">
        <v>0.8</v>
      </c>
      <c r="K198" s="6" t="n">
        <v>1</v>
      </c>
      <c r="L198" s="6" t="n">
        <v>0.8</v>
      </c>
    </row>
    <row r="199" customFormat="false" ht="23.85" hidden="false" customHeight="false" outlineLevel="0" collapsed="false">
      <c r="A199" s="6" t="s">
        <v>2301</v>
      </c>
      <c r="B199" s="6" t="n">
        <v>93</v>
      </c>
      <c r="C199" s="6" t="s">
        <v>1647</v>
      </c>
      <c r="D199" s="6" t="s">
        <v>1603</v>
      </c>
      <c r="E199" s="6" t="s">
        <v>2302</v>
      </c>
      <c r="F199" s="6" t="s">
        <v>2289</v>
      </c>
      <c r="G199" s="6" t="s">
        <v>2303</v>
      </c>
      <c r="H199" s="6" t="s">
        <v>1607</v>
      </c>
      <c r="I199" s="6"/>
      <c r="J199" s="6" t="n">
        <v>0.8</v>
      </c>
      <c r="K199" s="6" t="n">
        <v>1</v>
      </c>
      <c r="L199" s="6" t="n">
        <v>0.8</v>
      </c>
    </row>
    <row r="200" customFormat="false" ht="23.85" hidden="false" customHeight="false" outlineLevel="0" collapsed="false">
      <c r="A200" s="6" t="s">
        <v>2304</v>
      </c>
      <c r="B200" s="6" t="n">
        <v>94</v>
      </c>
      <c r="C200" s="6" t="s">
        <v>2305</v>
      </c>
      <c r="D200" s="6" t="s">
        <v>1603</v>
      </c>
      <c r="E200" s="6" t="s">
        <v>2306</v>
      </c>
      <c r="F200" s="6" t="s">
        <v>2293</v>
      </c>
      <c r="G200" s="6" t="s">
        <v>2307</v>
      </c>
      <c r="H200" s="6" t="s">
        <v>1607</v>
      </c>
      <c r="I200" s="6"/>
      <c r="J200" s="6" t="n">
        <v>0.8</v>
      </c>
      <c r="K200" s="6" t="n">
        <v>1</v>
      </c>
      <c r="L200" s="6" t="n">
        <v>0.8</v>
      </c>
    </row>
    <row r="201" customFormat="false" ht="23.85" hidden="false" customHeight="false" outlineLevel="0" collapsed="false">
      <c r="A201" s="6" t="s">
        <v>2308</v>
      </c>
      <c r="B201" s="6" t="n">
        <v>94</v>
      </c>
      <c r="C201" s="6" t="s">
        <v>1647</v>
      </c>
      <c r="D201" s="6" t="s">
        <v>1603</v>
      </c>
      <c r="E201" s="6" t="s">
        <v>2299</v>
      </c>
      <c r="F201" s="6" t="s">
        <v>2285</v>
      </c>
      <c r="G201" s="6" t="s">
        <v>2300</v>
      </c>
      <c r="H201" s="6" t="s">
        <v>1607</v>
      </c>
      <c r="I201" s="6"/>
      <c r="J201" s="6" t="n">
        <v>0.8</v>
      </c>
      <c r="K201" s="6" t="n">
        <v>1</v>
      </c>
      <c r="L201" s="6" t="n">
        <v>0.8</v>
      </c>
    </row>
    <row r="202" customFormat="false" ht="23.85" hidden="false" customHeight="false" outlineLevel="0" collapsed="false">
      <c r="A202" s="6" t="s">
        <v>2309</v>
      </c>
      <c r="B202" s="6" t="n">
        <v>94</v>
      </c>
      <c r="C202" s="6" t="s">
        <v>2283</v>
      </c>
      <c r="D202" s="6" t="s">
        <v>1603</v>
      </c>
      <c r="E202" s="6" t="s">
        <v>2284</v>
      </c>
      <c r="F202" s="6" t="s">
        <v>2285</v>
      </c>
      <c r="G202" s="6" t="s">
        <v>2286</v>
      </c>
      <c r="H202" s="6" t="s">
        <v>1607</v>
      </c>
      <c r="I202" s="6"/>
      <c r="J202" s="6" t="n">
        <v>0.8</v>
      </c>
      <c r="K202" s="6" t="n">
        <v>1</v>
      </c>
      <c r="L202" s="6" t="n">
        <v>0.8</v>
      </c>
    </row>
    <row r="203" customFormat="false" ht="23.85" hidden="false" customHeight="false" outlineLevel="0" collapsed="false">
      <c r="A203" s="6" t="s">
        <v>2310</v>
      </c>
      <c r="B203" s="6" t="n">
        <v>95</v>
      </c>
      <c r="C203" s="6" t="s">
        <v>1647</v>
      </c>
      <c r="D203" s="6" t="s">
        <v>1603</v>
      </c>
      <c r="E203" s="6" t="s">
        <v>2299</v>
      </c>
      <c r="F203" s="6" t="s">
        <v>2285</v>
      </c>
      <c r="G203" s="6" t="s">
        <v>2300</v>
      </c>
      <c r="H203" s="6" t="s">
        <v>1607</v>
      </c>
      <c r="I203" s="6"/>
      <c r="J203" s="6" t="n">
        <v>0.8</v>
      </c>
      <c r="K203" s="6" t="n">
        <v>1</v>
      </c>
      <c r="L203" s="6" t="n">
        <v>0.8</v>
      </c>
    </row>
    <row r="204" customFormat="false" ht="23.85" hidden="false" customHeight="false" outlineLevel="0" collapsed="false">
      <c r="A204" s="6" t="s">
        <v>2311</v>
      </c>
      <c r="B204" s="6" t="n">
        <v>95</v>
      </c>
      <c r="C204" s="6" t="s">
        <v>1647</v>
      </c>
      <c r="D204" s="6" t="s">
        <v>1603</v>
      </c>
      <c r="E204" s="6" t="s">
        <v>2302</v>
      </c>
      <c r="F204" s="6" t="s">
        <v>2289</v>
      </c>
      <c r="G204" s="6" t="s">
        <v>2303</v>
      </c>
      <c r="H204" s="6" t="s">
        <v>1607</v>
      </c>
      <c r="I204" s="6"/>
      <c r="J204" s="6" t="n">
        <v>0.8</v>
      </c>
      <c r="K204" s="6" t="n">
        <v>1</v>
      </c>
      <c r="L204" s="6" t="n">
        <v>0.8</v>
      </c>
    </row>
    <row r="205" customFormat="false" ht="23.85" hidden="false" customHeight="false" outlineLevel="0" collapsed="false">
      <c r="A205" s="6" t="s">
        <v>2312</v>
      </c>
      <c r="B205" s="6" t="n">
        <v>96</v>
      </c>
      <c r="C205" s="6" t="s">
        <v>2313</v>
      </c>
      <c r="D205" s="6" t="s">
        <v>1603</v>
      </c>
      <c r="E205" s="6" t="s">
        <v>2314</v>
      </c>
      <c r="F205" s="6" t="s">
        <v>2289</v>
      </c>
      <c r="G205" s="6" t="s">
        <v>2315</v>
      </c>
      <c r="H205" s="6" t="s">
        <v>1607</v>
      </c>
      <c r="I205" s="6"/>
      <c r="J205" s="6" t="n">
        <v>0.8</v>
      </c>
      <c r="K205" s="6" t="n">
        <v>1</v>
      </c>
      <c r="L205" s="6" t="n">
        <v>0.8</v>
      </c>
    </row>
    <row r="206" customFormat="false" ht="23.85" hidden="false" customHeight="false" outlineLevel="0" collapsed="false">
      <c r="A206" s="6" t="s">
        <v>2316</v>
      </c>
      <c r="B206" s="6" t="n">
        <v>96</v>
      </c>
      <c r="C206" s="6" t="s">
        <v>1633</v>
      </c>
      <c r="D206" s="6" t="s">
        <v>1603</v>
      </c>
      <c r="E206" s="6" t="s">
        <v>2288</v>
      </c>
      <c r="F206" s="6" t="s">
        <v>2289</v>
      </c>
      <c r="G206" s="6" t="s">
        <v>2290</v>
      </c>
      <c r="H206" s="6" t="s">
        <v>1607</v>
      </c>
      <c r="I206" s="6"/>
      <c r="J206" s="6" t="n">
        <v>0.8</v>
      </c>
      <c r="K206" s="6" t="n">
        <v>1</v>
      </c>
      <c r="L206" s="6" t="n">
        <v>0.8</v>
      </c>
    </row>
    <row r="207" customFormat="false" ht="23.85" hidden="false" customHeight="false" outlineLevel="0" collapsed="false">
      <c r="A207" s="6" t="s">
        <v>2317</v>
      </c>
      <c r="B207" s="6" t="n">
        <v>97</v>
      </c>
      <c r="C207" s="6" t="s">
        <v>2318</v>
      </c>
      <c r="D207" s="6" t="s">
        <v>1603</v>
      </c>
      <c r="E207" s="6" t="s">
        <v>2319</v>
      </c>
      <c r="F207" s="6" t="s">
        <v>2320</v>
      </c>
      <c r="G207" s="6" t="s">
        <v>2321</v>
      </c>
      <c r="H207" s="6" t="s">
        <v>1607</v>
      </c>
      <c r="I207" s="6"/>
      <c r="J207" s="6" t="n">
        <v>0.8</v>
      </c>
      <c r="K207" s="6" t="n">
        <v>1</v>
      </c>
      <c r="L207" s="6" t="n">
        <v>0.8</v>
      </c>
    </row>
    <row r="208" customFormat="false" ht="23.85" hidden="false" customHeight="false" outlineLevel="0" collapsed="false">
      <c r="A208" s="6" t="s">
        <v>2322</v>
      </c>
      <c r="B208" s="6" t="n">
        <v>97</v>
      </c>
      <c r="C208" s="6" t="s">
        <v>1647</v>
      </c>
      <c r="D208" s="6" t="s">
        <v>1603</v>
      </c>
      <c r="E208" s="6" t="s">
        <v>2302</v>
      </c>
      <c r="F208" s="6" t="s">
        <v>2289</v>
      </c>
      <c r="G208" s="6" t="s">
        <v>2303</v>
      </c>
      <c r="H208" s="6" t="s">
        <v>1607</v>
      </c>
      <c r="I208" s="6"/>
      <c r="J208" s="6" t="n">
        <v>0.8</v>
      </c>
      <c r="K208" s="6" t="n">
        <v>1</v>
      </c>
      <c r="L208" s="6" t="n">
        <v>0.8</v>
      </c>
    </row>
    <row r="209" customFormat="false" ht="23.85" hidden="false" customHeight="false" outlineLevel="0" collapsed="false">
      <c r="A209" s="6" t="s">
        <v>2323</v>
      </c>
      <c r="B209" s="6" t="n">
        <v>98</v>
      </c>
      <c r="C209" s="6" t="s">
        <v>1647</v>
      </c>
      <c r="D209" s="6" t="s">
        <v>1603</v>
      </c>
      <c r="E209" s="6" t="s">
        <v>2324</v>
      </c>
      <c r="F209" s="6" t="s">
        <v>2289</v>
      </c>
      <c r="G209" s="6" t="s">
        <v>2325</v>
      </c>
      <c r="H209" s="6" t="s">
        <v>1607</v>
      </c>
      <c r="I209" s="6"/>
      <c r="J209" s="6" t="n">
        <v>0.8</v>
      </c>
      <c r="K209" s="6" t="n">
        <v>1</v>
      </c>
      <c r="L209" s="6" t="n">
        <v>0.8</v>
      </c>
    </row>
    <row r="210" customFormat="false" ht="23.85" hidden="false" customHeight="false" outlineLevel="0" collapsed="false">
      <c r="A210" s="6" t="s">
        <v>2326</v>
      </c>
      <c r="B210" s="6" t="n">
        <v>99</v>
      </c>
      <c r="C210" s="6" t="s">
        <v>2318</v>
      </c>
      <c r="D210" s="6" t="s">
        <v>1603</v>
      </c>
      <c r="E210" s="6" t="s">
        <v>2319</v>
      </c>
      <c r="F210" s="6" t="s">
        <v>2320</v>
      </c>
      <c r="G210" s="6" t="s">
        <v>2321</v>
      </c>
      <c r="H210" s="6" t="s">
        <v>1607</v>
      </c>
      <c r="I210" s="6"/>
      <c r="J210" s="6" t="n">
        <v>0.8</v>
      </c>
      <c r="K210" s="6" t="n">
        <v>1</v>
      </c>
      <c r="L210" s="6" t="n">
        <v>0.8</v>
      </c>
    </row>
    <row r="211" customFormat="false" ht="23.85" hidden="false" customHeight="false" outlineLevel="0" collapsed="false">
      <c r="A211" s="6" t="s">
        <v>2327</v>
      </c>
      <c r="B211" s="6" t="n">
        <v>99</v>
      </c>
      <c r="C211" s="6" t="s">
        <v>1647</v>
      </c>
      <c r="D211" s="6" t="s">
        <v>1603</v>
      </c>
      <c r="E211" s="6" t="s">
        <v>2302</v>
      </c>
      <c r="F211" s="6" t="s">
        <v>2289</v>
      </c>
      <c r="G211" s="6" t="s">
        <v>2303</v>
      </c>
      <c r="H211" s="6" t="s">
        <v>1607</v>
      </c>
      <c r="I211" s="6"/>
      <c r="J211" s="6" t="n">
        <v>0.8</v>
      </c>
      <c r="K211" s="6" t="n">
        <v>1</v>
      </c>
      <c r="L211" s="6" t="n">
        <v>0.8</v>
      </c>
    </row>
    <row r="212" customFormat="false" ht="23.85" hidden="false" customHeight="false" outlineLevel="0" collapsed="false">
      <c r="A212" s="6" t="s">
        <v>2328</v>
      </c>
      <c r="B212" s="6" t="n">
        <v>100</v>
      </c>
      <c r="C212" s="6" t="s">
        <v>2313</v>
      </c>
      <c r="D212" s="6" t="s">
        <v>1603</v>
      </c>
      <c r="E212" s="6" t="s">
        <v>2314</v>
      </c>
      <c r="F212" s="6" t="s">
        <v>2289</v>
      </c>
      <c r="G212" s="6" t="s">
        <v>2315</v>
      </c>
      <c r="H212" s="6" t="s">
        <v>1607</v>
      </c>
      <c r="I212" s="6"/>
      <c r="J212" s="6" t="n">
        <v>0.8</v>
      </c>
      <c r="K212" s="6" t="n">
        <v>1</v>
      </c>
      <c r="L212" s="6" t="n">
        <v>0.8</v>
      </c>
    </row>
    <row r="213" customFormat="false" ht="23.85" hidden="false" customHeight="false" outlineLevel="0" collapsed="false">
      <c r="A213" s="6" t="s">
        <v>2329</v>
      </c>
      <c r="B213" s="6" t="n">
        <v>100</v>
      </c>
      <c r="C213" s="6" t="s">
        <v>1633</v>
      </c>
      <c r="D213" s="6" t="s">
        <v>1603</v>
      </c>
      <c r="E213" s="6" t="s">
        <v>2288</v>
      </c>
      <c r="F213" s="6" t="s">
        <v>2289</v>
      </c>
      <c r="G213" s="6" t="s">
        <v>2290</v>
      </c>
      <c r="H213" s="6" t="s">
        <v>1607</v>
      </c>
      <c r="I213" s="6"/>
      <c r="J213" s="6" t="n">
        <v>0.8</v>
      </c>
      <c r="K213" s="6" t="n">
        <v>1</v>
      </c>
      <c r="L213" s="6" t="n">
        <v>0.8</v>
      </c>
    </row>
    <row r="214" customFormat="false" ht="23.85" hidden="false" customHeight="false" outlineLevel="0" collapsed="false">
      <c r="A214" s="6" t="s">
        <v>2330</v>
      </c>
      <c r="B214" s="6" t="n">
        <v>101</v>
      </c>
      <c r="C214" s="6" t="s">
        <v>2331</v>
      </c>
      <c r="D214" s="11" t="s">
        <v>2119</v>
      </c>
      <c r="E214" s="6" t="s">
        <v>2332</v>
      </c>
      <c r="F214" s="6" t="s">
        <v>2289</v>
      </c>
      <c r="G214" s="6" t="s">
        <v>2333</v>
      </c>
      <c r="H214" s="6" t="s">
        <v>1607</v>
      </c>
      <c r="I214" s="6"/>
      <c r="J214" s="6" t="n">
        <v>0.3</v>
      </c>
      <c r="K214" s="6" t="n">
        <v>1</v>
      </c>
      <c r="L214" s="6" t="n">
        <v>0.3</v>
      </c>
    </row>
    <row r="215" customFormat="false" ht="23.85" hidden="false" customHeight="false" outlineLevel="0" collapsed="false">
      <c r="A215" s="6" t="s">
        <v>2334</v>
      </c>
      <c r="B215" s="6" t="n">
        <v>102</v>
      </c>
      <c r="C215" s="6" t="s">
        <v>1647</v>
      </c>
      <c r="D215" s="6" t="s">
        <v>1603</v>
      </c>
      <c r="E215" s="6" t="s">
        <v>2335</v>
      </c>
      <c r="F215" s="6" t="s">
        <v>2336</v>
      </c>
      <c r="G215" s="6" t="s">
        <v>2337</v>
      </c>
      <c r="H215" s="6" t="s">
        <v>1607</v>
      </c>
      <c r="I215" s="6"/>
      <c r="J215" s="6" t="n">
        <v>0.8</v>
      </c>
      <c r="K215" s="6" t="n">
        <v>1</v>
      </c>
      <c r="L215" s="6" t="n">
        <v>0.8</v>
      </c>
    </row>
    <row r="216" customFormat="false" ht="23.85" hidden="false" customHeight="false" outlineLevel="0" collapsed="false">
      <c r="A216" s="6" t="s">
        <v>2338</v>
      </c>
      <c r="B216" s="6" t="n">
        <v>102</v>
      </c>
      <c r="C216" s="6" t="s">
        <v>2339</v>
      </c>
      <c r="D216" s="6" t="s">
        <v>1603</v>
      </c>
      <c r="E216" s="6" t="s">
        <v>2340</v>
      </c>
      <c r="F216" s="6" t="s">
        <v>2336</v>
      </c>
      <c r="G216" s="6" t="s">
        <v>2341</v>
      </c>
      <c r="H216" s="6" t="s">
        <v>1701</v>
      </c>
      <c r="I216" s="6"/>
      <c r="J216" s="6" t="n">
        <v>0.8</v>
      </c>
      <c r="K216" s="6" t="n">
        <v>0.8</v>
      </c>
      <c r="L216" s="6" t="n">
        <v>0.64</v>
      </c>
    </row>
    <row r="217" customFormat="false" ht="23.85" hidden="false" customHeight="false" outlineLevel="0" collapsed="false">
      <c r="A217" s="6" t="s">
        <v>2342</v>
      </c>
      <c r="B217" s="6" t="n">
        <v>103</v>
      </c>
      <c r="C217" s="6" t="s">
        <v>1647</v>
      </c>
      <c r="D217" s="6" t="s">
        <v>1603</v>
      </c>
      <c r="E217" s="6" t="s">
        <v>2343</v>
      </c>
      <c r="F217" s="6" t="s">
        <v>2344</v>
      </c>
      <c r="G217" s="6" t="s">
        <v>2345</v>
      </c>
      <c r="H217" s="6" t="s">
        <v>1607</v>
      </c>
      <c r="I217" s="6"/>
      <c r="J217" s="6" t="n">
        <v>0.8</v>
      </c>
      <c r="K217" s="6" t="n">
        <v>1</v>
      </c>
      <c r="L217" s="6" t="n">
        <v>0.8</v>
      </c>
    </row>
    <row r="218" customFormat="false" ht="23.85" hidden="false" customHeight="false" outlineLevel="0" collapsed="false">
      <c r="A218" s="6" t="s">
        <v>2346</v>
      </c>
      <c r="B218" s="6" t="n">
        <v>104</v>
      </c>
      <c r="C218" s="6" t="s">
        <v>1647</v>
      </c>
      <c r="D218" s="6" t="s">
        <v>1603</v>
      </c>
      <c r="E218" s="6" t="s">
        <v>2343</v>
      </c>
      <c r="F218" s="6" t="s">
        <v>2344</v>
      </c>
      <c r="G218" s="6" t="s">
        <v>2345</v>
      </c>
      <c r="H218" s="6" t="s">
        <v>1607</v>
      </c>
      <c r="I218" s="6"/>
      <c r="J218" s="6" t="n">
        <v>0.8</v>
      </c>
      <c r="K218" s="6" t="n">
        <v>1</v>
      </c>
      <c r="L218" s="6" t="n">
        <v>0.8</v>
      </c>
    </row>
    <row r="219" customFormat="false" ht="23.85" hidden="false" customHeight="false" outlineLevel="0" collapsed="false">
      <c r="A219" s="6" t="s">
        <v>2347</v>
      </c>
      <c r="B219" s="6" t="n">
        <v>105</v>
      </c>
      <c r="C219" s="6" t="s">
        <v>1647</v>
      </c>
      <c r="D219" s="6" t="s">
        <v>1603</v>
      </c>
      <c r="E219" s="6" t="s">
        <v>2343</v>
      </c>
      <c r="F219" s="6" t="s">
        <v>2344</v>
      </c>
      <c r="G219" s="6" t="s">
        <v>2345</v>
      </c>
      <c r="H219" s="6" t="s">
        <v>1607</v>
      </c>
      <c r="I219" s="6"/>
      <c r="J219" s="6" t="n">
        <v>0.8</v>
      </c>
      <c r="K219" s="6" t="n">
        <v>1</v>
      </c>
      <c r="L219" s="6" t="n">
        <v>0.8</v>
      </c>
    </row>
    <row r="220" customFormat="false" ht="23.85" hidden="false" customHeight="false" outlineLevel="0" collapsed="false">
      <c r="A220" s="6" t="s">
        <v>2348</v>
      </c>
      <c r="B220" s="6" t="n">
        <v>106</v>
      </c>
      <c r="C220" s="6" t="s">
        <v>1647</v>
      </c>
      <c r="D220" s="6" t="s">
        <v>1603</v>
      </c>
      <c r="E220" s="6" t="s">
        <v>2349</v>
      </c>
      <c r="F220" s="6" t="s">
        <v>2350</v>
      </c>
      <c r="G220" s="6" t="s">
        <v>2351</v>
      </c>
      <c r="H220" s="6" t="s">
        <v>1607</v>
      </c>
      <c r="I220" s="6"/>
      <c r="J220" s="6" t="n">
        <v>0.8</v>
      </c>
      <c r="K220" s="6" t="n">
        <v>1</v>
      </c>
      <c r="L220" s="6" t="n">
        <v>0.8</v>
      </c>
    </row>
    <row r="221" customFormat="false" ht="23.85" hidden="false" customHeight="false" outlineLevel="0" collapsed="false">
      <c r="A221" s="6" t="s">
        <v>2352</v>
      </c>
      <c r="B221" s="6" t="n">
        <v>106</v>
      </c>
      <c r="C221" s="6" t="s">
        <v>2353</v>
      </c>
      <c r="D221" s="6" t="s">
        <v>1603</v>
      </c>
      <c r="E221" s="6" t="s">
        <v>2354</v>
      </c>
      <c r="F221" s="6" t="s">
        <v>2350</v>
      </c>
      <c r="G221" s="6" t="s">
        <v>2355</v>
      </c>
      <c r="H221" s="6" t="s">
        <v>1607</v>
      </c>
      <c r="I221" s="6"/>
      <c r="J221" s="6" t="n">
        <v>0.8</v>
      </c>
      <c r="K221" s="6" t="n">
        <v>1</v>
      </c>
      <c r="L221" s="6" t="n">
        <v>0.8</v>
      </c>
    </row>
    <row r="222" customFormat="false" ht="23.85" hidden="false" customHeight="false" outlineLevel="0" collapsed="false">
      <c r="A222" s="6" t="s">
        <v>2356</v>
      </c>
      <c r="B222" s="6" t="n">
        <v>107</v>
      </c>
      <c r="C222" s="6" t="s">
        <v>2357</v>
      </c>
      <c r="D222" s="6" t="s">
        <v>1986</v>
      </c>
      <c r="E222" s="6" t="s">
        <v>2358</v>
      </c>
      <c r="F222" s="6" t="s">
        <v>2320</v>
      </c>
      <c r="G222" s="6" t="s">
        <v>2359</v>
      </c>
      <c r="H222" s="6" t="s">
        <v>1607</v>
      </c>
      <c r="I222" s="6"/>
      <c r="J222" s="6" t="n">
        <v>0.8</v>
      </c>
      <c r="K222" s="6" t="n">
        <v>1</v>
      </c>
      <c r="L222" s="6" t="n">
        <v>0.8</v>
      </c>
    </row>
    <row r="223" customFormat="false" ht="23.85" hidden="false" customHeight="false" outlineLevel="0" collapsed="false">
      <c r="A223" s="6" t="s">
        <v>2360</v>
      </c>
      <c r="B223" s="6" t="n">
        <v>108</v>
      </c>
      <c r="C223" s="6" t="s">
        <v>2353</v>
      </c>
      <c r="D223" s="6" t="s">
        <v>1603</v>
      </c>
      <c r="E223" s="6" t="s">
        <v>2361</v>
      </c>
      <c r="F223" s="6" t="s">
        <v>2344</v>
      </c>
      <c r="G223" s="6" t="s">
        <v>2362</v>
      </c>
      <c r="H223" s="6" t="s">
        <v>1607</v>
      </c>
      <c r="I223" s="6"/>
      <c r="J223" s="6" t="n">
        <v>0.8</v>
      </c>
      <c r="K223" s="6" t="n">
        <v>1</v>
      </c>
      <c r="L223" s="6" t="n">
        <v>0.8</v>
      </c>
    </row>
    <row r="224" customFormat="false" ht="35.05" hidden="false" customHeight="false" outlineLevel="0" collapsed="false">
      <c r="A224" s="6" t="s">
        <v>2363</v>
      </c>
      <c r="B224" s="6" t="n">
        <v>108</v>
      </c>
      <c r="C224" s="6" t="s">
        <v>2364</v>
      </c>
      <c r="D224" s="6" t="s">
        <v>1603</v>
      </c>
      <c r="E224" s="6" t="s">
        <v>2365</v>
      </c>
      <c r="F224" s="6" t="s">
        <v>2366</v>
      </c>
      <c r="G224" s="6" t="s">
        <v>2367</v>
      </c>
      <c r="H224" s="6" t="s">
        <v>1701</v>
      </c>
      <c r="I224" s="6"/>
      <c r="J224" s="6" t="n">
        <v>0.8</v>
      </c>
      <c r="K224" s="6" t="n">
        <v>0.8</v>
      </c>
      <c r="L224" s="6" t="n">
        <v>0.64</v>
      </c>
    </row>
    <row r="225" customFormat="false" ht="23.85" hidden="false" customHeight="false" outlineLevel="0" collapsed="false">
      <c r="A225" s="6" t="s">
        <v>2368</v>
      </c>
      <c r="B225" s="6" t="n">
        <v>109</v>
      </c>
      <c r="C225" s="6" t="s">
        <v>1647</v>
      </c>
      <c r="D225" s="6" t="s">
        <v>1603</v>
      </c>
      <c r="E225" s="6" t="s">
        <v>2349</v>
      </c>
      <c r="F225" s="6" t="s">
        <v>2350</v>
      </c>
      <c r="G225" s="6" t="s">
        <v>2351</v>
      </c>
      <c r="H225" s="6" t="s">
        <v>1607</v>
      </c>
      <c r="I225" s="6"/>
      <c r="J225" s="6" t="n">
        <v>0.8</v>
      </c>
      <c r="K225" s="6" t="n">
        <v>1</v>
      </c>
      <c r="L225" s="6" t="n">
        <v>0.8</v>
      </c>
    </row>
    <row r="226" customFormat="false" ht="23.85" hidden="false" customHeight="false" outlineLevel="0" collapsed="false">
      <c r="A226" s="6" t="s">
        <v>2369</v>
      </c>
      <c r="B226" s="6" t="n">
        <v>109</v>
      </c>
      <c r="C226" s="6" t="s">
        <v>2370</v>
      </c>
      <c r="D226" s="6" t="s">
        <v>1603</v>
      </c>
      <c r="E226" s="6" t="s">
        <v>2371</v>
      </c>
      <c r="F226" s="6" t="s">
        <v>2350</v>
      </c>
      <c r="G226" s="6" t="s">
        <v>2372</v>
      </c>
      <c r="H226" s="6" t="s">
        <v>1607</v>
      </c>
      <c r="I226" s="6"/>
      <c r="J226" s="6" t="n">
        <v>0.8</v>
      </c>
      <c r="K226" s="6" t="n">
        <v>1</v>
      </c>
      <c r="L226" s="6" t="n">
        <v>0.8</v>
      </c>
    </row>
    <row r="227" customFormat="false" ht="23.85" hidden="false" customHeight="false" outlineLevel="0" collapsed="false">
      <c r="A227" s="6" t="s">
        <v>2373</v>
      </c>
      <c r="B227" s="6" t="n">
        <v>109</v>
      </c>
      <c r="C227" s="6" t="s">
        <v>2339</v>
      </c>
      <c r="D227" s="6" t="s">
        <v>1603</v>
      </c>
      <c r="E227" s="6" t="s">
        <v>2374</v>
      </c>
      <c r="F227" s="6" t="s">
        <v>2375</v>
      </c>
      <c r="G227" s="6" t="s">
        <v>2376</v>
      </c>
      <c r="H227" s="6" t="s">
        <v>1701</v>
      </c>
      <c r="I227" s="6"/>
      <c r="J227" s="6" t="n">
        <v>0.8</v>
      </c>
      <c r="K227" s="6" t="n">
        <v>0.8</v>
      </c>
      <c r="L227" s="6" t="n">
        <v>0.64</v>
      </c>
    </row>
    <row r="228" customFormat="false" ht="23.85" hidden="false" customHeight="false" outlineLevel="0" collapsed="false">
      <c r="A228" s="6" t="s">
        <v>2377</v>
      </c>
      <c r="B228" s="6" t="n">
        <v>109</v>
      </c>
      <c r="C228" s="6" t="s">
        <v>1647</v>
      </c>
      <c r="D228" s="6" t="s">
        <v>1603</v>
      </c>
      <c r="E228" s="6" t="s">
        <v>2378</v>
      </c>
      <c r="F228" s="6" t="s">
        <v>2379</v>
      </c>
      <c r="G228" s="6" t="s">
        <v>2380</v>
      </c>
      <c r="H228" s="6" t="s">
        <v>1607</v>
      </c>
      <c r="I228" s="6"/>
      <c r="J228" s="6" t="n">
        <v>0.8</v>
      </c>
      <c r="K228" s="6" t="n">
        <v>1</v>
      </c>
      <c r="L228" s="6" t="n">
        <v>0.8</v>
      </c>
    </row>
    <row r="229" customFormat="false" ht="23.85" hidden="false" customHeight="false" outlineLevel="0" collapsed="false">
      <c r="A229" s="6" t="s">
        <v>2381</v>
      </c>
      <c r="B229" s="6" t="n">
        <v>110</v>
      </c>
      <c r="C229" s="6" t="s">
        <v>2382</v>
      </c>
      <c r="D229" s="6" t="s">
        <v>1986</v>
      </c>
      <c r="E229" s="6" t="s">
        <v>2383</v>
      </c>
      <c r="F229" s="6" t="s">
        <v>2375</v>
      </c>
      <c r="G229" s="6" t="s">
        <v>2384</v>
      </c>
      <c r="H229" s="6" t="s">
        <v>1607</v>
      </c>
      <c r="I229" s="6"/>
      <c r="J229" s="6" t="n">
        <v>0.8</v>
      </c>
      <c r="K229" s="6" t="n">
        <v>1</v>
      </c>
      <c r="L229" s="6" t="n">
        <v>0.8</v>
      </c>
    </row>
    <row r="230" customFormat="false" ht="23.85" hidden="false" customHeight="false" outlineLevel="0" collapsed="false">
      <c r="A230" s="6" t="s">
        <v>2385</v>
      </c>
      <c r="B230" s="6" t="n">
        <v>110</v>
      </c>
      <c r="C230" s="6" t="s">
        <v>2386</v>
      </c>
      <c r="D230" s="6" t="s">
        <v>1986</v>
      </c>
      <c r="E230" s="6" t="s">
        <v>2387</v>
      </c>
      <c r="F230" s="6" t="s">
        <v>2375</v>
      </c>
      <c r="G230" s="6" t="s">
        <v>2388</v>
      </c>
      <c r="H230" s="6" t="s">
        <v>1701</v>
      </c>
      <c r="I230" s="6"/>
      <c r="J230" s="6" t="n">
        <v>0.8</v>
      </c>
      <c r="K230" s="6" t="n">
        <v>0.8</v>
      </c>
      <c r="L230" s="6" t="n">
        <v>0.64</v>
      </c>
    </row>
    <row r="231" customFormat="false" ht="23.85" hidden="false" customHeight="false" outlineLevel="0" collapsed="false">
      <c r="A231" s="6" t="s">
        <v>2389</v>
      </c>
      <c r="B231" s="6" t="n">
        <v>111</v>
      </c>
      <c r="C231" s="6" t="s">
        <v>1647</v>
      </c>
      <c r="D231" s="6" t="s">
        <v>1603</v>
      </c>
      <c r="E231" s="6" t="s">
        <v>2390</v>
      </c>
      <c r="F231" s="6" t="s">
        <v>2375</v>
      </c>
      <c r="G231" s="6" t="s">
        <v>2391</v>
      </c>
      <c r="H231" s="6" t="s">
        <v>1607</v>
      </c>
      <c r="I231" s="6"/>
      <c r="J231" s="6" t="n">
        <v>0.8</v>
      </c>
      <c r="K231" s="6" t="n">
        <v>1</v>
      </c>
      <c r="L231" s="6" t="n">
        <v>0.8</v>
      </c>
    </row>
    <row r="232" customFormat="false" ht="23.85" hidden="false" customHeight="false" outlineLevel="0" collapsed="false">
      <c r="A232" s="6" t="s">
        <v>2392</v>
      </c>
      <c r="B232" s="6" t="n">
        <v>111</v>
      </c>
      <c r="C232" s="6" t="s">
        <v>2393</v>
      </c>
      <c r="D232" s="6" t="s">
        <v>1603</v>
      </c>
      <c r="E232" s="6" t="s">
        <v>2394</v>
      </c>
      <c r="F232" s="6" t="s">
        <v>2395</v>
      </c>
      <c r="G232" s="6" t="s">
        <v>2396</v>
      </c>
      <c r="H232" s="6" t="s">
        <v>1607</v>
      </c>
      <c r="I232" s="6"/>
      <c r="J232" s="6" t="n">
        <v>0.8</v>
      </c>
      <c r="K232" s="6" t="n">
        <v>1</v>
      </c>
      <c r="L232" s="6" t="n">
        <v>0.8</v>
      </c>
    </row>
    <row r="233" customFormat="false" ht="23.85" hidden="false" customHeight="false" outlineLevel="0" collapsed="false">
      <c r="A233" s="6" t="s">
        <v>2397</v>
      </c>
      <c r="B233" s="6" t="n">
        <v>111</v>
      </c>
      <c r="C233" s="6" t="s">
        <v>1981</v>
      </c>
      <c r="D233" s="6" t="s">
        <v>1603</v>
      </c>
      <c r="E233" s="6" t="s">
        <v>2398</v>
      </c>
      <c r="F233" s="6" t="s">
        <v>2395</v>
      </c>
      <c r="G233" s="6" t="s">
        <v>2399</v>
      </c>
      <c r="H233" s="6" t="s">
        <v>1607</v>
      </c>
      <c r="I233" s="6"/>
      <c r="J233" s="6" t="n">
        <v>0.8</v>
      </c>
      <c r="K233" s="6" t="n">
        <v>1</v>
      </c>
      <c r="L233" s="6" t="n">
        <v>0.8</v>
      </c>
    </row>
    <row r="234" customFormat="false" ht="23.85" hidden="false" customHeight="false" outlineLevel="0" collapsed="false">
      <c r="A234" s="6" t="s">
        <v>2400</v>
      </c>
      <c r="B234" s="6" t="n">
        <v>111</v>
      </c>
      <c r="C234" s="6" t="s">
        <v>2401</v>
      </c>
      <c r="D234" s="6" t="s">
        <v>1603</v>
      </c>
      <c r="E234" s="6" t="s">
        <v>2402</v>
      </c>
      <c r="F234" s="6" t="s">
        <v>2395</v>
      </c>
      <c r="G234" s="6" t="s">
        <v>2403</v>
      </c>
      <c r="H234" s="6" t="s">
        <v>1607</v>
      </c>
      <c r="I234" s="6"/>
      <c r="J234" s="6" t="n">
        <v>0.8</v>
      </c>
      <c r="K234" s="6" t="n">
        <v>1</v>
      </c>
      <c r="L234" s="6" t="n">
        <v>0.8</v>
      </c>
    </row>
    <row r="235" customFormat="false" ht="23.85" hidden="false" customHeight="false" outlineLevel="0" collapsed="false">
      <c r="A235" s="6" t="s">
        <v>2404</v>
      </c>
      <c r="B235" s="6" t="n">
        <v>112</v>
      </c>
      <c r="C235" s="6" t="s">
        <v>1647</v>
      </c>
      <c r="D235" s="6" t="s">
        <v>1603</v>
      </c>
      <c r="E235" s="6" t="s">
        <v>2378</v>
      </c>
      <c r="F235" s="6" t="s">
        <v>2379</v>
      </c>
      <c r="G235" s="6" t="s">
        <v>2380</v>
      </c>
      <c r="H235" s="6" t="s">
        <v>1607</v>
      </c>
      <c r="I235" s="6"/>
      <c r="J235" s="6" t="n">
        <v>0.8</v>
      </c>
      <c r="K235" s="6" t="n">
        <v>1</v>
      </c>
      <c r="L235" s="6" t="n">
        <v>0.8</v>
      </c>
    </row>
    <row r="236" customFormat="false" ht="23.85" hidden="false" customHeight="false" outlineLevel="0" collapsed="false">
      <c r="A236" s="6" t="s">
        <v>2405</v>
      </c>
      <c r="B236" s="6" t="n">
        <v>112</v>
      </c>
      <c r="C236" s="6" t="s">
        <v>2393</v>
      </c>
      <c r="D236" s="6" t="s">
        <v>1603</v>
      </c>
      <c r="E236" s="6" t="s">
        <v>2394</v>
      </c>
      <c r="F236" s="6" t="s">
        <v>2395</v>
      </c>
      <c r="G236" s="6" t="s">
        <v>2396</v>
      </c>
      <c r="H236" s="6" t="s">
        <v>1607</v>
      </c>
      <c r="I236" s="6"/>
      <c r="J236" s="6" t="n">
        <v>0.8</v>
      </c>
      <c r="K236" s="6" t="n">
        <v>1</v>
      </c>
      <c r="L236" s="6" t="n">
        <v>0.8</v>
      </c>
    </row>
    <row r="237" customFormat="false" ht="23.85" hidden="false" customHeight="false" outlineLevel="0" collapsed="false">
      <c r="A237" s="6" t="s">
        <v>2406</v>
      </c>
      <c r="B237" s="6" t="n">
        <v>112</v>
      </c>
      <c r="C237" s="6" t="s">
        <v>1981</v>
      </c>
      <c r="D237" s="6" t="s">
        <v>1603</v>
      </c>
      <c r="E237" s="6" t="s">
        <v>2398</v>
      </c>
      <c r="F237" s="6" t="s">
        <v>2395</v>
      </c>
      <c r="G237" s="6" t="s">
        <v>2399</v>
      </c>
      <c r="H237" s="6" t="s">
        <v>1607</v>
      </c>
      <c r="I237" s="6"/>
      <c r="J237" s="6" t="n">
        <v>0.8</v>
      </c>
      <c r="K237" s="6" t="n">
        <v>1</v>
      </c>
      <c r="L237" s="6" t="n">
        <v>0.8</v>
      </c>
    </row>
    <row r="238" customFormat="false" ht="23.85" hidden="false" customHeight="false" outlineLevel="0" collapsed="false">
      <c r="A238" s="6" t="s">
        <v>2407</v>
      </c>
      <c r="B238" s="6" t="n">
        <v>113</v>
      </c>
      <c r="C238" s="6" t="s">
        <v>1647</v>
      </c>
      <c r="D238" s="6" t="s">
        <v>1603</v>
      </c>
      <c r="E238" s="6" t="s">
        <v>2378</v>
      </c>
      <c r="F238" s="6" t="s">
        <v>2379</v>
      </c>
      <c r="G238" s="6" t="s">
        <v>2380</v>
      </c>
      <c r="H238" s="6" t="s">
        <v>1607</v>
      </c>
      <c r="I238" s="6"/>
      <c r="J238" s="6" t="n">
        <v>0.8</v>
      </c>
      <c r="K238" s="6" t="n">
        <v>1</v>
      </c>
      <c r="L238" s="6" t="n">
        <v>0.8</v>
      </c>
    </row>
    <row r="239" customFormat="false" ht="23.85" hidden="false" customHeight="false" outlineLevel="0" collapsed="false">
      <c r="A239" s="6" t="s">
        <v>2408</v>
      </c>
      <c r="B239" s="6" t="n">
        <v>113</v>
      </c>
      <c r="C239" s="6" t="s">
        <v>2393</v>
      </c>
      <c r="D239" s="6" t="s">
        <v>1603</v>
      </c>
      <c r="E239" s="6" t="s">
        <v>2394</v>
      </c>
      <c r="F239" s="6" t="s">
        <v>2395</v>
      </c>
      <c r="G239" s="6" t="s">
        <v>2396</v>
      </c>
      <c r="H239" s="6" t="s">
        <v>1607</v>
      </c>
      <c r="I239" s="6"/>
      <c r="J239" s="6" t="n">
        <v>0.8</v>
      </c>
      <c r="K239" s="6" t="n">
        <v>1</v>
      </c>
      <c r="L239" s="6" t="n">
        <v>0.8</v>
      </c>
    </row>
    <row r="240" customFormat="false" ht="23.85" hidden="false" customHeight="false" outlineLevel="0" collapsed="false">
      <c r="A240" s="6" t="s">
        <v>2409</v>
      </c>
      <c r="B240" s="6" t="n">
        <v>114</v>
      </c>
      <c r="C240" s="6" t="s">
        <v>1981</v>
      </c>
      <c r="D240" s="6" t="s">
        <v>1603</v>
      </c>
      <c r="E240" s="6" t="s">
        <v>2398</v>
      </c>
      <c r="F240" s="6" t="s">
        <v>2395</v>
      </c>
      <c r="G240" s="6" t="s">
        <v>2399</v>
      </c>
      <c r="H240" s="6" t="s">
        <v>1607</v>
      </c>
      <c r="I240" s="6"/>
      <c r="J240" s="6" t="n">
        <v>0.8</v>
      </c>
      <c r="K240" s="6" t="n">
        <v>1</v>
      </c>
      <c r="L240" s="6" t="n">
        <v>0.8</v>
      </c>
    </row>
    <row r="241" customFormat="false" ht="23.85" hidden="false" customHeight="false" outlineLevel="0" collapsed="false">
      <c r="A241" s="6" t="s">
        <v>2410</v>
      </c>
      <c r="B241" s="6" t="n">
        <v>115</v>
      </c>
      <c r="C241" s="6" t="s">
        <v>1981</v>
      </c>
      <c r="D241" s="6" t="s">
        <v>1603</v>
      </c>
      <c r="E241" s="6" t="s">
        <v>2398</v>
      </c>
      <c r="F241" s="6" t="s">
        <v>2395</v>
      </c>
      <c r="G241" s="6" t="s">
        <v>2399</v>
      </c>
      <c r="H241" s="6" t="s">
        <v>1607</v>
      </c>
      <c r="I241" s="6"/>
      <c r="J241" s="6" t="n">
        <v>0.8</v>
      </c>
      <c r="K241" s="6" t="n">
        <v>1</v>
      </c>
      <c r="L241" s="6" t="n">
        <v>0.8</v>
      </c>
    </row>
    <row r="242" customFormat="false" ht="23.85" hidden="false" customHeight="false" outlineLevel="0" collapsed="false">
      <c r="A242" s="6" t="s">
        <v>2411</v>
      </c>
      <c r="B242" s="6" t="n">
        <v>116</v>
      </c>
      <c r="C242" s="6" t="s">
        <v>1972</v>
      </c>
      <c r="D242" s="6" t="s">
        <v>1603</v>
      </c>
      <c r="E242" s="6" t="s">
        <v>1973</v>
      </c>
      <c r="F242" s="6" t="s">
        <v>1974</v>
      </c>
      <c r="G242" s="6" t="s">
        <v>1975</v>
      </c>
      <c r="H242" s="6" t="s">
        <v>1607</v>
      </c>
      <c r="I242" s="6"/>
      <c r="J242" s="6" t="n">
        <v>0.8</v>
      </c>
      <c r="K242" s="6" t="n">
        <v>1</v>
      </c>
      <c r="L242" s="6" t="n">
        <v>0.8</v>
      </c>
    </row>
    <row r="243" customFormat="false" ht="23.85" hidden="false" customHeight="false" outlineLevel="0" collapsed="false">
      <c r="A243" s="6" t="s">
        <v>2412</v>
      </c>
      <c r="B243" s="6" t="n">
        <v>117</v>
      </c>
      <c r="C243" s="6" t="s">
        <v>2413</v>
      </c>
      <c r="D243" s="6" t="s">
        <v>1603</v>
      </c>
      <c r="E243" s="6" t="s">
        <v>2414</v>
      </c>
      <c r="F243" s="6" t="s">
        <v>2415</v>
      </c>
      <c r="G243" s="6" t="s">
        <v>2416</v>
      </c>
      <c r="H243" s="6" t="s">
        <v>1607</v>
      </c>
      <c r="I243" s="6"/>
      <c r="J243" s="6" t="n">
        <v>0.8</v>
      </c>
      <c r="K243" s="6" t="n">
        <v>1</v>
      </c>
      <c r="L243" s="6" t="n">
        <v>0.8</v>
      </c>
    </row>
    <row r="244" customFormat="false" ht="23.85" hidden="false" customHeight="false" outlineLevel="0" collapsed="false">
      <c r="A244" s="6" t="s">
        <v>2417</v>
      </c>
      <c r="B244" s="6" t="n">
        <v>118</v>
      </c>
      <c r="C244" s="6" t="s">
        <v>2418</v>
      </c>
      <c r="D244" s="6" t="s">
        <v>1603</v>
      </c>
      <c r="E244" s="6" t="s">
        <v>2419</v>
      </c>
      <c r="F244" s="6" t="s">
        <v>2415</v>
      </c>
      <c r="G244" s="6" t="s">
        <v>2420</v>
      </c>
      <c r="H244" s="6" t="s">
        <v>1607</v>
      </c>
      <c r="I244" s="6"/>
      <c r="J244" s="6" t="n">
        <v>0.8</v>
      </c>
      <c r="K244" s="6" t="n">
        <v>1</v>
      </c>
      <c r="L244" s="6" t="n">
        <v>0.8</v>
      </c>
    </row>
    <row r="245" customFormat="false" ht="23.85" hidden="false" customHeight="false" outlineLevel="0" collapsed="false">
      <c r="A245" s="6" t="s">
        <v>2421</v>
      </c>
      <c r="B245" s="6" t="n">
        <v>119</v>
      </c>
      <c r="C245" s="6" t="s">
        <v>2422</v>
      </c>
      <c r="D245" s="6" t="s">
        <v>1986</v>
      </c>
      <c r="E245" s="6" t="s">
        <v>2423</v>
      </c>
      <c r="F245" s="6" t="s">
        <v>2415</v>
      </c>
      <c r="G245" s="6" t="s">
        <v>2424</v>
      </c>
      <c r="H245" s="6" t="s">
        <v>1607</v>
      </c>
      <c r="I245" s="6"/>
      <c r="J245" s="6" t="n">
        <v>0.8</v>
      </c>
      <c r="K245" s="6" t="n">
        <v>1</v>
      </c>
      <c r="L245" s="6" t="n">
        <v>0.8</v>
      </c>
    </row>
    <row r="246" customFormat="false" ht="15" hidden="false" customHeight="false" outlineLevel="0" collapsed="false">
      <c r="A246" s="6" t="s">
        <v>2425</v>
      </c>
      <c r="B246" s="6" t="n">
        <v>119</v>
      </c>
      <c r="C246" s="6" t="s">
        <v>2426</v>
      </c>
      <c r="D246" s="6" t="s">
        <v>1986</v>
      </c>
      <c r="E246" s="6" t="s">
        <v>2427</v>
      </c>
      <c r="F246" s="6" t="s">
        <v>2415</v>
      </c>
      <c r="G246" s="6" t="s">
        <v>2428</v>
      </c>
      <c r="H246" s="6" t="s">
        <v>1607</v>
      </c>
      <c r="I246" s="6"/>
      <c r="J246" s="6" t="n">
        <v>0.8</v>
      </c>
      <c r="K246" s="6" t="n">
        <v>1</v>
      </c>
      <c r="L246" s="6" t="n">
        <v>0.8</v>
      </c>
    </row>
    <row r="247" customFormat="false" ht="23.85" hidden="false" customHeight="false" outlineLevel="0" collapsed="false">
      <c r="A247" s="6" t="s">
        <v>2429</v>
      </c>
      <c r="B247" s="6" t="n">
        <v>120</v>
      </c>
      <c r="C247" s="6" t="s">
        <v>1981</v>
      </c>
      <c r="D247" s="6" t="s">
        <v>1603</v>
      </c>
      <c r="E247" s="6" t="s">
        <v>2430</v>
      </c>
      <c r="F247" s="6" t="s">
        <v>2415</v>
      </c>
      <c r="G247" s="6" t="s">
        <v>2431</v>
      </c>
      <c r="H247" s="6" t="s">
        <v>1607</v>
      </c>
      <c r="I247" s="6"/>
      <c r="J247" s="6" t="n">
        <v>0.8</v>
      </c>
      <c r="K247" s="6" t="n">
        <v>1</v>
      </c>
      <c r="L247" s="6" t="n">
        <v>0.8</v>
      </c>
    </row>
    <row r="248" customFormat="false" ht="35.05" hidden="false" customHeight="false" outlineLevel="0" collapsed="false">
      <c r="A248" s="6" t="s">
        <v>2432</v>
      </c>
      <c r="B248" s="6" t="n">
        <v>120</v>
      </c>
      <c r="C248" s="6" t="s">
        <v>2433</v>
      </c>
      <c r="D248" s="6" t="s">
        <v>1603</v>
      </c>
      <c r="E248" s="6" t="s">
        <v>2434</v>
      </c>
      <c r="F248" s="6" t="s">
        <v>2415</v>
      </c>
      <c r="G248" s="6" t="s">
        <v>2435</v>
      </c>
      <c r="H248" s="6" t="s">
        <v>1607</v>
      </c>
      <c r="I248" s="6"/>
      <c r="J248" s="6" t="n">
        <v>0.8</v>
      </c>
      <c r="K248" s="6" t="n">
        <v>1</v>
      </c>
      <c r="L248" s="6" t="n">
        <v>0.8</v>
      </c>
    </row>
    <row r="249" customFormat="false" ht="23.85" hidden="false" customHeight="false" outlineLevel="0" collapsed="false">
      <c r="A249" s="6" t="s">
        <v>2436</v>
      </c>
      <c r="B249" s="6" t="n">
        <v>120</v>
      </c>
      <c r="C249" s="6" t="s">
        <v>1981</v>
      </c>
      <c r="D249" s="6" t="s">
        <v>1603</v>
      </c>
      <c r="E249" s="6" t="s">
        <v>2437</v>
      </c>
      <c r="F249" s="6" t="s">
        <v>2438</v>
      </c>
      <c r="G249" s="6" t="s">
        <v>2439</v>
      </c>
      <c r="H249" s="6" t="s">
        <v>1607</v>
      </c>
      <c r="I249" s="6"/>
      <c r="J249" s="6" t="n">
        <v>0.8</v>
      </c>
      <c r="K249" s="6" t="n">
        <v>1</v>
      </c>
      <c r="L249" s="6" t="n">
        <v>0.8</v>
      </c>
    </row>
    <row r="250" customFormat="false" ht="23.85" hidden="false" customHeight="false" outlineLevel="0" collapsed="false">
      <c r="A250" s="6" t="s">
        <v>2440</v>
      </c>
      <c r="B250" s="6" t="n">
        <v>121</v>
      </c>
      <c r="C250" s="6" t="s">
        <v>1647</v>
      </c>
      <c r="D250" s="6" t="s">
        <v>1603</v>
      </c>
      <c r="E250" s="6" t="s">
        <v>2441</v>
      </c>
      <c r="F250" s="6" t="s">
        <v>2442</v>
      </c>
      <c r="G250" s="6" t="s">
        <v>2443</v>
      </c>
      <c r="H250" s="6" t="s">
        <v>1607</v>
      </c>
      <c r="I250" s="6"/>
      <c r="J250" s="6" t="n">
        <v>0.8</v>
      </c>
      <c r="K250" s="6" t="n">
        <v>1</v>
      </c>
      <c r="L250" s="6" t="n">
        <v>0.8</v>
      </c>
    </row>
    <row r="251" customFormat="false" ht="23.85" hidden="false" customHeight="false" outlineLevel="0" collapsed="false">
      <c r="A251" s="6" t="s">
        <v>2444</v>
      </c>
      <c r="B251" s="6" t="n">
        <v>121</v>
      </c>
      <c r="C251" s="6" t="s">
        <v>1981</v>
      </c>
      <c r="D251" s="6" t="s">
        <v>1603</v>
      </c>
      <c r="E251" s="6" t="s">
        <v>2437</v>
      </c>
      <c r="F251" s="6" t="s">
        <v>2438</v>
      </c>
      <c r="G251" s="6" t="s">
        <v>2439</v>
      </c>
      <c r="H251" s="6" t="s">
        <v>1607</v>
      </c>
      <c r="I251" s="6"/>
      <c r="J251" s="6" t="n">
        <v>0.8</v>
      </c>
      <c r="K251" s="6" t="n">
        <v>1</v>
      </c>
      <c r="L251" s="6" t="n">
        <v>0.8</v>
      </c>
    </row>
    <row r="252" customFormat="false" ht="23.85" hidden="false" customHeight="false" outlineLevel="0" collapsed="false">
      <c r="A252" s="6" t="s">
        <v>2445</v>
      </c>
      <c r="B252" s="6" t="n">
        <v>122</v>
      </c>
      <c r="C252" s="6" t="s">
        <v>1647</v>
      </c>
      <c r="D252" s="6" t="s">
        <v>1603</v>
      </c>
      <c r="E252" s="6" t="s">
        <v>2446</v>
      </c>
      <c r="F252" s="6" t="s">
        <v>2447</v>
      </c>
      <c r="G252" s="6" t="s">
        <v>2448</v>
      </c>
      <c r="H252" s="6" t="s">
        <v>1607</v>
      </c>
      <c r="I252" s="6"/>
      <c r="J252" s="6" t="n">
        <v>0.8</v>
      </c>
      <c r="K252" s="6" t="n">
        <v>1</v>
      </c>
      <c r="L252" s="6" t="n">
        <v>0.8</v>
      </c>
    </row>
    <row r="253" customFormat="false" ht="23.85" hidden="false" customHeight="false" outlineLevel="0" collapsed="false">
      <c r="A253" s="6" t="s">
        <v>2449</v>
      </c>
      <c r="B253" s="6" t="n">
        <v>122</v>
      </c>
      <c r="C253" s="6" t="s">
        <v>1647</v>
      </c>
      <c r="D253" s="6" t="s">
        <v>1603</v>
      </c>
      <c r="E253" s="6" t="s">
        <v>2450</v>
      </c>
      <c r="F253" s="6" t="s">
        <v>2447</v>
      </c>
      <c r="G253" s="6" t="s">
        <v>2451</v>
      </c>
      <c r="H253" s="6" t="s">
        <v>1607</v>
      </c>
      <c r="I253" s="6"/>
      <c r="J253" s="6" t="n">
        <v>0.8</v>
      </c>
      <c r="K253" s="6" t="n">
        <v>1</v>
      </c>
      <c r="L253" s="6" t="n">
        <v>0.8</v>
      </c>
    </row>
    <row r="254" customFormat="false" ht="23.85" hidden="false" customHeight="false" outlineLevel="0" collapsed="false">
      <c r="A254" s="6" t="s">
        <v>2452</v>
      </c>
      <c r="B254" s="6" t="n">
        <v>122</v>
      </c>
      <c r="C254" s="6" t="s">
        <v>1981</v>
      </c>
      <c r="D254" s="6" t="s">
        <v>1603</v>
      </c>
      <c r="E254" s="6" t="s">
        <v>2437</v>
      </c>
      <c r="F254" s="6" t="s">
        <v>2438</v>
      </c>
      <c r="G254" s="6" t="s">
        <v>2439</v>
      </c>
      <c r="H254" s="6" t="s">
        <v>1607</v>
      </c>
      <c r="I254" s="6"/>
      <c r="J254" s="6" t="n">
        <v>0.8</v>
      </c>
      <c r="K254" s="6" t="n">
        <v>1</v>
      </c>
      <c r="L254" s="6" t="n">
        <v>0.8</v>
      </c>
    </row>
    <row r="255" customFormat="false" ht="23.85" hidden="false" customHeight="false" outlineLevel="0" collapsed="false">
      <c r="A255" s="6" t="s">
        <v>2453</v>
      </c>
      <c r="B255" s="6" t="n">
        <v>123</v>
      </c>
      <c r="C255" s="6" t="s">
        <v>1647</v>
      </c>
      <c r="D255" s="6" t="s">
        <v>1603</v>
      </c>
      <c r="E255" s="6" t="s">
        <v>2446</v>
      </c>
      <c r="F255" s="6" t="s">
        <v>2447</v>
      </c>
      <c r="G255" s="6" t="s">
        <v>2448</v>
      </c>
      <c r="H255" s="6" t="s">
        <v>1607</v>
      </c>
      <c r="I255" s="6"/>
      <c r="J255" s="6" t="n">
        <v>0.8</v>
      </c>
      <c r="K255" s="6" t="n">
        <v>1</v>
      </c>
      <c r="L255" s="6" t="n">
        <v>0.8</v>
      </c>
    </row>
    <row r="256" customFormat="false" ht="23.85" hidden="false" customHeight="false" outlineLevel="0" collapsed="false">
      <c r="A256" s="6" t="s">
        <v>2454</v>
      </c>
      <c r="B256" s="6" t="n">
        <v>123</v>
      </c>
      <c r="C256" s="6" t="s">
        <v>1981</v>
      </c>
      <c r="D256" s="6" t="s">
        <v>1603</v>
      </c>
      <c r="E256" s="6" t="s">
        <v>2437</v>
      </c>
      <c r="F256" s="6" t="s">
        <v>2438</v>
      </c>
      <c r="G256" s="6" t="s">
        <v>2439</v>
      </c>
      <c r="H256" s="6" t="s">
        <v>1607</v>
      </c>
      <c r="I256" s="6"/>
      <c r="J256" s="6" t="n">
        <v>0.8</v>
      </c>
      <c r="K256" s="6" t="n">
        <v>1</v>
      </c>
      <c r="L256" s="6" t="n">
        <v>0.8</v>
      </c>
    </row>
    <row r="257" customFormat="false" ht="23.85" hidden="false" customHeight="false" outlineLevel="0" collapsed="false">
      <c r="A257" s="6" t="s">
        <v>2455</v>
      </c>
      <c r="B257" s="6" t="n">
        <v>124</v>
      </c>
      <c r="C257" s="6" t="s">
        <v>1647</v>
      </c>
      <c r="D257" s="6" t="s">
        <v>1603</v>
      </c>
      <c r="E257" s="6" t="s">
        <v>2450</v>
      </c>
      <c r="F257" s="6" t="s">
        <v>2447</v>
      </c>
      <c r="G257" s="6" t="s">
        <v>2451</v>
      </c>
      <c r="H257" s="6" t="s">
        <v>1607</v>
      </c>
      <c r="I257" s="6"/>
      <c r="J257" s="6" t="n">
        <v>0.8</v>
      </c>
      <c r="K257" s="6" t="n">
        <v>1</v>
      </c>
      <c r="L257" s="6" t="n">
        <v>0.8</v>
      </c>
    </row>
    <row r="258" customFormat="false" ht="23.85" hidden="false" customHeight="false" outlineLevel="0" collapsed="false">
      <c r="A258" s="6" t="s">
        <v>2456</v>
      </c>
      <c r="B258" s="6" t="n">
        <v>124</v>
      </c>
      <c r="C258" s="6" t="s">
        <v>1647</v>
      </c>
      <c r="D258" s="6" t="s">
        <v>1603</v>
      </c>
      <c r="E258" s="6" t="s">
        <v>2446</v>
      </c>
      <c r="F258" s="6" t="s">
        <v>2447</v>
      </c>
      <c r="G258" s="6" t="s">
        <v>2448</v>
      </c>
      <c r="H258" s="6" t="s">
        <v>1607</v>
      </c>
      <c r="I258" s="6"/>
      <c r="J258" s="6" t="n">
        <v>0.8</v>
      </c>
      <c r="K258" s="6" t="n">
        <v>1</v>
      </c>
      <c r="L258" s="6" t="n">
        <v>0.8</v>
      </c>
    </row>
    <row r="259" customFormat="false" ht="23.85" hidden="false" customHeight="false" outlineLevel="0" collapsed="false">
      <c r="A259" s="6" t="s">
        <v>2457</v>
      </c>
      <c r="B259" s="6" t="n">
        <v>124</v>
      </c>
      <c r="C259" s="6" t="s">
        <v>1981</v>
      </c>
      <c r="D259" s="6" t="s">
        <v>1603</v>
      </c>
      <c r="E259" s="6" t="s">
        <v>2437</v>
      </c>
      <c r="F259" s="6" t="s">
        <v>2438</v>
      </c>
      <c r="G259" s="6" t="s">
        <v>2439</v>
      </c>
      <c r="H259" s="6" t="s">
        <v>1607</v>
      </c>
      <c r="I259" s="6"/>
      <c r="J259" s="6" t="n">
        <v>0.8</v>
      </c>
      <c r="K259" s="6" t="n">
        <v>1</v>
      </c>
      <c r="L259" s="6" t="n">
        <v>0.8</v>
      </c>
    </row>
    <row r="260" customFormat="false" ht="23.85" hidden="false" customHeight="false" outlineLevel="0" collapsed="false">
      <c r="A260" s="6" t="s">
        <v>2458</v>
      </c>
      <c r="B260" s="6" t="n">
        <v>125</v>
      </c>
      <c r="C260" s="6" t="s">
        <v>1647</v>
      </c>
      <c r="D260" s="6" t="s">
        <v>1603</v>
      </c>
      <c r="E260" s="6" t="s">
        <v>2446</v>
      </c>
      <c r="F260" s="6" t="s">
        <v>2447</v>
      </c>
      <c r="G260" s="6" t="s">
        <v>2448</v>
      </c>
      <c r="H260" s="6" t="s">
        <v>1607</v>
      </c>
      <c r="I260" s="6"/>
      <c r="J260" s="6" t="n">
        <v>0.8</v>
      </c>
      <c r="K260" s="6" t="n">
        <v>1</v>
      </c>
      <c r="L260" s="6" t="n">
        <v>0.8</v>
      </c>
    </row>
    <row r="261" customFormat="false" ht="23.85" hidden="false" customHeight="false" outlineLevel="0" collapsed="false">
      <c r="A261" s="6" t="s">
        <v>2459</v>
      </c>
      <c r="B261" s="6" t="n">
        <v>125</v>
      </c>
      <c r="C261" s="6" t="s">
        <v>1981</v>
      </c>
      <c r="D261" s="6" t="s">
        <v>1603</v>
      </c>
      <c r="E261" s="6" t="s">
        <v>2437</v>
      </c>
      <c r="F261" s="6" t="s">
        <v>2438</v>
      </c>
      <c r="G261" s="6" t="s">
        <v>2439</v>
      </c>
      <c r="H261" s="6" t="s">
        <v>1607</v>
      </c>
      <c r="I261" s="6"/>
      <c r="J261" s="6" t="n">
        <v>0.8</v>
      </c>
      <c r="K261" s="6" t="n">
        <v>1</v>
      </c>
      <c r="L261" s="6" t="n">
        <v>0.8</v>
      </c>
    </row>
    <row r="262" customFormat="false" ht="23.85" hidden="false" customHeight="false" outlineLevel="0" collapsed="false">
      <c r="A262" s="6" t="s">
        <v>2460</v>
      </c>
      <c r="B262" s="6" t="n">
        <v>126</v>
      </c>
      <c r="C262" s="6" t="s">
        <v>1981</v>
      </c>
      <c r="D262" s="6" t="s">
        <v>1603</v>
      </c>
      <c r="E262" s="6" t="s">
        <v>2437</v>
      </c>
      <c r="F262" s="6" t="s">
        <v>2438</v>
      </c>
      <c r="G262" s="6" t="s">
        <v>2439</v>
      </c>
      <c r="H262" s="6" t="s">
        <v>1607</v>
      </c>
      <c r="I262" s="6"/>
      <c r="J262" s="6" t="n">
        <v>0.8</v>
      </c>
      <c r="K262" s="6" t="n">
        <v>1</v>
      </c>
      <c r="L262" s="6" t="n">
        <v>0.8</v>
      </c>
    </row>
    <row r="263" customFormat="false" ht="23.85" hidden="false" customHeight="false" outlineLevel="0" collapsed="false">
      <c r="A263" s="6" t="s">
        <v>2461</v>
      </c>
      <c r="B263" s="6" t="n">
        <v>127</v>
      </c>
      <c r="C263" s="6" t="s">
        <v>1981</v>
      </c>
      <c r="D263" s="6" t="s">
        <v>1603</v>
      </c>
      <c r="E263" s="6" t="s">
        <v>2437</v>
      </c>
      <c r="F263" s="6" t="s">
        <v>2438</v>
      </c>
      <c r="G263" s="6" t="s">
        <v>2439</v>
      </c>
      <c r="H263" s="6" t="s">
        <v>1607</v>
      </c>
      <c r="I263" s="6"/>
      <c r="J263" s="6" t="n">
        <v>0.8</v>
      </c>
      <c r="K263" s="6" t="n">
        <v>1</v>
      </c>
      <c r="L263" s="6" t="n">
        <v>0.8</v>
      </c>
    </row>
    <row r="264" customFormat="false" ht="23.85" hidden="false" customHeight="false" outlineLevel="0" collapsed="false">
      <c r="A264" s="6" t="s">
        <v>2462</v>
      </c>
      <c r="B264" s="6" t="n">
        <v>128</v>
      </c>
      <c r="C264" s="6" t="s">
        <v>1647</v>
      </c>
      <c r="D264" s="6" t="s">
        <v>1603</v>
      </c>
      <c r="E264" s="6" t="s">
        <v>2446</v>
      </c>
      <c r="F264" s="6" t="s">
        <v>2447</v>
      </c>
      <c r="G264" s="6" t="s">
        <v>2448</v>
      </c>
      <c r="H264" s="6" t="s">
        <v>1607</v>
      </c>
      <c r="I264" s="6"/>
      <c r="J264" s="6" t="n">
        <v>0.8</v>
      </c>
      <c r="K264" s="6" t="n">
        <v>1</v>
      </c>
      <c r="L264" s="6" t="n">
        <v>0.8</v>
      </c>
    </row>
    <row r="265" customFormat="false" ht="23.85" hidden="false" customHeight="false" outlineLevel="0" collapsed="false">
      <c r="A265" s="6" t="s">
        <v>2463</v>
      </c>
      <c r="B265" s="6" t="n">
        <v>128</v>
      </c>
      <c r="C265" s="6" t="s">
        <v>2464</v>
      </c>
      <c r="D265" s="6" t="s">
        <v>1603</v>
      </c>
      <c r="E265" s="6" t="s">
        <v>2465</v>
      </c>
      <c r="F265" s="6" t="s">
        <v>2438</v>
      </c>
      <c r="G265" s="6" t="s">
        <v>2466</v>
      </c>
      <c r="H265" s="6" t="s">
        <v>1607</v>
      </c>
      <c r="I265" s="6"/>
      <c r="J265" s="6" t="n">
        <v>0.8</v>
      </c>
      <c r="K265" s="6" t="n">
        <v>1</v>
      </c>
      <c r="L265" s="6" t="n">
        <v>0.8</v>
      </c>
    </row>
    <row r="266" customFormat="false" ht="23.85" hidden="false" customHeight="false" outlineLevel="0" collapsed="false">
      <c r="A266" s="6" t="s">
        <v>2467</v>
      </c>
      <c r="B266" s="6" t="n">
        <v>201</v>
      </c>
      <c r="C266" s="6" t="s">
        <v>1647</v>
      </c>
      <c r="D266" s="6" t="s">
        <v>1603</v>
      </c>
      <c r="E266" s="6" t="s">
        <v>2468</v>
      </c>
      <c r="F266" s="6" t="s">
        <v>2469</v>
      </c>
      <c r="G266" s="6" t="s">
        <v>2470</v>
      </c>
      <c r="H266" s="6" t="s">
        <v>1701</v>
      </c>
      <c r="I266" s="6"/>
      <c r="J266" s="6" t="n">
        <v>0.8</v>
      </c>
      <c r="K266" s="6" t="n">
        <v>0.8</v>
      </c>
      <c r="L266" s="6" t="n">
        <v>0.64</v>
      </c>
    </row>
    <row r="267" customFormat="false" ht="23.85" hidden="false" customHeight="false" outlineLevel="0" collapsed="false">
      <c r="A267" s="6" t="s">
        <v>2471</v>
      </c>
      <c r="B267" s="6" t="n">
        <v>202</v>
      </c>
      <c r="C267" s="6" t="s">
        <v>2472</v>
      </c>
      <c r="D267" s="6" t="s">
        <v>1603</v>
      </c>
      <c r="E267" s="6" t="s">
        <v>2473</v>
      </c>
      <c r="F267" s="6" t="s">
        <v>2474</v>
      </c>
      <c r="G267" s="6" t="s">
        <v>2475</v>
      </c>
      <c r="H267" s="6" t="s">
        <v>1701</v>
      </c>
      <c r="I267" s="6"/>
      <c r="J267" s="6" t="n">
        <v>0.8</v>
      </c>
      <c r="K267" s="6" t="n">
        <v>0.8</v>
      </c>
      <c r="L267" s="6" t="n">
        <v>0.64</v>
      </c>
    </row>
    <row r="268" customFormat="false" ht="23.85" hidden="false" customHeight="false" outlineLevel="0" collapsed="false">
      <c r="A268" s="6" t="s">
        <v>2476</v>
      </c>
      <c r="B268" s="6" t="n">
        <v>202</v>
      </c>
      <c r="C268" s="6" t="s">
        <v>1647</v>
      </c>
      <c r="D268" s="6" t="s">
        <v>1603</v>
      </c>
      <c r="E268" s="6" t="s">
        <v>2477</v>
      </c>
      <c r="F268" s="6" t="s">
        <v>2478</v>
      </c>
      <c r="G268" s="6" t="s">
        <v>2479</v>
      </c>
      <c r="H268" s="6" t="s">
        <v>1701</v>
      </c>
      <c r="I268" s="6"/>
      <c r="J268" s="6" t="n">
        <v>0.8</v>
      </c>
      <c r="K268" s="6" t="n">
        <v>0.8</v>
      </c>
      <c r="L268" s="6" t="n">
        <v>0.64</v>
      </c>
    </row>
    <row r="269" customFormat="false" ht="23.85" hidden="false" customHeight="false" outlineLevel="0" collapsed="false">
      <c r="A269" s="6" t="s">
        <v>2480</v>
      </c>
      <c r="B269" s="6" t="n">
        <v>203</v>
      </c>
      <c r="C269" s="6" t="s">
        <v>2481</v>
      </c>
      <c r="D269" s="6" t="s">
        <v>1603</v>
      </c>
      <c r="E269" s="6" t="s">
        <v>2482</v>
      </c>
      <c r="F269" s="6" t="s">
        <v>2483</v>
      </c>
      <c r="G269" s="6" t="s">
        <v>2484</v>
      </c>
      <c r="H269" s="6" t="s">
        <v>1701</v>
      </c>
      <c r="I269" s="6"/>
      <c r="J269" s="6" t="n">
        <v>0.8</v>
      </c>
      <c r="K269" s="6" t="n">
        <v>0.8</v>
      </c>
      <c r="L269" s="6" t="n">
        <v>0.64</v>
      </c>
    </row>
    <row r="270" customFormat="false" ht="23.85" hidden="false" customHeight="false" outlineLevel="0" collapsed="false">
      <c r="A270" s="6" t="s">
        <v>2485</v>
      </c>
      <c r="B270" s="6" t="n">
        <v>203</v>
      </c>
      <c r="C270" s="6" t="s">
        <v>1647</v>
      </c>
      <c r="D270" s="6" t="s">
        <v>1603</v>
      </c>
      <c r="E270" s="6" t="s">
        <v>2486</v>
      </c>
      <c r="F270" s="6" t="s">
        <v>2487</v>
      </c>
      <c r="G270" s="6" t="s">
        <v>2488</v>
      </c>
      <c r="H270" s="6" t="s">
        <v>1701</v>
      </c>
      <c r="I270" s="6"/>
      <c r="J270" s="6" t="n">
        <v>0.8</v>
      </c>
      <c r="K270" s="6" t="n">
        <v>0.8</v>
      </c>
      <c r="L270" s="6" t="n">
        <v>0.64</v>
      </c>
    </row>
    <row r="271" customFormat="false" ht="23.85" hidden="false" customHeight="false" outlineLevel="0" collapsed="false">
      <c r="A271" s="6" t="s">
        <v>2489</v>
      </c>
      <c r="B271" s="6" t="n">
        <v>204</v>
      </c>
      <c r="C271" s="6" t="s">
        <v>1981</v>
      </c>
      <c r="D271" s="6" t="s">
        <v>1603</v>
      </c>
      <c r="E271" s="6" t="s">
        <v>2490</v>
      </c>
      <c r="F271" s="6" t="s">
        <v>2491</v>
      </c>
      <c r="G271" s="6" t="s">
        <v>2492</v>
      </c>
      <c r="H271" s="6" t="s">
        <v>1701</v>
      </c>
      <c r="I271" s="6"/>
      <c r="J271" s="6" t="n">
        <v>0.8</v>
      </c>
      <c r="K271" s="6" t="n">
        <v>0.8</v>
      </c>
      <c r="L271" s="6" t="n">
        <v>0.64</v>
      </c>
    </row>
    <row r="272" customFormat="false" ht="23.85" hidden="false" customHeight="false" outlineLevel="0" collapsed="false">
      <c r="A272" s="6" t="s">
        <v>2493</v>
      </c>
      <c r="B272" s="6" t="n">
        <v>204</v>
      </c>
      <c r="C272" s="6" t="s">
        <v>1720</v>
      </c>
      <c r="D272" s="6" t="s">
        <v>1603</v>
      </c>
      <c r="E272" s="6" t="s">
        <v>2494</v>
      </c>
      <c r="F272" s="6" t="s">
        <v>2491</v>
      </c>
      <c r="G272" s="6" t="s">
        <v>2495</v>
      </c>
      <c r="H272" s="6" t="s">
        <v>1701</v>
      </c>
      <c r="I272" s="6"/>
      <c r="J272" s="6" t="n">
        <v>0.8</v>
      </c>
      <c r="K272" s="6" t="n">
        <v>0.8</v>
      </c>
      <c r="L272" s="6" t="n">
        <v>0.64</v>
      </c>
    </row>
    <row r="273" customFormat="false" ht="23.85" hidden="false" customHeight="false" outlineLevel="0" collapsed="false">
      <c r="A273" s="6" t="s">
        <v>2496</v>
      </c>
      <c r="B273" s="6" t="n">
        <v>205</v>
      </c>
      <c r="C273" s="6" t="s">
        <v>1647</v>
      </c>
      <c r="D273" s="6" t="s">
        <v>1603</v>
      </c>
      <c r="E273" s="6" t="s">
        <v>2497</v>
      </c>
      <c r="F273" s="6" t="s">
        <v>2498</v>
      </c>
      <c r="G273" s="6" t="s">
        <v>2499</v>
      </c>
      <c r="H273" s="6" t="s">
        <v>1701</v>
      </c>
      <c r="I273" s="6"/>
      <c r="J273" s="6" t="n">
        <v>0.8</v>
      </c>
      <c r="K273" s="6" t="n">
        <v>0.8</v>
      </c>
      <c r="L273" s="6" t="n">
        <v>0.64</v>
      </c>
    </row>
    <row r="274" customFormat="false" ht="23.85" hidden="false" customHeight="false" outlineLevel="0" collapsed="false">
      <c r="A274" s="6" t="s">
        <v>2500</v>
      </c>
      <c r="B274" s="6" t="n">
        <v>205</v>
      </c>
      <c r="C274" s="6" t="s">
        <v>1651</v>
      </c>
      <c r="D274" s="6" t="s">
        <v>1603</v>
      </c>
      <c r="E274" s="6" t="s">
        <v>2501</v>
      </c>
      <c r="F274" s="6" t="s">
        <v>2498</v>
      </c>
      <c r="G274" s="6" t="s">
        <v>2502</v>
      </c>
      <c r="H274" s="6" t="s">
        <v>1701</v>
      </c>
      <c r="I274" s="6"/>
      <c r="J274" s="6" t="n">
        <v>0.8</v>
      </c>
      <c r="K274" s="6" t="n">
        <v>0.8</v>
      </c>
      <c r="L274" s="6" t="n">
        <v>0.64</v>
      </c>
    </row>
    <row r="275" customFormat="false" ht="23.85" hidden="false" customHeight="false" outlineLevel="0" collapsed="false">
      <c r="A275" s="6" t="s">
        <v>2503</v>
      </c>
      <c r="B275" s="6" t="n">
        <v>206</v>
      </c>
      <c r="C275" s="6" t="s">
        <v>2504</v>
      </c>
      <c r="D275" s="6" t="s">
        <v>1603</v>
      </c>
      <c r="E275" s="6" t="s">
        <v>2505</v>
      </c>
      <c r="F275" s="6" t="s">
        <v>2506</v>
      </c>
      <c r="G275" s="6" t="s">
        <v>2507</v>
      </c>
      <c r="H275" s="6" t="s">
        <v>1701</v>
      </c>
      <c r="I275" s="6"/>
      <c r="J275" s="6" t="n">
        <v>0.8</v>
      </c>
      <c r="K275" s="6" t="n">
        <v>0.8</v>
      </c>
      <c r="L275" s="6" t="n">
        <v>0.64</v>
      </c>
    </row>
    <row r="276" customFormat="false" ht="23.85" hidden="false" customHeight="false" outlineLevel="0" collapsed="false">
      <c r="A276" s="6" t="s">
        <v>2508</v>
      </c>
      <c r="B276" s="6" t="n">
        <v>207</v>
      </c>
      <c r="C276" s="6" t="s">
        <v>1647</v>
      </c>
      <c r="D276" s="6" t="s">
        <v>1603</v>
      </c>
      <c r="E276" s="6" t="s">
        <v>2509</v>
      </c>
      <c r="F276" s="6" t="s">
        <v>2510</v>
      </c>
      <c r="G276" s="6" t="s">
        <v>2511</v>
      </c>
      <c r="H276" s="6" t="s">
        <v>1701</v>
      </c>
      <c r="I276" s="6"/>
      <c r="J276" s="6" t="n">
        <v>0.8</v>
      </c>
      <c r="K276" s="6" t="n">
        <v>0.8</v>
      </c>
      <c r="L276" s="6" t="n">
        <v>0.64</v>
      </c>
    </row>
    <row r="277" customFormat="false" ht="15" hidden="false" customHeight="false" outlineLevel="0" collapsed="false">
      <c r="A277" s="6" t="s">
        <v>2512</v>
      </c>
      <c r="B277" s="6" t="n">
        <v>207</v>
      </c>
      <c r="C277" s="6" t="s">
        <v>1633</v>
      </c>
      <c r="D277" s="6" t="s">
        <v>1603</v>
      </c>
      <c r="E277" s="6" t="s">
        <v>2513</v>
      </c>
      <c r="F277" s="6" t="s">
        <v>2510</v>
      </c>
      <c r="G277" s="6" t="s">
        <v>2514</v>
      </c>
      <c r="H277" s="6" t="s">
        <v>1701</v>
      </c>
      <c r="I277" s="6"/>
      <c r="J277" s="6" t="n">
        <v>0.8</v>
      </c>
      <c r="K277" s="6" t="n">
        <v>0.8</v>
      </c>
      <c r="L277" s="6" t="n">
        <v>0.64</v>
      </c>
    </row>
    <row r="278" customFormat="false" ht="23.85" hidden="false" customHeight="false" outlineLevel="0" collapsed="false">
      <c r="A278" s="6" t="s">
        <v>2515</v>
      </c>
      <c r="B278" s="6" t="n">
        <v>208</v>
      </c>
      <c r="C278" s="6" t="s">
        <v>2516</v>
      </c>
      <c r="D278" s="6" t="s">
        <v>1603</v>
      </c>
      <c r="E278" s="6" t="s">
        <v>2517</v>
      </c>
      <c r="F278" s="6" t="s">
        <v>2518</v>
      </c>
      <c r="G278" s="6" t="s">
        <v>2519</v>
      </c>
      <c r="H278" s="6" t="s">
        <v>1701</v>
      </c>
      <c r="I278" s="6"/>
      <c r="J278" s="6" t="n">
        <v>0.8</v>
      </c>
      <c r="K278" s="6" t="n">
        <v>0.8</v>
      </c>
      <c r="L278" s="6" t="n">
        <v>0.64</v>
      </c>
    </row>
    <row r="279" customFormat="false" ht="23.85" hidden="false" customHeight="false" outlineLevel="0" collapsed="false">
      <c r="A279" s="6" t="s">
        <v>2520</v>
      </c>
      <c r="B279" s="6" t="n">
        <v>208</v>
      </c>
      <c r="C279" s="6" t="s">
        <v>1647</v>
      </c>
      <c r="D279" s="6" t="s">
        <v>1603</v>
      </c>
      <c r="E279" s="6" t="s">
        <v>2521</v>
      </c>
      <c r="F279" s="6" t="s">
        <v>2522</v>
      </c>
      <c r="G279" s="6" t="s">
        <v>2523</v>
      </c>
      <c r="H279" s="6" t="s">
        <v>1701</v>
      </c>
      <c r="I279" s="6"/>
      <c r="J279" s="6" t="n">
        <v>0.8</v>
      </c>
      <c r="K279" s="6" t="n">
        <v>0.8</v>
      </c>
      <c r="L279" s="6" t="n">
        <v>0.64</v>
      </c>
    </row>
    <row r="280" customFormat="false" ht="23.85" hidden="false" customHeight="false" outlineLevel="0" collapsed="false">
      <c r="A280" s="6" t="s">
        <v>2524</v>
      </c>
      <c r="B280" s="6" t="n">
        <v>209</v>
      </c>
      <c r="C280" s="6" t="s">
        <v>1981</v>
      </c>
      <c r="D280" s="6" t="s">
        <v>1603</v>
      </c>
      <c r="E280" s="6" t="s">
        <v>2525</v>
      </c>
      <c r="F280" s="6" t="s">
        <v>2526</v>
      </c>
      <c r="G280" s="6" t="s">
        <v>2527</v>
      </c>
      <c r="H280" s="6" t="s">
        <v>1701</v>
      </c>
      <c r="I280" s="6"/>
      <c r="J280" s="6" t="n">
        <v>0.8</v>
      </c>
      <c r="K280" s="6" t="n">
        <v>0.8</v>
      </c>
      <c r="L280" s="6" t="n">
        <v>0.64</v>
      </c>
    </row>
    <row r="281" customFormat="false" ht="23.85" hidden="false" customHeight="false" outlineLevel="0" collapsed="false">
      <c r="A281" s="6" t="s">
        <v>2528</v>
      </c>
      <c r="B281" s="6" t="n">
        <v>209</v>
      </c>
      <c r="C281" s="6" t="s">
        <v>1651</v>
      </c>
      <c r="D281" s="6" t="s">
        <v>1603</v>
      </c>
      <c r="E281" s="6" t="s">
        <v>2529</v>
      </c>
      <c r="F281" s="6" t="s">
        <v>2526</v>
      </c>
      <c r="G281" s="6" t="s">
        <v>2530</v>
      </c>
      <c r="H281" s="6" t="s">
        <v>1701</v>
      </c>
      <c r="I281" s="6"/>
      <c r="J281" s="6" t="n">
        <v>0.8</v>
      </c>
      <c r="K281" s="6" t="n">
        <v>0.8</v>
      </c>
      <c r="L281" s="6" t="n">
        <v>0.64</v>
      </c>
    </row>
    <row r="282" customFormat="false" ht="23.85" hidden="false" customHeight="false" outlineLevel="0" collapsed="false">
      <c r="A282" s="6" t="s">
        <v>2531</v>
      </c>
      <c r="B282" s="6" t="n">
        <v>210</v>
      </c>
      <c r="C282" s="6" t="s">
        <v>1647</v>
      </c>
      <c r="D282" s="6" t="s">
        <v>1603</v>
      </c>
      <c r="E282" s="6" t="s">
        <v>2532</v>
      </c>
      <c r="F282" s="6" t="s">
        <v>2533</v>
      </c>
      <c r="G282" s="6" t="s">
        <v>2534</v>
      </c>
      <c r="H282" s="6" t="s">
        <v>1701</v>
      </c>
      <c r="I282" s="6"/>
      <c r="J282" s="6" t="n">
        <v>0.8</v>
      </c>
      <c r="K282" s="6" t="n">
        <v>0.8</v>
      </c>
      <c r="L282" s="6" t="n">
        <v>0.64</v>
      </c>
    </row>
    <row r="283" customFormat="false" ht="15" hidden="false" customHeight="false" outlineLevel="0" collapsed="false">
      <c r="A283" s="6" t="s">
        <v>2535</v>
      </c>
      <c r="B283" s="6" t="n">
        <v>211</v>
      </c>
      <c r="C283" s="6" t="s">
        <v>1771</v>
      </c>
      <c r="D283" s="6" t="s">
        <v>1603</v>
      </c>
      <c r="E283" s="6" t="s">
        <v>2536</v>
      </c>
      <c r="F283" s="6" t="s">
        <v>2533</v>
      </c>
      <c r="G283" s="6" t="s">
        <v>2537</v>
      </c>
      <c r="H283" s="6" t="s">
        <v>1701</v>
      </c>
      <c r="I283" s="6"/>
      <c r="J283" s="6" t="n">
        <v>0.8</v>
      </c>
      <c r="K283" s="6" t="n">
        <v>0.8</v>
      </c>
      <c r="L283" s="6" t="n">
        <v>0.64</v>
      </c>
    </row>
    <row r="284" customFormat="false" ht="23.85" hidden="false" customHeight="false" outlineLevel="0" collapsed="false">
      <c r="A284" s="6" t="s">
        <v>2538</v>
      </c>
      <c r="B284" s="6" t="n">
        <v>211</v>
      </c>
      <c r="C284" s="6" t="s">
        <v>2030</v>
      </c>
      <c r="D284" s="6" t="s">
        <v>1603</v>
      </c>
      <c r="E284" s="6" t="s">
        <v>2539</v>
      </c>
      <c r="F284" s="6" t="s">
        <v>2533</v>
      </c>
      <c r="G284" s="6" t="s">
        <v>2540</v>
      </c>
      <c r="H284" s="6" t="s">
        <v>1701</v>
      </c>
      <c r="I284" s="6"/>
      <c r="J284" s="6" t="n">
        <v>0.8</v>
      </c>
      <c r="K284" s="6" t="n">
        <v>0.8</v>
      </c>
      <c r="L284" s="6" t="n">
        <v>0.64</v>
      </c>
    </row>
    <row r="285" customFormat="false" ht="23.85" hidden="false" customHeight="false" outlineLevel="0" collapsed="false">
      <c r="A285" s="6" t="s">
        <v>2541</v>
      </c>
      <c r="B285" s="6" t="n">
        <v>212</v>
      </c>
      <c r="C285" s="6" t="s">
        <v>1647</v>
      </c>
      <c r="D285" s="6" t="s">
        <v>1603</v>
      </c>
      <c r="E285" s="6" t="s">
        <v>2542</v>
      </c>
      <c r="F285" s="6" t="s">
        <v>2543</v>
      </c>
      <c r="G285" s="6" t="s">
        <v>2544</v>
      </c>
      <c r="H285" s="6" t="s">
        <v>1701</v>
      </c>
      <c r="I285" s="6"/>
      <c r="J285" s="6" t="n">
        <v>0.8</v>
      </c>
      <c r="K285" s="6" t="n">
        <v>0.8</v>
      </c>
      <c r="L285" s="6" t="n">
        <v>0.64</v>
      </c>
    </row>
    <row r="286" customFormat="false" ht="23.85" hidden="false" customHeight="false" outlineLevel="0" collapsed="false">
      <c r="A286" s="6" t="s">
        <v>2545</v>
      </c>
      <c r="B286" s="6" t="n">
        <v>212</v>
      </c>
      <c r="C286" s="6" t="s">
        <v>1629</v>
      </c>
      <c r="D286" s="6" t="s">
        <v>1603</v>
      </c>
      <c r="E286" s="6" t="s">
        <v>2546</v>
      </c>
      <c r="F286" s="6" t="s">
        <v>2543</v>
      </c>
      <c r="G286" s="6" t="s">
        <v>2547</v>
      </c>
      <c r="H286" s="6" t="s">
        <v>1701</v>
      </c>
      <c r="I286" s="6"/>
      <c r="J286" s="6" t="n">
        <v>0.8</v>
      </c>
      <c r="K286" s="6" t="n">
        <v>0.8</v>
      </c>
      <c r="L286" s="6" t="n">
        <v>0.64</v>
      </c>
    </row>
    <row r="287" customFormat="false" ht="23.85" hidden="false" customHeight="false" outlineLevel="0" collapsed="false">
      <c r="A287" s="6" t="s">
        <v>2548</v>
      </c>
      <c r="B287" s="6" t="n">
        <v>213</v>
      </c>
      <c r="C287" s="6" t="s">
        <v>1647</v>
      </c>
      <c r="D287" s="6" t="s">
        <v>1603</v>
      </c>
      <c r="E287" s="6" t="s">
        <v>2542</v>
      </c>
      <c r="F287" s="6" t="s">
        <v>2543</v>
      </c>
      <c r="G287" s="6" t="s">
        <v>2544</v>
      </c>
      <c r="H287" s="6" t="s">
        <v>1701</v>
      </c>
      <c r="I287" s="6"/>
      <c r="J287" s="6" t="n">
        <v>0.8</v>
      </c>
      <c r="K287" s="6" t="n">
        <v>0.8</v>
      </c>
      <c r="L287" s="6" t="n">
        <v>0.64</v>
      </c>
    </row>
    <row r="288" customFormat="false" ht="23.85" hidden="false" customHeight="false" outlineLevel="0" collapsed="false">
      <c r="A288" s="6" t="s">
        <v>2549</v>
      </c>
      <c r="B288" s="6" t="n">
        <v>213</v>
      </c>
      <c r="C288" s="6" t="s">
        <v>1629</v>
      </c>
      <c r="D288" s="6" t="s">
        <v>1603</v>
      </c>
      <c r="E288" s="6" t="s">
        <v>2546</v>
      </c>
      <c r="F288" s="6" t="s">
        <v>2543</v>
      </c>
      <c r="G288" s="6" t="s">
        <v>2547</v>
      </c>
      <c r="H288" s="6" t="s">
        <v>1701</v>
      </c>
      <c r="I288" s="6"/>
      <c r="J288" s="6" t="n">
        <v>0.8</v>
      </c>
      <c r="K288" s="6" t="n">
        <v>0.8</v>
      </c>
      <c r="L288" s="6" t="n">
        <v>0.64</v>
      </c>
    </row>
    <row r="289" customFormat="false" ht="23.85" hidden="false" customHeight="false" outlineLevel="0" collapsed="false">
      <c r="A289" s="6" t="s">
        <v>2550</v>
      </c>
      <c r="B289" s="6" t="n">
        <v>214</v>
      </c>
      <c r="C289" s="6" t="s">
        <v>2551</v>
      </c>
      <c r="D289" s="6" t="s">
        <v>1603</v>
      </c>
      <c r="E289" s="6" t="s">
        <v>2552</v>
      </c>
      <c r="F289" s="6" t="s">
        <v>2553</v>
      </c>
      <c r="G289" s="6" t="s">
        <v>2554</v>
      </c>
      <c r="H289" s="6" t="s">
        <v>1701</v>
      </c>
      <c r="I289" s="6"/>
      <c r="J289" s="6" t="n">
        <v>0.8</v>
      </c>
      <c r="K289" s="6" t="n">
        <v>0.8</v>
      </c>
      <c r="L289" s="6" t="n">
        <v>0.64</v>
      </c>
    </row>
    <row r="290" customFormat="false" ht="23.85" hidden="false" customHeight="false" outlineLevel="0" collapsed="false">
      <c r="A290" s="6" t="s">
        <v>2555</v>
      </c>
      <c r="B290" s="6" t="n">
        <v>215</v>
      </c>
      <c r="C290" s="6" t="s">
        <v>2556</v>
      </c>
      <c r="D290" s="6" t="s">
        <v>1603</v>
      </c>
      <c r="E290" s="6" t="s">
        <v>2557</v>
      </c>
      <c r="F290" s="6" t="s">
        <v>2558</v>
      </c>
      <c r="G290" s="6" t="s">
        <v>2559</v>
      </c>
      <c r="H290" s="6" t="s">
        <v>1701</v>
      </c>
      <c r="I290" s="6"/>
      <c r="J290" s="6" t="n">
        <v>0.8</v>
      </c>
      <c r="K290" s="6" t="n">
        <v>0.8</v>
      </c>
      <c r="L290" s="6" t="n">
        <v>0.64</v>
      </c>
    </row>
    <row r="291" customFormat="false" ht="23.85" hidden="false" customHeight="false" outlineLevel="0" collapsed="false">
      <c r="A291" s="6" t="s">
        <v>2560</v>
      </c>
      <c r="B291" s="6" t="n">
        <v>215</v>
      </c>
      <c r="C291" s="6" t="s">
        <v>1647</v>
      </c>
      <c r="D291" s="6" t="s">
        <v>1603</v>
      </c>
      <c r="E291" s="6" t="s">
        <v>2561</v>
      </c>
      <c r="F291" s="6" t="s">
        <v>2558</v>
      </c>
      <c r="G291" s="6" t="s">
        <v>2562</v>
      </c>
      <c r="H291" s="6" t="s">
        <v>1701</v>
      </c>
      <c r="I291" s="6"/>
      <c r="J291" s="6" t="n">
        <v>0.8</v>
      </c>
      <c r="K291" s="6" t="n">
        <v>0.8</v>
      </c>
      <c r="L291" s="6" t="n">
        <v>0.64</v>
      </c>
    </row>
    <row r="292" customFormat="false" ht="23.85" hidden="false" customHeight="false" outlineLevel="0" collapsed="false">
      <c r="A292" s="6" t="s">
        <v>2563</v>
      </c>
      <c r="B292" s="6" t="n">
        <v>216</v>
      </c>
      <c r="C292" s="6" t="s">
        <v>1720</v>
      </c>
      <c r="D292" s="6" t="s">
        <v>1603</v>
      </c>
      <c r="E292" s="6" t="s">
        <v>2564</v>
      </c>
      <c r="F292" s="6" t="s">
        <v>2565</v>
      </c>
      <c r="G292" s="6" t="s">
        <v>2566</v>
      </c>
      <c r="H292" s="6" t="s">
        <v>1701</v>
      </c>
      <c r="I292" s="6"/>
      <c r="J292" s="6" t="n">
        <v>0.8</v>
      </c>
      <c r="K292" s="6" t="n">
        <v>0.8</v>
      </c>
      <c r="L292" s="6" t="n">
        <v>0.64</v>
      </c>
    </row>
    <row r="293" customFormat="false" ht="23.85" hidden="false" customHeight="false" outlineLevel="0" collapsed="false">
      <c r="A293" s="6" t="s">
        <v>2567</v>
      </c>
      <c r="B293" s="6" t="n">
        <v>216</v>
      </c>
      <c r="C293" s="6" t="s">
        <v>1647</v>
      </c>
      <c r="D293" s="6" t="s">
        <v>1603</v>
      </c>
      <c r="E293" s="6" t="s">
        <v>2568</v>
      </c>
      <c r="F293" s="6" t="s">
        <v>2569</v>
      </c>
      <c r="G293" s="6" t="s">
        <v>2570</v>
      </c>
      <c r="H293" s="6" t="s">
        <v>1701</v>
      </c>
      <c r="I293" s="6"/>
      <c r="J293" s="6" t="n">
        <v>0.8</v>
      </c>
      <c r="K293" s="6" t="n">
        <v>0.8</v>
      </c>
      <c r="L293" s="6" t="n">
        <v>0.64</v>
      </c>
    </row>
    <row r="294" customFormat="false" ht="23.85" hidden="false" customHeight="false" outlineLevel="0" collapsed="false">
      <c r="A294" s="6" t="s">
        <v>2571</v>
      </c>
      <c r="B294" s="6" t="n">
        <v>217</v>
      </c>
      <c r="C294" s="6" t="s">
        <v>2572</v>
      </c>
      <c r="D294" s="6" t="s">
        <v>1603</v>
      </c>
      <c r="E294" s="6" t="s">
        <v>2573</v>
      </c>
      <c r="F294" s="6" t="s">
        <v>2574</v>
      </c>
      <c r="G294" s="6" t="s">
        <v>2575</v>
      </c>
      <c r="H294" s="6" t="s">
        <v>1701</v>
      </c>
      <c r="I294" s="6"/>
      <c r="J294" s="6" t="n">
        <v>0.8</v>
      </c>
      <c r="K294" s="6" t="n">
        <v>0.8</v>
      </c>
      <c r="L294" s="6" t="n">
        <v>0.64</v>
      </c>
    </row>
    <row r="295" customFormat="false" ht="23.85" hidden="false" customHeight="false" outlineLevel="0" collapsed="false">
      <c r="A295" s="6" t="s">
        <v>2576</v>
      </c>
      <c r="B295" s="6" t="n">
        <v>218</v>
      </c>
      <c r="C295" s="6" t="s">
        <v>1715</v>
      </c>
      <c r="D295" s="6" t="s">
        <v>1603</v>
      </c>
      <c r="E295" s="6" t="s">
        <v>2577</v>
      </c>
      <c r="F295" s="6" t="s">
        <v>2578</v>
      </c>
      <c r="G295" s="6" t="s">
        <v>2579</v>
      </c>
      <c r="H295" s="6" t="s">
        <v>1701</v>
      </c>
      <c r="I295" s="6"/>
      <c r="J295" s="6" t="n">
        <v>0.8</v>
      </c>
      <c r="K295" s="6" t="n">
        <v>0.8</v>
      </c>
      <c r="L295" s="6" t="n">
        <v>0.64</v>
      </c>
    </row>
    <row r="296" customFormat="false" ht="23.85" hidden="false" customHeight="false" outlineLevel="0" collapsed="false">
      <c r="A296" s="6" t="s">
        <v>2580</v>
      </c>
      <c r="B296" s="6" t="n">
        <v>219</v>
      </c>
      <c r="C296" s="6" t="s">
        <v>1715</v>
      </c>
      <c r="D296" s="6" t="s">
        <v>1603</v>
      </c>
      <c r="E296" s="6" t="s">
        <v>2577</v>
      </c>
      <c r="F296" s="6" t="s">
        <v>2578</v>
      </c>
      <c r="G296" s="6" t="s">
        <v>2579</v>
      </c>
      <c r="H296" s="6" t="s">
        <v>1701</v>
      </c>
      <c r="I296" s="6"/>
      <c r="J296" s="6" t="n">
        <v>0.8</v>
      </c>
      <c r="K296" s="6" t="n">
        <v>0.8</v>
      </c>
      <c r="L296" s="6" t="n">
        <v>0.64</v>
      </c>
    </row>
    <row r="297" customFormat="false" ht="23.85" hidden="false" customHeight="false" outlineLevel="0" collapsed="false">
      <c r="A297" s="6" t="s">
        <v>2581</v>
      </c>
      <c r="B297" s="6" t="n">
        <v>220</v>
      </c>
      <c r="C297" s="6" t="s">
        <v>2582</v>
      </c>
      <c r="D297" s="6" t="s">
        <v>1603</v>
      </c>
      <c r="E297" s="6" t="s">
        <v>2583</v>
      </c>
      <c r="F297" s="6" t="s">
        <v>2584</v>
      </c>
      <c r="G297" s="6" t="s">
        <v>2585</v>
      </c>
      <c r="H297" s="6" t="s">
        <v>1607</v>
      </c>
      <c r="I297" s="6"/>
      <c r="J297" s="6" t="n">
        <v>0.8</v>
      </c>
      <c r="K297" s="6" t="n">
        <v>1</v>
      </c>
      <c r="L297" s="6" t="n">
        <v>0.8</v>
      </c>
    </row>
    <row r="298" customFormat="false" ht="23.85" hidden="false" customHeight="false" outlineLevel="0" collapsed="false">
      <c r="A298" s="6" t="s">
        <v>2586</v>
      </c>
      <c r="B298" s="6" t="n">
        <v>221</v>
      </c>
      <c r="C298" s="6" t="s">
        <v>2572</v>
      </c>
      <c r="D298" s="6" t="s">
        <v>1603</v>
      </c>
      <c r="E298" s="6" t="s">
        <v>2587</v>
      </c>
      <c r="F298" s="6" t="s">
        <v>2588</v>
      </c>
      <c r="G298" s="6" t="s">
        <v>2589</v>
      </c>
      <c r="H298" s="6" t="s">
        <v>1701</v>
      </c>
      <c r="I298" s="6"/>
      <c r="J298" s="6" t="n">
        <v>0.8</v>
      </c>
      <c r="K298" s="6" t="n">
        <v>0.8</v>
      </c>
      <c r="L298" s="6" t="n">
        <v>0.64</v>
      </c>
    </row>
    <row r="299" customFormat="false" ht="23.85" hidden="false" customHeight="false" outlineLevel="0" collapsed="false">
      <c r="A299" s="6" t="s">
        <v>2590</v>
      </c>
      <c r="B299" s="6" t="n">
        <v>221</v>
      </c>
      <c r="C299" s="6" t="s">
        <v>1647</v>
      </c>
      <c r="D299" s="6" t="s">
        <v>1603</v>
      </c>
      <c r="E299" s="6" t="s">
        <v>2591</v>
      </c>
      <c r="F299" s="6" t="s">
        <v>2592</v>
      </c>
      <c r="G299" s="6" t="s">
        <v>2593</v>
      </c>
      <c r="H299" s="6" t="s">
        <v>1701</v>
      </c>
      <c r="I299" s="6"/>
      <c r="J299" s="6" t="n">
        <v>0.8</v>
      </c>
      <c r="K299" s="6" t="n">
        <v>0.8</v>
      </c>
      <c r="L299" s="6" t="n">
        <v>0.64</v>
      </c>
    </row>
    <row r="300" customFormat="false" ht="23.85" hidden="false" customHeight="false" outlineLevel="0" collapsed="false">
      <c r="A300" s="6" t="s">
        <v>2594</v>
      </c>
      <c r="B300" s="6" t="n">
        <v>222</v>
      </c>
      <c r="C300" s="6" t="s">
        <v>2595</v>
      </c>
      <c r="D300" s="6" t="s">
        <v>1603</v>
      </c>
      <c r="E300" s="6" t="s">
        <v>2596</v>
      </c>
      <c r="F300" s="6" t="s">
        <v>2597</v>
      </c>
      <c r="G300" s="6" t="s">
        <v>2598</v>
      </c>
      <c r="H300" s="6" t="s">
        <v>1701</v>
      </c>
      <c r="I300" s="6"/>
      <c r="J300" s="6" t="n">
        <v>0.8</v>
      </c>
      <c r="K300" s="6" t="n">
        <v>0.8</v>
      </c>
      <c r="L300" s="6" t="n">
        <v>0.64</v>
      </c>
    </row>
    <row r="301" customFormat="false" ht="23.85" hidden="false" customHeight="false" outlineLevel="0" collapsed="false">
      <c r="A301" s="6" t="s">
        <v>2599</v>
      </c>
      <c r="B301" s="6" t="n">
        <v>223</v>
      </c>
      <c r="C301" s="6" t="s">
        <v>1715</v>
      </c>
      <c r="D301" s="6" t="s">
        <v>1603</v>
      </c>
      <c r="E301" s="6" t="s">
        <v>2600</v>
      </c>
      <c r="F301" s="6" t="s">
        <v>2601</v>
      </c>
      <c r="G301" s="6" t="s">
        <v>2602</v>
      </c>
      <c r="H301" s="6" t="s">
        <v>1607</v>
      </c>
      <c r="I301" s="6"/>
      <c r="J301" s="6" t="n">
        <v>0.8</v>
      </c>
      <c r="K301" s="6" t="n">
        <v>1</v>
      </c>
      <c r="L301" s="6" t="n">
        <v>0.8</v>
      </c>
    </row>
    <row r="302" customFormat="false" ht="23.85" hidden="false" customHeight="false" outlineLevel="0" collapsed="false">
      <c r="A302" s="6" t="s">
        <v>2603</v>
      </c>
      <c r="B302" s="6" t="n">
        <v>224</v>
      </c>
      <c r="C302" s="6" t="s">
        <v>2582</v>
      </c>
      <c r="D302" s="6" t="s">
        <v>1603</v>
      </c>
      <c r="E302" s="6" t="s">
        <v>2604</v>
      </c>
      <c r="F302" s="6" t="s">
        <v>2601</v>
      </c>
      <c r="G302" s="6" t="s">
        <v>2605</v>
      </c>
      <c r="H302" s="6" t="s">
        <v>1701</v>
      </c>
      <c r="I302" s="6"/>
      <c r="J302" s="6" t="n">
        <v>0.8</v>
      </c>
      <c r="K302" s="6" t="n">
        <v>0.8</v>
      </c>
      <c r="L302" s="6" t="n">
        <v>0.64</v>
      </c>
    </row>
    <row r="303" customFormat="false" ht="23.85" hidden="false" customHeight="false" outlineLevel="0" collapsed="false">
      <c r="A303" s="6" t="s">
        <v>2606</v>
      </c>
      <c r="B303" s="6" t="n">
        <v>224</v>
      </c>
      <c r="C303" s="6" t="s">
        <v>1715</v>
      </c>
      <c r="D303" s="6" t="s">
        <v>1603</v>
      </c>
      <c r="E303" s="6" t="s">
        <v>2600</v>
      </c>
      <c r="F303" s="6" t="s">
        <v>2601</v>
      </c>
      <c r="G303" s="6" t="s">
        <v>2602</v>
      </c>
      <c r="H303" s="6" t="s">
        <v>1607</v>
      </c>
      <c r="I303" s="6"/>
      <c r="J303" s="6" t="n">
        <v>0.8</v>
      </c>
      <c r="K303" s="6" t="n">
        <v>1</v>
      </c>
      <c r="L303" s="6" t="n">
        <v>0.8</v>
      </c>
    </row>
    <row r="304" customFormat="false" ht="23.85" hidden="false" customHeight="false" outlineLevel="0" collapsed="false">
      <c r="A304" s="6" t="s">
        <v>2607</v>
      </c>
      <c r="B304" s="6" t="n">
        <v>225</v>
      </c>
      <c r="C304" s="6" t="s">
        <v>1647</v>
      </c>
      <c r="D304" s="6" t="s">
        <v>1603</v>
      </c>
      <c r="E304" s="6" t="s">
        <v>2608</v>
      </c>
      <c r="F304" s="6" t="s">
        <v>2609</v>
      </c>
      <c r="G304" s="6" t="s">
        <v>2610</v>
      </c>
      <c r="H304" s="6" t="s">
        <v>1701</v>
      </c>
      <c r="I304" s="6"/>
      <c r="J304" s="6" t="n">
        <v>0.8</v>
      </c>
      <c r="K304" s="6" t="n">
        <v>0.8</v>
      </c>
      <c r="L304" s="6" t="n">
        <v>0.64</v>
      </c>
    </row>
    <row r="305" customFormat="false" ht="23.85" hidden="false" customHeight="false" outlineLevel="0" collapsed="false">
      <c r="A305" s="6" t="s">
        <v>2611</v>
      </c>
      <c r="B305" s="6" t="n">
        <v>225</v>
      </c>
      <c r="C305" s="6" t="s">
        <v>2263</v>
      </c>
      <c r="D305" s="6" t="s">
        <v>1603</v>
      </c>
      <c r="E305" s="6" t="s">
        <v>2612</v>
      </c>
      <c r="F305" s="6" t="s">
        <v>2613</v>
      </c>
      <c r="G305" s="6" t="s">
        <v>2614</v>
      </c>
      <c r="H305" s="6" t="s">
        <v>1607</v>
      </c>
      <c r="I305" s="6"/>
      <c r="J305" s="6" t="n">
        <v>0.8</v>
      </c>
      <c r="K305" s="6" t="n">
        <v>1</v>
      </c>
      <c r="L305" s="6" t="n">
        <v>0.8</v>
      </c>
    </row>
    <row r="306" customFormat="false" ht="23.85" hidden="false" customHeight="false" outlineLevel="0" collapsed="false">
      <c r="A306" s="6" t="s">
        <v>2615</v>
      </c>
      <c r="B306" s="6" t="n">
        <v>226</v>
      </c>
      <c r="C306" s="6" t="s">
        <v>2263</v>
      </c>
      <c r="D306" s="6" t="s">
        <v>1603</v>
      </c>
      <c r="E306" s="6" t="s">
        <v>2612</v>
      </c>
      <c r="F306" s="6" t="s">
        <v>2613</v>
      </c>
      <c r="G306" s="6" t="s">
        <v>2614</v>
      </c>
      <c r="H306" s="6" t="s">
        <v>1607</v>
      </c>
      <c r="I306" s="6"/>
      <c r="J306" s="6" t="n">
        <v>0.8</v>
      </c>
      <c r="K306" s="6" t="n">
        <v>1</v>
      </c>
      <c r="L306" s="6" t="n">
        <v>0.8</v>
      </c>
    </row>
    <row r="307" customFormat="false" ht="23.85" hidden="false" customHeight="false" outlineLevel="0" collapsed="false">
      <c r="A307" s="6" t="s">
        <v>2616</v>
      </c>
      <c r="B307" s="6" t="n">
        <v>227</v>
      </c>
      <c r="C307" s="6" t="s">
        <v>2617</v>
      </c>
      <c r="D307" s="6" t="s">
        <v>1603</v>
      </c>
      <c r="E307" s="6" t="s">
        <v>2618</v>
      </c>
      <c r="F307" s="6" t="s">
        <v>2619</v>
      </c>
      <c r="G307" s="6" t="s">
        <v>2620</v>
      </c>
      <c r="H307" s="6" t="s">
        <v>1701</v>
      </c>
      <c r="I307" s="6"/>
      <c r="J307" s="6" t="n">
        <v>0.8</v>
      </c>
      <c r="K307" s="6" t="n">
        <v>0.8</v>
      </c>
      <c r="L307" s="6" t="n">
        <v>0.64</v>
      </c>
    </row>
    <row r="308" customFormat="false" ht="23.85" hidden="false" customHeight="false" outlineLevel="0" collapsed="false">
      <c r="A308" s="6" t="s">
        <v>2621</v>
      </c>
      <c r="B308" s="6" t="n">
        <v>227</v>
      </c>
      <c r="C308" s="6" t="s">
        <v>2504</v>
      </c>
      <c r="D308" s="6" t="s">
        <v>1603</v>
      </c>
      <c r="E308" s="6" t="s">
        <v>2622</v>
      </c>
      <c r="F308" s="6" t="s">
        <v>2623</v>
      </c>
      <c r="G308" s="6" t="s">
        <v>2624</v>
      </c>
      <c r="H308" s="6" t="s">
        <v>1607</v>
      </c>
      <c r="I308" s="6"/>
      <c r="J308" s="6" t="n">
        <v>0.8</v>
      </c>
      <c r="K308" s="6" t="n">
        <v>1</v>
      </c>
      <c r="L308" s="6" t="n">
        <v>0.8</v>
      </c>
    </row>
    <row r="309" customFormat="false" ht="23.85" hidden="false" customHeight="false" outlineLevel="0" collapsed="false">
      <c r="A309" s="6" t="s">
        <v>2625</v>
      </c>
      <c r="B309" s="6" t="n">
        <v>228</v>
      </c>
      <c r="C309" s="6" t="s">
        <v>2504</v>
      </c>
      <c r="D309" s="6" t="s">
        <v>1603</v>
      </c>
      <c r="E309" s="6" t="s">
        <v>2622</v>
      </c>
      <c r="F309" s="6" t="s">
        <v>2623</v>
      </c>
      <c r="G309" s="6" t="s">
        <v>2624</v>
      </c>
      <c r="H309" s="6" t="s">
        <v>1607</v>
      </c>
      <c r="I309" s="6"/>
      <c r="J309" s="6" t="n">
        <v>0.8</v>
      </c>
      <c r="K309" s="6" t="n">
        <v>1</v>
      </c>
      <c r="L309" s="6" t="n">
        <v>0.8</v>
      </c>
    </row>
    <row r="310" customFormat="false" ht="23.85" hidden="false" customHeight="false" outlineLevel="0" collapsed="false">
      <c r="A310" s="6" t="s">
        <v>2626</v>
      </c>
      <c r="B310" s="6" t="n">
        <v>229</v>
      </c>
      <c r="C310" s="6" t="s">
        <v>2504</v>
      </c>
      <c r="D310" s="6" t="s">
        <v>1603</v>
      </c>
      <c r="E310" s="6" t="s">
        <v>2622</v>
      </c>
      <c r="F310" s="6" t="s">
        <v>2623</v>
      </c>
      <c r="G310" s="6" t="s">
        <v>2624</v>
      </c>
      <c r="H310" s="6" t="s">
        <v>1607</v>
      </c>
      <c r="I310" s="6"/>
      <c r="J310" s="6" t="n">
        <v>0.8</v>
      </c>
      <c r="K310" s="6" t="n">
        <v>1</v>
      </c>
      <c r="L310" s="6" t="n">
        <v>0.8</v>
      </c>
    </row>
    <row r="311" customFormat="false" ht="23.85" hidden="false" customHeight="false" outlineLevel="0" collapsed="false">
      <c r="A311" s="6" t="s">
        <v>2627</v>
      </c>
      <c r="B311" s="6" t="n">
        <v>230</v>
      </c>
      <c r="C311" s="6" t="s">
        <v>1647</v>
      </c>
      <c r="D311" s="6" t="s">
        <v>1603</v>
      </c>
      <c r="E311" s="6" t="s">
        <v>2628</v>
      </c>
      <c r="F311" s="6" t="s">
        <v>2629</v>
      </c>
      <c r="G311" s="6" t="s">
        <v>2630</v>
      </c>
      <c r="H311" s="6" t="s">
        <v>1701</v>
      </c>
      <c r="I311" s="6"/>
      <c r="J311" s="6" t="n">
        <v>0.8</v>
      </c>
      <c r="K311" s="6" t="n">
        <v>0.8</v>
      </c>
      <c r="L311" s="6" t="n">
        <v>0.64</v>
      </c>
    </row>
    <row r="312" customFormat="false" ht="23.85" hidden="false" customHeight="false" outlineLevel="0" collapsed="false">
      <c r="A312" s="6" t="s">
        <v>2631</v>
      </c>
      <c r="B312" s="6" t="n">
        <v>230</v>
      </c>
      <c r="C312" s="6" t="s">
        <v>1647</v>
      </c>
      <c r="D312" s="6" t="s">
        <v>1603</v>
      </c>
      <c r="E312" s="6" t="s">
        <v>2632</v>
      </c>
      <c r="F312" s="6" t="s">
        <v>2633</v>
      </c>
      <c r="G312" s="6" t="s">
        <v>2634</v>
      </c>
      <c r="H312" s="6" t="s">
        <v>1701</v>
      </c>
      <c r="I312" s="6"/>
      <c r="J312" s="6" t="n">
        <v>0.8</v>
      </c>
      <c r="K312" s="6" t="n">
        <v>0.8</v>
      </c>
      <c r="L312" s="6" t="n">
        <v>0.64</v>
      </c>
    </row>
    <row r="313" customFormat="false" ht="23.85" hidden="false" customHeight="false" outlineLevel="0" collapsed="false">
      <c r="A313" s="6" t="s">
        <v>2635</v>
      </c>
      <c r="B313" s="6" t="n">
        <v>231</v>
      </c>
      <c r="C313" s="6" t="s">
        <v>1647</v>
      </c>
      <c r="D313" s="6" t="s">
        <v>1603</v>
      </c>
      <c r="E313" s="6" t="s">
        <v>2636</v>
      </c>
      <c r="F313" s="6" t="s">
        <v>2637</v>
      </c>
      <c r="G313" s="6" t="s">
        <v>2638</v>
      </c>
      <c r="H313" s="6" t="s">
        <v>1701</v>
      </c>
      <c r="I313" s="6"/>
      <c r="J313" s="6" t="n">
        <v>0.8</v>
      </c>
      <c r="K313" s="6" t="n">
        <v>0.8</v>
      </c>
      <c r="L313" s="6" t="n">
        <v>0.64</v>
      </c>
    </row>
    <row r="314" customFormat="false" ht="23.85" hidden="false" customHeight="false" outlineLevel="0" collapsed="false">
      <c r="A314" s="6" t="s">
        <v>2639</v>
      </c>
      <c r="B314" s="6" t="n">
        <v>231</v>
      </c>
      <c r="C314" s="6" t="s">
        <v>1633</v>
      </c>
      <c r="D314" s="6" t="s">
        <v>1603</v>
      </c>
      <c r="E314" s="6" t="s">
        <v>2640</v>
      </c>
      <c r="F314" s="6" t="s">
        <v>2641</v>
      </c>
      <c r="G314" s="6" t="s">
        <v>2642</v>
      </c>
      <c r="H314" s="6" t="s">
        <v>1701</v>
      </c>
      <c r="I314" s="6"/>
      <c r="J314" s="6" t="n">
        <v>0.8</v>
      </c>
      <c r="K314" s="6" t="n">
        <v>0.8</v>
      </c>
      <c r="L314" s="6" t="n">
        <v>0.64</v>
      </c>
    </row>
    <row r="315" customFormat="false" ht="35.05" hidden="false" customHeight="false" outlineLevel="0" collapsed="false">
      <c r="A315" s="6" t="s">
        <v>2643</v>
      </c>
      <c r="B315" s="6" t="n">
        <v>232</v>
      </c>
      <c r="C315" s="6" t="s">
        <v>2644</v>
      </c>
      <c r="D315" s="6" t="s">
        <v>1603</v>
      </c>
      <c r="E315" s="6" t="s">
        <v>2645</v>
      </c>
      <c r="F315" s="6" t="s">
        <v>2646</v>
      </c>
      <c r="G315" s="6" t="s">
        <v>2647</v>
      </c>
      <c r="H315" s="6" t="s">
        <v>1701</v>
      </c>
      <c r="I315" s="6"/>
      <c r="J315" s="6" t="n">
        <v>0.8</v>
      </c>
      <c r="K315" s="6" t="n">
        <v>0.8</v>
      </c>
      <c r="L315" s="6" t="n">
        <v>0.64</v>
      </c>
    </row>
    <row r="316" customFormat="false" ht="23.85" hidden="false" customHeight="false" outlineLevel="0" collapsed="false">
      <c r="A316" s="6" t="s">
        <v>2648</v>
      </c>
      <c r="B316" s="6" t="n">
        <v>232</v>
      </c>
      <c r="C316" s="6" t="s">
        <v>1647</v>
      </c>
      <c r="D316" s="6" t="s">
        <v>1603</v>
      </c>
      <c r="E316" s="6" t="s">
        <v>2649</v>
      </c>
      <c r="F316" s="6" t="s">
        <v>2650</v>
      </c>
      <c r="G316" s="6" t="s">
        <v>2651</v>
      </c>
      <c r="H316" s="6" t="s">
        <v>1701</v>
      </c>
      <c r="I316" s="6"/>
      <c r="J316" s="6" t="n">
        <v>0.8</v>
      </c>
      <c r="K316" s="6" t="n">
        <v>0.8</v>
      </c>
      <c r="L316" s="6" t="n">
        <v>0.64</v>
      </c>
    </row>
    <row r="317" customFormat="false" ht="15" hidden="false" customHeight="false" outlineLevel="0" collapsed="false">
      <c r="A317" s="6" t="s">
        <v>2652</v>
      </c>
      <c r="B317" s="6" t="n">
        <v>233</v>
      </c>
      <c r="C317" s="6" t="s">
        <v>1771</v>
      </c>
      <c r="D317" s="6" t="s">
        <v>1603</v>
      </c>
      <c r="E317" s="6" t="s">
        <v>2653</v>
      </c>
      <c r="F317" s="6" t="s">
        <v>2654</v>
      </c>
      <c r="G317" s="6" t="s">
        <v>2655</v>
      </c>
      <c r="H317" s="6" t="s">
        <v>1701</v>
      </c>
      <c r="I317" s="6"/>
      <c r="J317" s="6" t="n">
        <v>0.8</v>
      </c>
      <c r="K317" s="6" t="n">
        <v>0.8</v>
      </c>
      <c r="L317" s="6" t="n">
        <v>0.64</v>
      </c>
    </row>
    <row r="318" customFormat="false" ht="23.85" hidden="false" customHeight="false" outlineLevel="0" collapsed="false">
      <c r="A318" s="6" t="s">
        <v>2656</v>
      </c>
      <c r="B318" s="6" t="n">
        <v>234</v>
      </c>
      <c r="C318" s="6" t="s">
        <v>1647</v>
      </c>
      <c r="D318" s="6" t="s">
        <v>1603</v>
      </c>
      <c r="E318" s="6" t="s">
        <v>2657</v>
      </c>
      <c r="F318" s="6" t="s">
        <v>2658</v>
      </c>
      <c r="G318" s="6" t="s">
        <v>2659</v>
      </c>
      <c r="H318" s="6" t="s">
        <v>1701</v>
      </c>
      <c r="I318" s="6"/>
      <c r="J318" s="6" t="n">
        <v>0.8</v>
      </c>
      <c r="K318" s="6" t="n">
        <v>0.8</v>
      </c>
      <c r="L318" s="6" t="n">
        <v>0.64</v>
      </c>
    </row>
    <row r="319" customFormat="false" ht="23.85" hidden="false" customHeight="false" outlineLevel="0" collapsed="false">
      <c r="A319" s="6" t="s">
        <v>2660</v>
      </c>
      <c r="B319" s="6" t="n">
        <v>235</v>
      </c>
      <c r="C319" s="6" t="s">
        <v>1981</v>
      </c>
      <c r="D319" s="6" t="s">
        <v>1603</v>
      </c>
      <c r="E319" s="6" t="s">
        <v>2661</v>
      </c>
      <c r="F319" s="6" t="s">
        <v>2662</v>
      </c>
      <c r="G319" s="6" t="s">
        <v>2663</v>
      </c>
      <c r="H319" s="6" t="s">
        <v>1701</v>
      </c>
      <c r="I319" s="6"/>
      <c r="J319" s="6" t="n">
        <v>0.8</v>
      </c>
      <c r="K319" s="6" t="n">
        <v>0.8</v>
      </c>
      <c r="L319" s="6" t="n">
        <v>0.64</v>
      </c>
    </row>
    <row r="320" customFormat="false" ht="23.85" hidden="false" customHeight="false" outlineLevel="0" collapsed="false">
      <c r="A320" s="6" t="s">
        <v>2664</v>
      </c>
      <c r="B320" s="6" t="n">
        <v>236</v>
      </c>
      <c r="C320" s="6" t="s">
        <v>1981</v>
      </c>
      <c r="D320" s="6" t="s">
        <v>1603</v>
      </c>
      <c r="E320" s="6" t="s">
        <v>2661</v>
      </c>
      <c r="F320" s="6" t="s">
        <v>2662</v>
      </c>
      <c r="G320" s="6" t="s">
        <v>2663</v>
      </c>
      <c r="H320" s="6" t="s">
        <v>1701</v>
      </c>
      <c r="I320" s="6"/>
      <c r="J320" s="6" t="n">
        <v>0.8</v>
      </c>
      <c r="K320" s="6" t="n">
        <v>0.8</v>
      </c>
      <c r="L320" s="6" t="n">
        <v>0.64</v>
      </c>
    </row>
    <row r="321" customFormat="false" ht="23.85" hidden="false" customHeight="false" outlineLevel="0" collapsed="false">
      <c r="A321" s="6" t="s">
        <v>2665</v>
      </c>
      <c r="B321" s="6" t="n">
        <v>236</v>
      </c>
      <c r="C321" s="6" t="s">
        <v>1647</v>
      </c>
      <c r="D321" s="6" t="s">
        <v>1603</v>
      </c>
      <c r="E321" s="6" t="s">
        <v>2666</v>
      </c>
      <c r="F321" s="6" t="s">
        <v>2667</v>
      </c>
      <c r="G321" s="6" t="s">
        <v>2668</v>
      </c>
      <c r="H321" s="6" t="s">
        <v>1701</v>
      </c>
      <c r="I321" s="6"/>
      <c r="J321" s="6" t="n">
        <v>0.8</v>
      </c>
      <c r="K321" s="6" t="n">
        <v>0.8</v>
      </c>
      <c r="L321" s="6" t="n">
        <v>0.64</v>
      </c>
    </row>
    <row r="322" customFormat="false" ht="23.85" hidden="false" customHeight="false" outlineLevel="0" collapsed="false">
      <c r="A322" s="6" t="s">
        <v>2669</v>
      </c>
      <c r="B322" s="6" t="n">
        <v>237</v>
      </c>
      <c r="C322" s="6" t="s">
        <v>1972</v>
      </c>
      <c r="D322" s="6" t="s">
        <v>1603</v>
      </c>
      <c r="E322" s="6" t="s">
        <v>2670</v>
      </c>
      <c r="F322" s="6" t="s">
        <v>2671</v>
      </c>
      <c r="G322" s="6" t="s">
        <v>2672</v>
      </c>
      <c r="H322" s="6" t="s">
        <v>1701</v>
      </c>
      <c r="I322" s="6"/>
      <c r="J322" s="6" t="n">
        <v>0.8</v>
      </c>
      <c r="K322" s="6" t="n">
        <v>0.8</v>
      </c>
      <c r="L322" s="6" t="n">
        <v>0.64</v>
      </c>
    </row>
    <row r="323" customFormat="false" ht="23.85" hidden="false" customHeight="false" outlineLevel="0" collapsed="false">
      <c r="A323" s="6" t="s">
        <v>2673</v>
      </c>
      <c r="B323" s="6" t="n">
        <v>238</v>
      </c>
      <c r="C323" s="6" t="s">
        <v>1647</v>
      </c>
      <c r="D323" s="6" t="s">
        <v>1603</v>
      </c>
      <c r="E323" s="6" t="s">
        <v>2674</v>
      </c>
      <c r="F323" s="6" t="s">
        <v>2675</v>
      </c>
      <c r="G323" s="6" t="s">
        <v>2676</v>
      </c>
      <c r="H323" s="6" t="s">
        <v>1701</v>
      </c>
      <c r="I323" s="6"/>
      <c r="J323" s="6" t="n">
        <v>0.8</v>
      </c>
      <c r="K323" s="6" t="n">
        <v>0.8</v>
      </c>
      <c r="L323" s="6" t="n">
        <v>0.64</v>
      </c>
    </row>
    <row r="324" customFormat="false" ht="23.85" hidden="false" customHeight="false" outlineLevel="0" collapsed="false">
      <c r="A324" s="6" t="s">
        <v>2677</v>
      </c>
      <c r="B324" s="6" t="n">
        <v>239</v>
      </c>
      <c r="C324" s="6" t="s">
        <v>1651</v>
      </c>
      <c r="D324" s="6" t="s">
        <v>1603</v>
      </c>
      <c r="E324" s="6" t="s">
        <v>2678</v>
      </c>
      <c r="F324" s="6" t="s">
        <v>2679</v>
      </c>
      <c r="G324" s="6" t="s">
        <v>2680</v>
      </c>
      <c r="H324" s="6" t="s">
        <v>1701</v>
      </c>
      <c r="I324" s="6"/>
      <c r="J324" s="6" t="n">
        <v>0.8</v>
      </c>
      <c r="K324" s="6" t="n">
        <v>0.8</v>
      </c>
      <c r="L324" s="6" t="n">
        <v>0.64</v>
      </c>
    </row>
    <row r="325" customFormat="false" ht="23.85" hidden="false" customHeight="false" outlineLevel="0" collapsed="false">
      <c r="A325" s="6" t="s">
        <v>2681</v>
      </c>
      <c r="B325" s="6" t="n">
        <v>239</v>
      </c>
      <c r="C325" s="6" t="s">
        <v>1647</v>
      </c>
      <c r="D325" s="6" t="s">
        <v>1603</v>
      </c>
      <c r="E325" s="6" t="s">
        <v>2682</v>
      </c>
      <c r="F325" s="6" t="s">
        <v>2683</v>
      </c>
      <c r="G325" s="6" t="s">
        <v>2684</v>
      </c>
      <c r="H325" s="6" t="s">
        <v>1701</v>
      </c>
      <c r="I325" s="6"/>
      <c r="J325" s="6" t="n">
        <v>0.8</v>
      </c>
      <c r="K325" s="6" t="n">
        <v>0.8</v>
      </c>
      <c r="L325" s="6" t="n">
        <v>0.64</v>
      </c>
    </row>
    <row r="326" customFormat="false" ht="23.85" hidden="false" customHeight="false" outlineLevel="0" collapsed="false">
      <c r="A326" s="6" t="s">
        <v>2685</v>
      </c>
      <c r="B326" s="6" t="n">
        <v>240</v>
      </c>
      <c r="C326" s="6" t="s">
        <v>2263</v>
      </c>
      <c r="D326" s="6" t="s">
        <v>1603</v>
      </c>
      <c r="E326" s="6" t="s">
        <v>2686</v>
      </c>
      <c r="F326" s="6" t="s">
        <v>2687</v>
      </c>
      <c r="G326" s="6" t="s">
        <v>2688</v>
      </c>
      <c r="H326" s="6" t="s">
        <v>1701</v>
      </c>
      <c r="I326" s="6"/>
      <c r="J326" s="6" t="n">
        <v>0.8</v>
      </c>
      <c r="K326" s="6" t="n">
        <v>0.8</v>
      </c>
      <c r="L326" s="6" t="n">
        <v>0.64</v>
      </c>
    </row>
    <row r="327" customFormat="false" ht="23.85" hidden="false" customHeight="false" outlineLevel="0" collapsed="false">
      <c r="A327" s="6" t="s">
        <v>2689</v>
      </c>
      <c r="B327" s="6" t="n">
        <v>240</v>
      </c>
      <c r="C327" s="6" t="s">
        <v>2572</v>
      </c>
      <c r="D327" s="6" t="s">
        <v>1603</v>
      </c>
      <c r="E327" s="6" t="s">
        <v>2690</v>
      </c>
      <c r="F327" s="6" t="s">
        <v>2687</v>
      </c>
      <c r="G327" s="6" t="s">
        <v>2691</v>
      </c>
      <c r="H327" s="6" t="s">
        <v>1701</v>
      </c>
      <c r="I327" s="6"/>
      <c r="J327" s="6" t="n">
        <v>0.8</v>
      </c>
      <c r="K327" s="6" t="n">
        <v>0.8</v>
      </c>
      <c r="L327" s="6" t="n">
        <v>0.64</v>
      </c>
    </row>
    <row r="328" customFormat="false" ht="23.85" hidden="false" customHeight="false" outlineLevel="0" collapsed="false">
      <c r="A328" s="6" t="s">
        <v>2692</v>
      </c>
      <c r="B328" s="6" t="n">
        <v>241</v>
      </c>
      <c r="C328" s="6" t="s">
        <v>2263</v>
      </c>
      <c r="D328" s="6" t="s">
        <v>1603</v>
      </c>
      <c r="E328" s="6" t="s">
        <v>2693</v>
      </c>
      <c r="F328" s="6" t="s">
        <v>2694</v>
      </c>
      <c r="G328" s="6" t="s">
        <v>2695</v>
      </c>
      <c r="H328" s="6" t="s">
        <v>1607</v>
      </c>
      <c r="I328" s="6"/>
      <c r="J328" s="6" t="n">
        <v>0.8</v>
      </c>
      <c r="K328" s="6" t="n">
        <v>1</v>
      </c>
      <c r="L328" s="6" t="n">
        <v>0.8</v>
      </c>
    </row>
    <row r="329" customFormat="false" ht="23.85" hidden="false" customHeight="false" outlineLevel="0" collapsed="false">
      <c r="A329" s="6" t="s">
        <v>2696</v>
      </c>
      <c r="B329" s="6" t="n">
        <v>242</v>
      </c>
      <c r="C329" s="6" t="s">
        <v>1647</v>
      </c>
      <c r="D329" s="6" t="s">
        <v>1603</v>
      </c>
      <c r="E329" s="6" t="s">
        <v>2697</v>
      </c>
      <c r="F329" s="6" t="s">
        <v>2698</v>
      </c>
      <c r="G329" s="6" t="s">
        <v>2699</v>
      </c>
      <c r="H329" s="6" t="s">
        <v>1701</v>
      </c>
      <c r="I329" s="6"/>
      <c r="J329" s="6" t="n">
        <v>0.8</v>
      </c>
      <c r="K329" s="6" t="n">
        <v>0.8</v>
      </c>
      <c r="L329" s="6" t="n">
        <v>0.64</v>
      </c>
    </row>
    <row r="330" customFormat="false" ht="23.85" hidden="false" customHeight="false" outlineLevel="0" collapsed="false">
      <c r="A330" s="6" t="s">
        <v>2700</v>
      </c>
      <c r="B330" s="6" t="n">
        <v>243</v>
      </c>
      <c r="C330" s="6" t="s">
        <v>1647</v>
      </c>
      <c r="D330" s="6" t="s">
        <v>1603</v>
      </c>
      <c r="E330" s="6" t="s">
        <v>2701</v>
      </c>
      <c r="F330" s="6" t="s">
        <v>2702</v>
      </c>
      <c r="G330" s="6" t="s">
        <v>2703</v>
      </c>
      <c r="H330" s="6" t="s">
        <v>1701</v>
      </c>
      <c r="I330" s="6"/>
      <c r="J330" s="6" t="n">
        <v>0.8</v>
      </c>
      <c r="K330" s="6" t="n">
        <v>0.8</v>
      </c>
      <c r="L330" s="6" t="n">
        <v>0.64</v>
      </c>
    </row>
    <row r="331" customFormat="false" ht="23.85" hidden="false" customHeight="false" outlineLevel="0" collapsed="false">
      <c r="A331" s="6" t="s">
        <v>2704</v>
      </c>
      <c r="B331" s="6" t="n">
        <v>244</v>
      </c>
      <c r="C331" s="6" t="s">
        <v>2705</v>
      </c>
      <c r="D331" s="6" t="s">
        <v>1603</v>
      </c>
      <c r="E331" s="6" t="s">
        <v>2706</v>
      </c>
      <c r="F331" s="6" t="s">
        <v>2707</v>
      </c>
      <c r="G331" s="6" t="s">
        <v>2708</v>
      </c>
      <c r="H331" s="6" t="s">
        <v>1701</v>
      </c>
      <c r="I331" s="6"/>
      <c r="J331" s="6" t="n">
        <v>0.8</v>
      </c>
      <c r="K331" s="6" t="n">
        <v>0.8</v>
      </c>
      <c r="L331" s="6" t="n">
        <v>0.64</v>
      </c>
    </row>
    <row r="332" customFormat="false" ht="23.85" hidden="false" customHeight="false" outlineLevel="0" collapsed="false">
      <c r="A332" s="6" t="s">
        <v>2709</v>
      </c>
      <c r="B332" s="6" t="n">
        <v>245</v>
      </c>
      <c r="C332" s="6" t="s">
        <v>1647</v>
      </c>
      <c r="D332" s="6" t="s">
        <v>1603</v>
      </c>
      <c r="E332" s="6" t="s">
        <v>2710</v>
      </c>
      <c r="F332" s="6" t="s">
        <v>2711</v>
      </c>
      <c r="G332" s="6" t="s">
        <v>2712</v>
      </c>
      <c r="H332" s="6" t="s">
        <v>1701</v>
      </c>
      <c r="I332" s="6"/>
      <c r="J332" s="6" t="n">
        <v>0.8</v>
      </c>
      <c r="K332" s="6" t="n">
        <v>0.8</v>
      </c>
      <c r="L332" s="6" t="n">
        <v>0.64</v>
      </c>
    </row>
    <row r="333" customFormat="false" ht="23.85" hidden="false" customHeight="false" outlineLevel="0" collapsed="false">
      <c r="A333" s="6" t="s">
        <v>2713</v>
      </c>
      <c r="B333" s="6" t="n">
        <v>246</v>
      </c>
      <c r="C333" s="6" t="s">
        <v>1647</v>
      </c>
      <c r="D333" s="6" t="s">
        <v>1603</v>
      </c>
      <c r="E333" s="6" t="s">
        <v>2714</v>
      </c>
      <c r="F333" s="6" t="s">
        <v>2715</v>
      </c>
      <c r="G333" s="6" t="s">
        <v>2716</v>
      </c>
      <c r="H333" s="6" t="s">
        <v>1701</v>
      </c>
      <c r="I333" s="6"/>
      <c r="J333" s="6" t="n">
        <v>0.8</v>
      </c>
      <c r="K333" s="6" t="n">
        <v>0.8</v>
      </c>
      <c r="L333" s="6" t="n">
        <v>0.64</v>
      </c>
    </row>
    <row r="334" customFormat="false" ht="15" hidden="false" customHeight="false" outlineLevel="0" collapsed="false">
      <c r="A334" s="6" t="s">
        <v>2717</v>
      </c>
      <c r="B334" s="6" t="n">
        <v>246</v>
      </c>
      <c r="C334" s="6" t="s">
        <v>1771</v>
      </c>
      <c r="D334" s="6" t="s">
        <v>1603</v>
      </c>
      <c r="E334" s="6" t="s">
        <v>2718</v>
      </c>
      <c r="F334" s="6" t="s">
        <v>2715</v>
      </c>
      <c r="G334" s="6" t="s">
        <v>2719</v>
      </c>
      <c r="H334" s="6" t="s">
        <v>1701</v>
      </c>
      <c r="I334" s="6"/>
      <c r="J334" s="6" t="n">
        <v>0.8</v>
      </c>
      <c r="K334" s="6" t="n">
        <v>0.8</v>
      </c>
      <c r="L334" s="6" t="n">
        <v>0.64</v>
      </c>
    </row>
    <row r="335" customFormat="false" ht="23.85" hidden="false" customHeight="false" outlineLevel="0" collapsed="false">
      <c r="A335" s="6" t="s">
        <v>2720</v>
      </c>
      <c r="B335" s="6" t="n">
        <v>247</v>
      </c>
      <c r="C335" s="6" t="s">
        <v>1647</v>
      </c>
      <c r="D335" s="6" t="s">
        <v>1603</v>
      </c>
      <c r="E335" s="6" t="s">
        <v>2721</v>
      </c>
      <c r="F335" s="6" t="s">
        <v>2722</v>
      </c>
      <c r="G335" s="6" t="s">
        <v>2723</v>
      </c>
      <c r="H335" s="6" t="s">
        <v>1701</v>
      </c>
      <c r="I335" s="6"/>
      <c r="J335" s="6" t="n">
        <v>0.8</v>
      </c>
      <c r="K335" s="6" t="n">
        <v>0.8</v>
      </c>
      <c r="L335" s="6" t="n">
        <v>0.64</v>
      </c>
    </row>
    <row r="336" customFormat="false" ht="23.85" hidden="false" customHeight="false" outlineLevel="0" collapsed="false">
      <c r="A336" s="6" t="s">
        <v>2724</v>
      </c>
      <c r="B336" s="6" t="n">
        <v>248</v>
      </c>
      <c r="C336" s="6" t="s">
        <v>1647</v>
      </c>
      <c r="D336" s="6" t="s">
        <v>1603</v>
      </c>
      <c r="E336" s="6" t="s">
        <v>2725</v>
      </c>
      <c r="F336" s="6" t="s">
        <v>2726</v>
      </c>
      <c r="G336" s="6" t="s">
        <v>2727</v>
      </c>
      <c r="H336" s="6" t="s">
        <v>1701</v>
      </c>
      <c r="I336" s="6"/>
      <c r="J336" s="6" t="n">
        <v>0.8</v>
      </c>
      <c r="K336" s="6" t="n">
        <v>0.8</v>
      </c>
      <c r="L336" s="6" t="n">
        <v>0.64</v>
      </c>
    </row>
    <row r="337" customFormat="false" ht="23.85" hidden="false" customHeight="false" outlineLevel="0" collapsed="false">
      <c r="A337" s="6" t="s">
        <v>2728</v>
      </c>
      <c r="B337" s="6" t="n">
        <v>248</v>
      </c>
      <c r="C337" s="6" t="s">
        <v>1771</v>
      </c>
      <c r="D337" s="6" t="s">
        <v>1603</v>
      </c>
      <c r="E337" s="6" t="s">
        <v>2729</v>
      </c>
      <c r="F337" s="6" t="s">
        <v>2726</v>
      </c>
      <c r="G337" s="6" t="s">
        <v>2730</v>
      </c>
      <c r="H337" s="6" t="s">
        <v>1701</v>
      </c>
      <c r="I337" s="6"/>
      <c r="J337" s="6" t="n">
        <v>0.8</v>
      </c>
      <c r="K337" s="6" t="n">
        <v>0.8</v>
      </c>
      <c r="L337" s="6" t="n">
        <v>0.64</v>
      </c>
    </row>
    <row r="338" customFormat="false" ht="23.85" hidden="false" customHeight="false" outlineLevel="0" collapsed="false">
      <c r="A338" s="6" t="s">
        <v>2731</v>
      </c>
      <c r="B338" s="6" t="n">
        <v>249</v>
      </c>
      <c r="C338" s="6" t="s">
        <v>1647</v>
      </c>
      <c r="D338" s="6" t="s">
        <v>1603</v>
      </c>
      <c r="E338" s="6" t="s">
        <v>2732</v>
      </c>
      <c r="F338" s="6" t="s">
        <v>2733</v>
      </c>
      <c r="G338" s="6" t="s">
        <v>2734</v>
      </c>
      <c r="H338" s="6" t="s">
        <v>1701</v>
      </c>
      <c r="I338" s="6"/>
      <c r="J338" s="6" t="n">
        <v>0.8</v>
      </c>
      <c r="K338" s="6" t="n">
        <v>0.8</v>
      </c>
      <c r="L338" s="6" t="n">
        <v>0.64</v>
      </c>
    </row>
    <row r="339" customFormat="false" ht="23.85" hidden="false" customHeight="false" outlineLevel="0" collapsed="false">
      <c r="A339" s="6" t="s">
        <v>2735</v>
      </c>
      <c r="B339" s="6" t="n">
        <v>250</v>
      </c>
      <c r="C339" s="6" t="s">
        <v>1647</v>
      </c>
      <c r="D339" s="6" t="s">
        <v>1603</v>
      </c>
      <c r="E339" s="6" t="s">
        <v>2732</v>
      </c>
      <c r="F339" s="6" t="s">
        <v>2733</v>
      </c>
      <c r="G339" s="6" t="s">
        <v>2734</v>
      </c>
      <c r="H339" s="6" t="s">
        <v>1701</v>
      </c>
      <c r="I339" s="6"/>
      <c r="J339" s="6" t="n">
        <v>0.8</v>
      </c>
      <c r="K339" s="6" t="n">
        <v>0.8</v>
      </c>
      <c r="L339" s="6" t="n">
        <v>0.64</v>
      </c>
    </row>
    <row r="340" customFormat="false" ht="23.85" hidden="false" customHeight="false" outlineLevel="0" collapsed="false">
      <c r="A340" s="6" t="s">
        <v>2736</v>
      </c>
      <c r="B340" s="6" t="n">
        <v>251</v>
      </c>
      <c r="C340" s="6" t="s">
        <v>2737</v>
      </c>
      <c r="D340" s="6" t="s">
        <v>1603</v>
      </c>
      <c r="E340" s="6" t="s">
        <v>2738</v>
      </c>
      <c r="F340" s="6" t="s">
        <v>2739</v>
      </c>
      <c r="G340" s="6" t="s">
        <v>2740</v>
      </c>
      <c r="H340" s="6" t="s">
        <v>1701</v>
      </c>
      <c r="I340" s="6"/>
      <c r="J340" s="6" t="n">
        <v>0.8</v>
      </c>
      <c r="K340" s="6" t="n">
        <v>0.8</v>
      </c>
      <c r="L340" s="6" t="n">
        <v>0.64</v>
      </c>
    </row>
    <row r="341" customFormat="false" ht="23.85" hidden="false" customHeight="false" outlineLevel="0" collapsed="false">
      <c r="A341" s="6" t="s">
        <v>2741</v>
      </c>
      <c r="B341" s="6" t="n">
        <v>252</v>
      </c>
      <c r="C341" s="6" t="s">
        <v>1647</v>
      </c>
      <c r="D341" s="6" t="s">
        <v>1603</v>
      </c>
      <c r="E341" s="6" t="s">
        <v>2742</v>
      </c>
      <c r="F341" s="6" t="s">
        <v>2743</v>
      </c>
      <c r="G341" s="6" t="s">
        <v>2744</v>
      </c>
      <c r="H341" s="6" t="s">
        <v>1701</v>
      </c>
      <c r="I341" s="6"/>
      <c r="J341" s="6" t="n">
        <v>0.8</v>
      </c>
      <c r="K341" s="6" t="n">
        <v>0.8</v>
      </c>
      <c r="L341" s="6" t="n">
        <v>0.64</v>
      </c>
    </row>
    <row r="342" customFormat="false" ht="23.85" hidden="false" customHeight="false" outlineLevel="0" collapsed="false">
      <c r="A342" s="6" t="s">
        <v>2745</v>
      </c>
      <c r="B342" s="6" t="n">
        <v>253</v>
      </c>
      <c r="C342" s="6" t="s">
        <v>1647</v>
      </c>
      <c r="D342" s="6" t="s">
        <v>1603</v>
      </c>
      <c r="E342" s="6" t="s">
        <v>2746</v>
      </c>
      <c r="F342" s="6" t="s">
        <v>2747</v>
      </c>
      <c r="G342" s="6" t="s">
        <v>2748</v>
      </c>
      <c r="H342" s="6" t="s">
        <v>1701</v>
      </c>
      <c r="I342" s="6"/>
      <c r="J342" s="6" t="n">
        <v>0.8</v>
      </c>
      <c r="K342" s="6" t="n">
        <v>0.8</v>
      </c>
      <c r="L342" s="6" t="n">
        <v>0.64</v>
      </c>
    </row>
    <row r="343" customFormat="false" ht="23.85" hidden="false" customHeight="false" outlineLevel="0" collapsed="false">
      <c r="A343" s="6" t="s">
        <v>2749</v>
      </c>
      <c r="B343" s="6" t="n">
        <v>254</v>
      </c>
      <c r="C343" s="6" t="s">
        <v>1647</v>
      </c>
      <c r="D343" s="6" t="s">
        <v>1603</v>
      </c>
      <c r="E343" s="6" t="s">
        <v>2746</v>
      </c>
      <c r="F343" s="6" t="s">
        <v>2747</v>
      </c>
      <c r="G343" s="6" t="s">
        <v>2748</v>
      </c>
      <c r="H343" s="6" t="s">
        <v>1701</v>
      </c>
      <c r="I343" s="6"/>
      <c r="J343" s="6" t="n">
        <v>0.8</v>
      </c>
      <c r="K343" s="6" t="n">
        <v>0.8</v>
      </c>
      <c r="L343" s="6" t="n">
        <v>0.64</v>
      </c>
    </row>
    <row r="344" customFormat="false" ht="23.85" hidden="false" customHeight="false" outlineLevel="0" collapsed="false">
      <c r="A344" s="6" t="s">
        <v>2750</v>
      </c>
      <c r="B344" s="6" t="n">
        <v>255</v>
      </c>
      <c r="C344" s="6" t="s">
        <v>1647</v>
      </c>
      <c r="D344" s="6" t="s">
        <v>1603</v>
      </c>
      <c r="E344" s="6" t="s">
        <v>2751</v>
      </c>
      <c r="F344" s="6" t="s">
        <v>2752</v>
      </c>
      <c r="G344" s="6" t="s">
        <v>2753</v>
      </c>
      <c r="H344" s="6" t="s">
        <v>1701</v>
      </c>
      <c r="I344" s="6"/>
      <c r="J344" s="6" t="n">
        <v>0.8</v>
      </c>
      <c r="K344" s="6" t="n">
        <v>0.8</v>
      </c>
      <c r="L344" s="6" t="n">
        <v>0.64</v>
      </c>
    </row>
    <row r="345" customFormat="false" ht="23.85" hidden="false" customHeight="false" outlineLevel="0" collapsed="false">
      <c r="A345" s="6" t="s">
        <v>2754</v>
      </c>
      <c r="B345" s="6" t="n">
        <v>255</v>
      </c>
      <c r="C345" s="6" t="s">
        <v>1647</v>
      </c>
      <c r="D345" s="6" t="s">
        <v>1603</v>
      </c>
      <c r="E345" s="6" t="s">
        <v>2755</v>
      </c>
      <c r="F345" s="6" t="s">
        <v>2752</v>
      </c>
      <c r="G345" s="6" t="s">
        <v>2756</v>
      </c>
      <c r="H345" s="6" t="s">
        <v>1701</v>
      </c>
      <c r="I345" s="6"/>
      <c r="J345" s="6" t="n">
        <v>0.8</v>
      </c>
      <c r="K345" s="6" t="n">
        <v>0.8</v>
      </c>
      <c r="L345" s="6" t="n">
        <v>0.64</v>
      </c>
    </row>
    <row r="346" customFormat="false" ht="23.85" hidden="false" customHeight="false" outlineLevel="0" collapsed="false">
      <c r="A346" s="6" t="s">
        <v>2757</v>
      </c>
      <c r="B346" s="6" t="n">
        <v>256</v>
      </c>
      <c r="C346" s="6" t="s">
        <v>1647</v>
      </c>
      <c r="D346" s="6" t="s">
        <v>1603</v>
      </c>
      <c r="E346" s="6" t="s">
        <v>2758</v>
      </c>
      <c r="F346" s="6" t="s">
        <v>2759</v>
      </c>
      <c r="G346" s="6" t="s">
        <v>2760</v>
      </c>
      <c r="H346" s="6" t="s">
        <v>1607</v>
      </c>
      <c r="I346" s="6"/>
      <c r="J346" s="6" t="n">
        <v>0.8</v>
      </c>
      <c r="K346" s="6" t="n">
        <v>1</v>
      </c>
      <c r="L346" s="6" t="n">
        <v>0.8</v>
      </c>
    </row>
    <row r="347" customFormat="false" ht="23.85" hidden="false" customHeight="false" outlineLevel="0" collapsed="false">
      <c r="A347" s="6" t="s">
        <v>2761</v>
      </c>
      <c r="B347" s="6" t="n">
        <v>257</v>
      </c>
      <c r="C347" s="6" t="s">
        <v>1647</v>
      </c>
      <c r="D347" s="6" t="s">
        <v>1603</v>
      </c>
      <c r="E347" s="6" t="s">
        <v>2758</v>
      </c>
      <c r="F347" s="6" t="s">
        <v>2759</v>
      </c>
      <c r="G347" s="6" t="s">
        <v>2760</v>
      </c>
      <c r="H347" s="6" t="s">
        <v>1607</v>
      </c>
      <c r="I347" s="6"/>
      <c r="J347" s="6" t="n">
        <v>0.8</v>
      </c>
      <c r="K347" s="6" t="n">
        <v>1</v>
      </c>
      <c r="L347" s="6" t="n">
        <v>0.8</v>
      </c>
    </row>
    <row r="348" customFormat="false" ht="23.85" hidden="false" customHeight="false" outlineLevel="0" collapsed="false">
      <c r="A348" s="6" t="s">
        <v>2762</v>
      </c>
      <c r="B348" s="6" t="n">
        <v>257</v>
      </c>
      <c r="C348" s="6" t="s">
        <v>1647</v>
      </c>
      <c r="D348" s="6" t="s">
        <v>1603</v>
      </c>
      <c r="E348" s="6" t="s">
        <v>2763</v>
      </c>
      <c r="F348" s="6" t="s">
        <v>2759</v>
      </c>
      <c r="G348" s="6" t="s">
        <v>2764</v>
      </c>
      <c r="H348" s="6" t="s">
        <v>1701</v>
      </c>
      <c r="I348" s="6"/>
      <c r="J348" s="6" t="n">
        <v>0.8</v>
      </c>
      <c r="K348" s="6" t="n">
        <v>0.8</v>
      </c>
      <c r="L348" s="6" t="n">
        <v>0.64</v>
      </c>
    </row>
    <row r="349" customFormat="false" ht="23.85" hidden="false" customHeight="false" outlineLevel="0" collapsed="false">
      <c r="A349" s="6" t="s">
        <v>2765</v>
      </c>
      <c r="B349" s="6" t="n">
        <v>258</v>
      </c>
      <c r="C349" s="6" t="s">
        <v>1647</v>
      </c>
      <c r="D349" s="6" t="s">
        <v>1603</v>
      </c>
      <c r="E349" s="6" t="s">
        <v>2766</v>
      </c>
      <c r="F349" s="6" t="s">
        <v>2767</v>
      </c>
      <c r="G349" s="6" t="s">
        <v>2768</v>
      </c>
      <c r="H349" s="6" t="s">
        <v>1701</v>
      </c>
      <c r="I349" s="6"/>
      <c r="J349" s="6" t="n">
        <v>0.8</v>
      </c>
      <c r="K349" s="6" t="n">
        <v>0.8</v>
      </c>
      <c r="L349" s="6" t="n">
        <v>0.64</v>
      </c>
    </row>
    <row r="350" customFormat="false" ht="23.85" hidden="false" customHeight="false" outlineLevel="0" collapsed="false">
      <c r="A350" s="6" t="s">
        <v>2769</v>
      </c>
      <c r="B350" s="6" t="n">
        <v>259</v>
      </c>
      <c r="C350" s="6" t="s">
        <v>1647</v>
      </c>
      <c r="D350" s="6" t="s">
        <v>1603</v>
      </c>
      <c r="E350" s="6" t="s">
        <v>2770</v>
      </c>
      <c r="F350" s="6" t="s">
        <v>2771</v>
      </c>
      <c r="G350" s="6" t="s">
        <v>2772</v>
      </c>
      <c r="H350" s="6" t="s">
        <v>1701</v>
      </c>
      <c r="I350" s="6"/>
      <c r="J350" s="6" t="n">
        <v>0.8</v>
      </c>
      <c r="K350" s="6" t="n">
        <v>0.8</v>
      </c>
      <c r="L350" s="6" t="n">
        <v>0.64</v>
      </c>
    </row>
    <row r="351" customFormat="false" ht="23.85" hidden="false" customHeight="false" outlineLevel="0" collapsed="false">
      <c r="A351" s="6" t="s">
        <v>2773</v>
      </c>
      <c r="B351" s="6" t="n">
        <v>260</v>
      </c>
      <c r="C351" s="6" t="s">
        <v>1647</v>
      </c>
      <c r="D351" s="6" t="s">
        <v>1603</v>
      </c>
      <c r="E351" s="6" t="s">
        <v>2774</v>
      </c>
      <c r="F351" s="6" t="s">
        <v>2775</v>
      </c>
      <c r="G351" s="6" t="s">
        <v>2776</v>
      </c>
      <c r="H351" s="6" t="s">
        <v>1701</v>
      </c>
      <c r="I351" s="6"/>
      <c r="J351" s="6" t="n">
        <v>0.8</v>
      </c>
      <c r="K351" s="6" t="n">
        <v>0.8</v>
      </c>
      <c r="L351" s="6" t="n">
        <v>0.64</v>
      </c>
    </row>
    <row r="352" customFormat="false" ht="23.85" hidden="false" customHeight="false" outlineLevel="0" collapsed="false">
      <c r="A352" s="6" t="s">
        <v>2777</v>
      </c>
      <c r="B352" s="6" t="n">
        <v>261</v>
      </c>
      <c r="C352" s="6" t="s">
        <v>1647</v>
      </c>
      <c r="D352" s="6" t="s">
        <v>1603</v>
      </c>
      <c r="E352" s="6" t="s">
        <v>2778</v>
      </c>
      <c r="F352" s="6" t="s">
        <v>2779</v>
      </c>
      <c r="G352" s="6" t="s">
        <v>2780</v>
      </c>
      <c r="H352" s="6" t="s">
        <v>1701</v>
      </c>
      <c r="I352" s="6"/>
      <c r="J352" s="6" t="n">
        <v>0.8</v>
      </c>
      <c r="K352" s="6" t="n">
        <v>0.8</v>
      </c>
      <c r="L352" s="6" t="n">
        <v>0.64</v>
      </c>
    </row>
    <row r="353" customFormat="false" ht="23.85" hidden="false" customHeight="false" outlineLevel="0" collapsed="false">
      <c r="A353" s="6" t="s">
        <v>2781</v>
      </c>
      <c r="B353" s="6" t="n">
        <v>262</v>
      </c>
      <c r="C353" s="6" t="s">
        <v>2782</v>
      </c>
      <c r="D353" s="6" t="s">
        <v>1603</v>
      </c>
      <c r="E353" s="6" t="s">
        <v>2783</v>
      </c>
      <c r="F353" s="6" t="s">
        <v>2784</v>
      </c>
      <c r="G353" s="6" t="s">
        <v>2785</v>
      </c>
      <c r="H353" s="6" t="s">
        <v>1701</v>
      </c>
      <c r="I353" s="6"/>
      <c r="J353" s="6" t="n">
        <v>0.8</v>
      </c>
      <c r="K353" s="6" t="n">
        <v>0.8</v>
      </c>
      <c r="L353" s="6" t="n">
        <v>0.64</v>
      </c>
    </row>
    <row r="354" customFormat="false" ht="23.85" hidden="false" customHeight="false" outlineLevel="0" collapsed="false">
      <c r="A354" s="6" t="s">
        <v>2786</v>
      </c>
      <c r="B354" s="6" t="n">
        <v>263</v>
      </c>
      <c r="C354" s="6" t="s">
        <v>1981</v>
      </c>
      <c r="D354" s="6" t="s">
        <v>1603</v>
      </c>
      <c r="E354" s="6" t="s">
        <v>2787</v>
      </c>
      <c r="F354" s="6" t="s">
        <v>2788</v>
      </c>
      <c r="G354" s="6" t="s">
        <v>2789</v>
      </c>
      <c r="H354" s="6" t="s">
        <v>1701</v>
      </c>
      <c r="I354" s="6"/>
      <c r="J354" s="6" t="n">
        <v>0.8</v>
      </c>
      <c r="K354" s="6" t="n">
        <v>0.8</v>
      </c>
      <c r="L354" s="6" t="n">
        <v>0.64</v>
      </c>
    </row>
    <row r="355" customFormat="false" ht="23.85" hidden="false" customHeight="false" outlineLevel="0" collapsed="false">
      <c r="A355" s="6" t="s">
        <v>2790</v>
      </c>
      <c r="B355" s="6" t="n">
        <v>263</v>
      </c>
      <c r="C355" s="6" t="s">
        <v>2791</v>
      </c>
      <c r="D355" s="6" t="s">
        <v>1603</v>
      </c>
      <c r="E355" s="6" t="s">
        <v>2792</v>
      </c>
      <c r="F355" s="6" t="s">
        <v>2788</v>
      </c>
      <c r="G355" s="6" t="s">
        <v>2793</v>
      </c>
      <c r="H355" s="6" t="s">
        <v>1701</v>
      </c>
      <c r="I355" s="6"/>
      <c r="J355" s="6" t="n">
        <v>0.8</v>
      </c>
      <c r="K355" s="6" t="n">
        <v>0.8</v>
      </c>
      <c r="L355" s="6" t="n">
        <v>0.64</v>
      </c>
    </row>
    <row r="356" customFormat="false" ht="23.85" hidden="false" customHeight="false" outlineLevel="0" collapsed="false">
      <c r="A356" s="6" t="s">
        <v>2794</v>
      </c>
      <c r="B356" s="6" t="n">
        <v>264</v>
      </c>
      <c r="C356" s="6" t="s">
        <v>1647</v>
      </c>
      <c r="D356" s="6" t="s">
        <v>1603</v>
      </c>
      <c r="E356" s="6" t="s">
        <v>2795</v>
      </c>
      <c r="F356" s="6" t="s">
        <v>2796</v>
      </c>
      <c r="G356" s="6" t="s">
        <v>2797</v>
      </c>
      <c r="H356" s="6" t="s">
        <v>1701</v>
      </c>
      <c r="I356" s="6"/>
      <c r="J356" s="6" t="n">
        <v>0.8</v>
      </c>
      <c r="K356" s="6" t="n">
        <v>0.8</v>
      </c>
      <c r="L356" s="6" t="n">
        <v>0.64</v>
      </c>
    </row>
    <row r="357" customFormat="false" ht="23.85" hidden="false" customHeight="false" outlineLevel="0" collapsed="false">
      <c r="A357" s="6" t="s">
        <v>2798</v>
      </c>
      <c r="B357" s="6" t="n">
        <v>264</v>
      </c>
      <c r="C357" s="6" t="s">
        <v>1633</v>
      </c>
      <c r="D357" s="6" t="s">
        <v>1603</v>
      </c>
      <c r="E357" s="6" t="s">
        <v>2799</v>
      </c>
      <c r="F357" s="6" t="s">
        <v>2796</v>
      </c>
      <c r="G357" s="6" t="s">
        <v>2800</v>
      </c>
      <c r="H357" s="6" t="s">
        <v>1607</v>
      </c>
      <c r="I357" s="6"/>
      <c r="J357" s="6" t="n">
        <v>0.8</v>
      </c>
      <c r="K357" s="6" t="n">
        <v>1</v>
      </c>
      <c r="L357" s="6" t="n">
        <v>0.8</v>
      </c>
    </row>
    <row r="358" customFormat="false" ht="23.85" hidden="false" customHeight="false" outlineLevel="0" collapsed="false">
      <c r="A358" s="6" t="s">
        <v>2801</v>
      </c>
      <c r="B358" s="6" t="n">
        <v>265</v>
      </c>
      <c r="C358" s="6" t="s">
        <v>2802</v>
      </c>
      <c r="D358" s="6" t="s">
        <v>1603</v>
      </c>
      <c r="E358" s="6" t="s">
        <v>2803</v>
      </c>
      <c r="F358" s="6" t="s">
        <v>2804</v>
      </c>
      <c r="G358" s="6" t="s">
        <v>2805</v>
      </c>
      <c r="H358" s="6" t="s">
        <v>1607</v>
      </c>
      <c r="I358" s="6"/>
      <c r="J358" s="6" t="n">
        <v>0.8</v>
      </c>
      <c r="K358" s="6" t="n">
        <v>1</v>
      </c>
      <c r="L358" s="6" t="n">
        <v>0.8</v>
      </c>
    </row>
    <row r="359" customFormat="false" ht="23.85" hidden="false" customHeight="false" outlineLevel="0" collapsed="false">
      <c r="A359" s="6" t="s">
        <v>2806</v>
      </c>
      <c r="B359" s="6" t="n">
        <v>265</v>
      </c>
      <c r="C359" s="6" t="s">
        <v>2807</v>
      </c>
      <c r="D359" s="6" t="s">
        <v>1986</v>
      </c>
      <c r="E359" s="6" t="s">
        <v>2808</v>
      </c>
      <c r="F359" s="6" t="s">
        <v>2809</v>
      </c>
      <c r="G359" s="6" t="s">
        <v>2810</v>
      </c>
      <c r="H359" s="6" t="s">
        <v>1607</v>
      </c>
      <c r="I359" s="6"/>
      <c r="J359" s="6" t="n">
        <v>0.8</v>
      </c>
      <c r="K359" s="6" t="n">
        <v>1</v>
      </c>
      <c r="L359" s="6" t="n">
        <v>0.8</v>
      </c>
    </row>
    <row r="360" customFormat="false" ht="23.85" hidden="false" customHeight="false" outlineLevel="0" collapsed="false">
      <c r="A360" s="6" t="s">
        <v>2811</v>
      </c>
      <c r="B360" s="6" t="n">
        <v>300</v>
      </c>
      <c r="C360" s="6" t="s">
        <v>2812</v>
      </c>
      <c r="D360" s="6" t="s">
        <v>1603</v>
      </c>
      <c r="E360" s="6" t="s">
        <v>2813</v>
      </c>
      <c r="F360" s="6" t="s">
        <v>2814</v>
      </c>
      <c r="G360" s="6" t="s">
        <v>2815</v>
      </c>
      <c r="H360" s="6" t="s">
        <v>1607</v>
      </c>
      <c r="I360" s="6"/>
      <c r="J360" s="6" t="n">
        <v>0.8</v>
      </c>
      <c r="K360" s="6" t="n">
        <v>1</v>
      </c>
      <c r="L360" s="6" t="n">
        <v>0.8</v>
      </c>
    </row>
    <row r="361" customFormat="false" ht="23.85" hidden="false" customHeight="false" outlineLevel="0" collapsed="false">
      <c r="A361" s="6" t="s">
        <v>2816</v>
      </c>
      <c r="B361" s="6" t="n">
        <v>300</v>
      </c>
      <c r="C361" s="6" t="s">
        <v>2817</v>
      </c>
      <c r="D361" s="6" t="s">
        <v>1986</v>
      </c>
      <c r="E361" s="6" t="s">
        <v>2818</v>
      </c>
      <c r="F361" s="6"/>
      <c r="G361" s="6" t="s">
        <v>2819</v>
      </c>
      <c r="H361" s="6" t="s">
        <v>1607</v>
      </c>
      <c r="I361" s="6"/>
      <c r="J361" s="6" t="n">
        <v>0.8</v>
      </c>
      <c r="K361" s="6" t="n">
        <v>1</v>
      </c>
      <c r="L361" s="6" t="n">
        <v>0.8</v>
      </c>
    </row>
    <row r="362" customFormat="false" ht="23.85" hidden="false" customHeight="false" outlineLevel="0" collapsed="false">
      <c r="A362" s="6" t="s">
        <v>2820</v>
      </c>
      <c r="B362" s="6" t="n">
        <v>301</v>
      </c>
      <c r="C362" s="6" t="s">
        <v>2812</v>
      </c>
      <c r="D362" s="6" t="s">
        <v>1603</v>
      </c>
      <c r="E362" s="6" t="s">
        <v>2821</v>
      </c>
      <c r="F362" s="6" t="s">
        <v>2822</v>
      </c>
      <c r="G362" s="6" t="s">
        <v>2823</v>
      </c>
      <c r="H362" s="6" t="s">
        <v>1607</v>
      </c>
      <c r="I362" s="6"/>
      <c r="J362" s="6" t="n">
        <v>0.8</v>
      </c>
      <c r="K362" s="6" t="n">
        <v>1</v>
      </c>
      <c r="L362" s="6" t="n">
        <v>0.8</v>
      </c>
    </row>
    <row r="363" customFormat="false" ht="23.85" hidden="false" customHeight="false" outlineLevel="0" collapsed="false">
      <c r="A363" s="6" t="s">
        <v>2824</v>
      </c>
      <c r="B363" s="6" t="n">
        <v>302</v>
      </c>
      <c r="C363" s="6" t="s">
        <v>2812</v>
      </c>
      <c r="D363" s="6" t="s">
        <v>1603</v>
      </c>
      <c r="E363" s="6" t="s">
        <v>2825</v>
      </c>
      <c r="F363" s="6" t="s">
        <v>2826</v>
      </c>
      <c r="G363" s="6" t="s">
        <v>2827</v>
      </c>
      <c r="H363" s="6" t="s">
        <v>1607</v>
      </c>
      <c r="I363" s="6"/>
      <c r="J363" s="6" t="n">
        <v>0.8</v>
      </c>
      <c r="K363" s="6" t="n">
        <v>1</v>
      </c>
      <c r="L363" s="6" t="n">
        <v>0.8</v>
      </c>
    </row>
    <row r="364" customFormat="false" ht="23.85" hidden="false" customHeight="false" outlineLevel="0" collapsed="false">
      <c r="A364" s="6" t="s">
        <v>2828</v>
      </c>
      <c r="B364" s="6" t="n">
        <v>303</v>
      </c>
      <c r="C364" s="6" t="s">
        <v>2817</v>
      </c>
      <c r="D364" s="6" t="s">
        <v>1986</v>
      </c>
      <c r="E364" s="6" t="s">
        <v>2829</v>
      </c>
      <c r="F364" s="6" t="s">
        <v>2830</v>
      </c>
      <c r="G364" s="6" t="s">
        <v>2831</v>
      </c>
      <c r="H364" s="6" t="s">
        <v>1607</v>
      </c>
      <c r="I364" s="6"/>
      <c r="J364" s="6" t="n">
        <v>0.8</v>
      </c>
      <c r="K364" s="6" t="n">
        <v>1</v>
      </c>
      <c r="L364" s="6" t="n">
        <v>0.8</v>
      </c>
    </row>
    <row r="365" customFormat="false" ht="35.05" hidden="false" customHeight="false" outlineLevel="0" collapsed="false">
      <c r="A365" s="6" t="s">
        <v>2832</v>
      </c>
      <c r="B365" s="6" t="n">
        <v>304</v>
      </c>
      <c r="C365" s="6" t="s">
        <v>2812</v>
      </c>
      <c r="D365" s="6" t="s">
        <v>1603</v>
      </c>
      <c r="E365" s="6" t="s">
        <v>2833</v>
      </c>
      <c r="F365" s="6" t="s">
        <v>2834</v>
      </c>
      <c r="G365" s="6" t="s">
        <v>2835</v>
      </c>
      <c r="H365" s="6" t="s">
        <v>1607</v>
      </c>
      <c r="I365" s="6"/>
      <c r="J365" s="6" t="n">
        <v>0.8</v>
      </c>
      <c r="K365" s="6" t="n">
        <v>1</v>
      </c>
      <c r="L365" s="6" t="n">
        <v>0.8</v>
      </c>
    </row>
    <row r="366" customFormat="false" ht="35.05" hidden="false" customHeight="false" outlineLevel="0" collapsed="false">
      <c r="A366" s="6" t="s">
        <v>2836</v>
      </c>
      <c r="B366" s="6" t="n">
        <v>305</v>
      </c>
      <c r="C366" s="6" t="s">
        <v>2812</v>
      </c>
      <c r="D366" s="6" t="s">
        <v>1603</v>
      </c>
      <c r="E366" s="6" t="s">
        <v>2837</v>
      </c>
      <c r="F366" s="6" t="s">
        <v>2838</v>
      </c>
      <c r="G366" s="6" t="s">
        <v>2839</v>
      </c>
      <c r="H366" s="6" t="s">
        <v>1607</v>
      </c>
      <c r="I366" s="6"/>
      <c r="J366" s="6" t="n">
        <v>0.8</v>
      </c>
      <c r="K366" s="6" t="n">
        <v>1</v>
      </c>
      <c r="L366" s="6" t="n">
        <v>0.8</v>
      </c>
    </row>
    <row r="367" customFormat="false" ht="35.05" hidden="false" customHeight="false" outlineLevel="0" collapsed="false">
      <c r="A367" s="6" t="s">
        <v>2840</v>
      </c>
      <c r="B367" s="6" t="n">
        <v>306</v>
      </c>
      <c r="C367" s="6" t="s">
        <v>2812</v>
      </c>
      <c r="D367" s="6" t="s">
        <v>1603</v>
      </c>
      <c r="E367" s="6" t="s">
        <v>2841</v>
      </c>
      <c r="F367" s="6" t="s">
        <v>2842</v>
      </c>
      <c r="G367" s="6" t="s">
        <v>2843</v>
      </c>
      <c r="H367" s="6" t="s">
        <v>1607</v>
      </c>
      <c r="I367" s="6"/>
      <c r="J367" s="6" t="n">
        <v>0.8</v>
      </c>
      <c r="K367" s="6" t="n">
        <v>1</v>
      </c>
      <c r="L367" s="6" t="n">
        <v>0.8</v>
      </c>
    </row>
    <row r="368" customFormat="false" ht="23.85" hidden="false" customHeight="false" outlineLevel="0" collapsed="false">
      <c r="A368" s="6" t="s">
        <v>2844</v>
      </c>
      <c r="B368" s="6" t="n">
        <v>307</v>
      </c>
      <c r="C368" s="6" t="s">
        <v>2812</v>
      </c>
      <c r="D368" s="6" t="s">
        <v>1603</v>
      </c>
      <c r="E368" s="6" t="s">
        <v>2845</v>
      </c>
      <c r="F368" s="6" t="s">
        <v>2842</v>
      </c>
      <c r="G368" s="6" t="s">
        <v>2846</v>
      </c>
      <c r="H368" s="6" t="s">
        <v>1607</v>
      </c>
      <c r="I368" s="6"/>
      <c r="J368" s="6" t="n">
        <v>0.8</v>
      </c>
      <c r="K368" s="6" t="n">
        <v>1</v>
      </c>
      <c r="L368" s="6" t="n">
        <v>0.8</v>
      </c>
    </row>
    <row r="369" customFormat="false" ht="23.85" hidden="false" customHeight="false" outlineLevel="0" collapsed="false">
      <c r="A369" s="6" t="s">
        <v>2847</v>
      </c>
      <c r="B369" s="6" t="n">
        <v>308</v>
      </c>
      <c r="C369" s="6" t="s">
        <v>2812</v>
      </c>
      <c r="D369" s="6" t="s">
        <v>1603</v>
      </c>
      <c r="E369" s="6" t="s">
        <v>2848</v>
      </c>
      <c r="F369" s="6" t="s">
        <v>2849</v>
      </c>
      <c r="G369" s="6" t="s">
        <v>2850</v>
      </c>
      <c r="H369" s="6" t="s">
        <v>1607</v>
      </c>
      <c r="I369" s="6"/>
      <c r="J369" s="6" t="n">
        <v>0.8</v>
      </c>
      <c r="K369" s="6" t="n">
        <v>1</v>
      </c>
      <c r="L369" s="6" t="n">
        <v>0.8</v>
      </c>
    </row>
    <row r="370" customFormat="false" ht="23.85" hidden="false" customHeight="false" outlineLevel="0" collapsed="false">
      <c r="A370" s="6" t="s">
        <v>2851</v>
      </c>
      <c r="B370" s="6" t="n">
        <v>309</v>
      </c>
      <c r="C370" s="6" t="s">
        <v>2812</v>
      </c>
      <c r="D370" s="6" t="s">
        <v>1603</v>
      </c>
      <c r="E370" s="6" t="s">
        <v>2852</v>
      </c>
      <c r="F370" s="6" t="s">
        <v>2853</v>
      </c>
      <c r="G370" s="6" t="s">
        <v>2854</v>
      </c>
      <c r="H370" s="6" t="s">
        <v>1607</v>
      </c>
      <c r="I370" s="6"/>
      <c r="J370" s="6" t="n">
        <v>0.8</v>
      </c>
      <c r="K370" s="6" t="n">
        <v>1</v>
      </c>
      <c r="L370" s="6" t="n">
        <v>0.8</v>
      </c>
    </row>
    <row r="371" customFormat="false" ht="23.85" hidden="false" customHeight="false" outlineLevel="0" collapsed="false">
      <c r="A371" s="6" t="s">
        <v>2855</v>
      </c>
      <c r="B371" s="6" t="n">
        <v>310</v>
      </c>
      <c r="C371" s="6" t="s">
        <v>2812</v>
      </c>
      <c r="D371" s="6" t="s">
        <v>1603</v>
      </c>
      <c r="E371" s="6" t="s">
        <v>2852</v>
      </c>
      <c r="F371" s="6" t="s">
        <v>2853</v>
      </c>
      <c r="G371" s="6" t="s">
        <v>2854</v>
      </c>
      <c r="H371" s="6" t="s">
        <v>1607</v>
      </c>
      <c r="I371" s="6"/>
      <c r="J371" s="6" t="n">
        <v>0.8</v>
      </c>
      <c r="K371" s="6" t="n">
        <v>1</v>
      </c>
      <c r="L371" s="6" t="n">
        <v>0.8</v>
      </c>
    </row>
    <row r="372" customFormat="false" ht="23.85" hidden="false" customHeight="false" outlineLevel="0" collapsed="false">
      <c r="A372" s="6" t="s">
        <v>2856</v>
      </c>
      <c r="B372" s="6" t="n">
        <v>311</v>
      </c>
      <c r="C372" s="6" t="s">
        <v>2812</v>
      </c>
      <c r="D372" s="6" t="s">
        <v>1603</v>
      </c>
      <c r="E372" s="6" t="s">
        <v>2852</v>
      </c>
      <c r="F372" s="6" t="s">
        <v>2853</v>
      </c>
      <c r="G372" s="6" t="s">
        <v>2854</v>
      </c>
      <c r="H372" s="6" t="s">
        <v>1607</v>
      </c>
      <c r="I372" s="6"/>
      <c r="J372" s="6" t="n">
        <v>0.8</v>
      </c>
      <c r="K372" s="6" t="n">
        <v>1</v>
      </c>
      <c r="L372" s="6" t="n">
        <v>0.8</v>
      </c>
    </row>
    <row r="373" customFormat="false" ht="35.05" hidden="false" customHeight="false" outlineLevel="0" collapsed="false">
      <c r="A373" s="6" t="s">
        <v>2857</v>
      </c>
      <c r="B373" s="6" t="n">
        <v>312</v>
      </c>
      <c r="C373" s="6" t="s">
        <v>2812</v>
      </c>
      <c r="D373" s="6" t="s">
        <v>1603</v>
      </c>
      <c r="E373" s="6" t="s">
        <v>2858</v>
      </c>
      <c r="F373" s="6" t="s">
        <v>2859</v>
      </c>
      <c r="G373" s="6" t="s">
        <v>2860</v>
      </c>
      <c r="H373" s="6" t="s">
        <v>1607</v>
      </c>
      <c r="I373" s="6"/>
      <c r="J373" s="6" t="n">
        <v>0.8</v>
      </c>
      <c r="K373" s="6" t="n">
        <v>1</v>
      </c>
      <c r="L373" s="6" t="n">
        <v>0.8</v>
      </c>
    </row>
    <row r="374" customFormat="false" ht="15" hidden="false" customHeight="false" outlineLevel="0" collapsed="false">
      <c r="A374" s="6" t="s">
        <v>2861</v>
      </c>
      <c r="B374" s="6" t="n">
        <v>313</v>
      </c>
      <c r="C374" s="6" t="s">
        <v>2862</v>
      </c>
      <c r="D374" s="6" t="s">
        <v>1986</v>
      </c>
      <c r="E374" s="6" t="s">
        <v>2863</v>
      </c>
      <c r="F374" s="6" t="s">
        <v>2864</v>
      </c>
      <c r="G374" s="6" t="s">
        <v>2865</v>
      </c>
      <c r="H374" s="6" t="s">
        <v>1607</v>
      </c>
      <c r="I374" s="6"/>
      <c r="J374" s="6" t="n">
        <v>0.8</v>
      </c>
      <c r="K374" s="6" t="n">
        <v>1</v>
      </c>
      <c r="L374" s="6" t="n">
        <v>0.8</v>
      </c>
    </row>
    <row r="375" customFormat="false" ht="23.85" hidden="false" customHeight="false" outlineLevel="0" collapsed="false">
      <c r="A375" s="6" t="s">
        <v>2866</v>
      </c>
      <c r="B375" s="6" t="n">
        <v>314</v>
      </c>
      <c r="C375" s="6" t="s">
        <v>2867</v>
      </c>
      <c r="D375" s="6" t="s">
        <v>1986</v>
      </c>
      <c r="E375" s="6" t="s">
        <v>2868</v>
      </c>
      <c r="F375" s="6" t="s">
        <v>2869</v>
      </c>
      <c r="G375" s="6" t="s">
        <v>2870</v>
      </c>
      <c r="H375" s="6" t="s">
        <v>1607</v>
      </c>
      <c r="I375" s="6"/>
      <c r="J375" s="6" t="n">
        <v>0.8</v>
      </c>
      <c r="K375" s="6" t="n">
        <v>1</v>
      </c>
      <c r="L375" s="6" t="n">
        <v>0.8</v>
      </c>
    </row>
    <row r="376" customFormat="false" ht="23.85" hidden="false" customHeight="false" outlineLevel="0" collapsed="false">
      <c r="A376" s="6" t="s">
        <v>2871</v>
      </c>
      <c r="B376" s="6" t="n">
        <v>315</v>
      </c>
      <c r="C376" s="6" t="s">
        <v>2812</v>
      </c>
      <c r="D376" s="6" t="s">
        <v>1603</v>
      </c>
      <c r="E376" s="6" t="s">
        <v>2872</v>
      </c>
      <c r="F376" s="6" t="s">
        <v>2873</v>
      </c>
      <c r="G376" s="6" t="s">
        <v>2874</v>
      </c>
      <c r="H376" s="6" t="s">
        <v>1607</v>
      </c>
      <c r="I376" s="6"/>
      <c r="J376" s="6" t="n">
        <v>0.8</v>
      </c>
      <c r="K376" s="6" t="n">
        <v>1</v>
      </c>
      <c r="L376" s="6" t="n">
        <v>0.8</v>
      </c>
    </row>
    <row r="377" customFormat="false" ht="23.85" hidden="false" customHeight="false" outlineLevel="0" collapsed="false">
      <c r="A377" s="6" t="s">
        <v>2875</v>
      </c>
      <c r="B377" s="6" t="n">
        <v>315</v>
      </c>
      <c r="C377" s="6" t="s">
        <v>2867</v>
      </c>
      <c r="D377" s="6" t="s">
        <v>1986</v>
      </c>
      <c r="E377" s="6" t="s">
        <v>2868</v>
      </c>
      <c r="F377" s="6" t="s">
        <v>2869</v>
      </c>
      <c r="G377" s="6" t="s">
        <v>2870</v>
      </c>
      <c r="H377" s="6" t="s">
        <v>1607</v>
      </c>
      <c r="I377" s="6"/>
      <c r="J377" s="6" t="n">
        <v>0.8</v>
      </c>
      <c r="K377" s="6" t="n">
        <v>1</v>
      </c>
      <c r="L377" s="6" t="n">
        <v>0.8</v>
      </c>
    </row>
    <row r="378" customFormat="false" ht="23.85" hidden="false" customHeight="false" outlineLevel="0" collapsed="false">
      <c r="A378" s="6" t="s">
        <v>2876</v>
      </c>
      <c r="B378" s="6" t="n">
        <v>316</v>
      </c>
      <c r="C378" s="6" t="s">
        <v>2812</v>
      </c>
      <c r="D378" s="6" t="s">
        <v>1603</v>
      </c>
      <c r="E378" s="6" t="s">
        <v>2877</v>
      </c>
      <c r="F378" s="6" t="s">
        <v>2878</v>
      </c>
      <c r="G378" s="6" t="s">
        <v>2879</v>
      </c>
      <c r="H378" s="6" t="s">
        <v>1607</v>
      </c>
      <c r="I378" s="6"/>
      <c r="J378" s="6" t="n">
        <v>0.8</v>
      </c>
      <c r="K378" s="6" t="n">
        <v>1</v>
      </c>
      <c r="L378" s="6" t="n">
        <v>0.8</v>
      </c>
    </row>
    <row r="379" customFormat="false" ht="23.85" hidden="false" customHeight="false" outlineLevel="0" collapsed="false">
      <c r="A379" s="6" t="s">
        <v>2880</v>
      </c>
      <c r="B379" s="6" t="n">
        <v>316</v>
      </c>
      <c r="C379" s="6" t="s">
        <v>2867</v>
      </c>
      <c r="D379" s="6" t="s">
        <v>1986</v>
      </c>
      <c r="E379" s="6" t="s">
        <v>2868</v>
      </c>
      <c r="F379" s="6" t="s">
        <v>2869</v>
      </c>
      <c r="G379" s="6" t="s">
        <v>2870</v>
      </c>
      <c r="H379" s="6" t="s">
        <v>1607</v>
      </c>
      <c r="I379" s="6"/>
      <c r="J379" s="6" t="n">
        <v>0.8</v>
      </c>
      <c r="K379" s="6" t="n">
        <v>1</v>
      </c>
      <c r="L379" s="6" t="n">
        <v>0.8</v>
      </c>
    </row>
    <row r="380" customFormat="false" ht="35.05" hidden="false" customHeight="false" outlineLevel="0" collapsed="false">
      <c r="A380" s="6" t="s">
        <v>2881</v>
      </c>
      <c r="B380" s="6" t="n">
        <v>317</v>
      </c>
      <c r="C380" s="6" t="s">
        <v>2812</v>
      </c>
      <c r="D380" s="6" t="s">
        <v>1603</v>
      </c>
      <c r="E380" s="6" t="s">
        <v>2882</v>
      </c>
      <c r="F380" s="6" t="s">
        <v>2883</v>
      </c>
      <c r="G380" s="6" t="s">
        <v>2884</v>
      </c>
      <c r="H380" s="6" t="s">
        <v>1607</v>
      </c>
      <c r="I380" s="6"/>
      <c r="J380" s="6" t="n">
        <v>0.8</v>
      </c>
      <c r="K380" s="6" t="n">
        <v>1</v>
      </c>
      <c r="L380" s="6" t="n">
        <v>0.8</v>
      </c>
    </row>
    <row r="381" customFormat="false" ht="23.85" hidden="false" customHeight="false" outlineLevel="0" collapsed="false">
      <c r="A381" s="6" t="s">
        <v>2885</v>
      </c>
      <c r="B381" s="6" t="n">
        <v>317</v>
      </c>
      <c r="C381" s="6" t="s">
        <v>2867</v>
      </c>
      <c r="D381" s="6" t="s">
        <v>1986</v>
      </c>
      <c r="E381" s="6" t="s">
        <v>2868</v>
      </c>
      <c r="F381" s="6" t="s">
        <v>2869</v>
      </c>
      <c r="G381" s="6" t="s">
        <v>2870</v>
      </c>
      <c r="H381" s="6" t="s">
        <v>1607</v>
      </c>
      <c r="I381" s="6"/>
      <c r="J381" s="6" t="n">
        <v>0.8</v>
      </c>
      <c r="K381" s="6" t="n">
        <v>1</v>
      </c>
      <c r="L381" s="6" t="n">
        <v>0.8</v>
      </c>
    </row>
    <row r="382" customFormat="false" ht="23.85" hidden="false" customHeight="false" outlineLevel="0" collapsed="false">
      <c r="A382" s="6" t="s">
        <v>2886</v>
      </c>
      <c r="B382" s="6" t="n">
        <v>318</v>
      </c>
      <c r="C382" s="6" t="s">
        <v>2812</v>
      </c>
      <c r="D382" s="6" t="s">
        <v>1603</v>
      </c>
      <c r="E382" s="6" t="s">
        <v>2887</v>
      </c>
      <c r="F382" s="6" t="s">
        <v>2888</v>
      </c>
      <c r="G382" s="6" t="s">
        <v>2889</v>
      </c>
      <c r="H382" s="6" t="s">
        <v>1607</v>
      </c>
      <c r="I382" s="6"/>
      <c r="J382" s="6" t="n">
        <v>0.8</v>
      </c>
      <c r="K382" s="6" t="n">
        <v>1</v>
      </c>
      <c r="L382" s="6" t="n">
        <v>0.8</v>
      </c>
    </row>
    <row r="383" customFormat="false" ht="23.85" hidden="false" customHeight="false" outlineLevel="0" collapsed="false">
      <c r="A383" s="6" t="s">
        <v>2890</v>
      </c>
      <c r="B383" s="6" t="n">
        <v>318</v>
      </c>
      <c r="C383" s="6" t="s">
        <v>2867</v>
      </c>
      <c r="D383" s="6" t="s">
        <v>1986</v>
      </c>
      <c r="E383" s="6" t="s">
        <v>2868</v>
      </c>
      <c r="F383" s="6" t="s">
        <v>2869</v>
      </c>
      <c r="G383" s="6" t="s">
        <v>2870</v>
      </c>
      <c r="H383" s="6" t="s">
        <v>1607</v>
      </c>
      <c r="I383" s="6"/>
      <c r="J383" s="6" t="n">
        <v>0.8</v>
      </c>
      <c r="K383" s="6" t="n">
        <v>1</v>
      </c>
      <c r="L383" s="6" t="n">
        <v>0.8</v>
      </c>
    </row>
    <row r="384" customFormat="false" ht="35.05" hidden="false" customHeight="false" outlineLevel="0" collapsed="false">
      <c r="A384" s="6" t="s">
        <v>2891</v>
      </c>
      <c r="B384" s="6" t="n">
        <v>319</v>
      </c>
      <c r="C384" s="6" t="s">
        <v>2812</v>
      </c>
      <c r="D384" s="6" t="s">
        <v>1603</v>
      </c>
      <c r="E384" s="6" t="s">
        <v>2892</v>
      </c>
      <c r="F384" s="6" t="s">
        <v>2893</v>
      </c>
      <c r="G384" s="6" t="s">
        <v>2894</v>
      </c>
      <c r="H384" s="6" t="s">
        <v>1701</v>
      </c>
      <c r="I384" s="6"/>
      <c r="J384" s="6" t="n">
        <v>0.8</v>
      </c>
      <c r="K384" s="6" t="n">
        <v>0.8</v>
      </c>
      <c r="L384" s="6" t="n">
        <v>0.64</v>
      </c>
    </row>
    <row r="385" customFormat="false" ht="23.85" hidden="false" customHeight="false" outlineLevel="0" collapsed="false">
      <c r="A385" s="6" t="s">
        <v>2895</v>
      </c>
      <c r="B385" s="6" t="n">
        <v>319</v>
      </c>
      <c r="C385" s="6" t="s">
        <v>2896</v>
      </c>
      <c r="D385" s="6" t="s">
        <v>1986</v>
      </c>
      <c r="E385" s="6" t="s">
        <v>2897</v>
      </c>
      <c r="F385" s="6" t="s">
        <v>2898</v>
      </c>
      <c r="G385" s="6" t="s">
        <v>2899</v>
      </c>
      <c r="H385" s="6" t="s">
        <v>1607</v>
      </c>
      <c r="I385" s="6"/>
      <c r="J385" s="6" t="n">
        <v>0.8</v>
      </c>
      <c r="K385" s="6" t="n">
        <v>1</v>
      </c>
      <c r="L385" s="6" t="n">
        <v>0.8</v>
      </c>
    </row>
    <row r="386" customFormat="false" ht="23.85" hidden="false" customHeight="false" outlineLevel="0" collapsed="false">
      <c r="A386" s="6" t="s">
        <v>2900</v>
      </c>
      <c r="B386" s="6" t="n">
        <v>319</v>
      </c>
      <c r="C386" s="6" t="s">
        <v>2867</v>
      </c>
      <c r="D386" s="6" t="s">
        <v>1986</v>
      </c>
      <c r="E386" s="6" t="s">
        <v>2868</v>
      </c>
      <c r="F386" s="6" t="s">
        <v>2869</v>
      </c>
      <c r="G386" s="6" t="s">
        <v>2870</v>
      </c>
      <c r="H386" s="6" t="s">
        <v>1607</v>
      </c>
      <c r="I386" s="6"/>
      <c r="J386" s="6" t="n">
        <v>0.8</v>
      </c>
      <c r="K386" s="6" t="n">
        <v>1</v>
      </c>
      <c r="L386" s="6" t="n">
        <v>0.8</v>
      </c>
    </row>
    <row r="387" customFormat="false" ht="23.85" hidden="false" customHeight="false" outlineLevel="0" collapsed="false">
      <c r="A387" s="6" t="s">
        <v>2901</v>
      </c>
      <c r="B387" s="6" t="n">
        <v>320</v>
      </c>
      <c r="C387" s="6" t="s">
        <v>2896</v>
      </c>
      <c r="D387" s="6" t="s">
        <v>1986</v>
      </c>
      <c r="E387" s="6" t="s">
        <v>2902</v>
      </c>
      <c r="F387" s="6" t="s">
        <v>2898</v>
      </c>
      <c r="G387" s="6" t="s">
        <v>2899</v>
      </c>
      <c r="H387" s="6" t="s">
        <v>1607</v>
      </c>
      <c r="I387" s="6"/>
      <c r="J387" s="6" t="n">
        <v>0.8</v>
      </c>
      <c r="K387" s="6" t="n">
        <v>1</v>
      </c>
      <c r="L387" s="6" t="n">
        <v>0.8</v>
      </c>
    </row>
    <row r="388" customFormat="false" ht="35.05" hidden="false" customHeight="false" outlineLevel="0" collapsed="false">
      <c r="A388" s="6" t="s">
        <v>2903</v>
      </c>
      <c r="B388" s="6" t="n">
        <v>320</v>
      </c>
      <c r="C388" s="6" t="s">
        <v>2812</v>
      </c>
      <c r="D388" s="6" t="s">
        <v>1603</v>
      </c>
      <c r="E388" s="6" t="s">
        <v>2904</v>
      </c>
      <c r="F388" s="6" t="s">
        <v>2905</v>
      </c>
      <c r="G388" s="6" t="s">
        <v>2906</v>
      </c>
      <c r="H388" s="6" t="s">
        <v>1607</v>
      </c>
      <c r="I388" s="6"/>
      <c r="J388" s="6" t="n">
        <v>0.8</v>
      </c>
      <c r="K388" s="6" t="n">
        <v>1</v>
      </c>
      <c r="L388" s="6" t="n">
        <v>0.8</v>
      </c>
    </row>
    <row r="389" customFormat="false" ht="23.85" hidden="false" customHeight="false" outlineLevel="0" collapsed="false">
      <c r="A389" s="6" t="s">
        <v>2907</v>
      </c>
      <c r="B389" s="6" t="n">
        <v>321</v>
      </c>
      <c r="C389" s="6" t="s">
        <v>2812</v>
      </c>
      <c r="D389" s="6" t="s">
        <v>1603</v>
      </c>
      <c r="E389" s="6" t="s">
        <v>2908</v>
      </c>
      <c r="F389" s="6" t="s">
        <v>2909</v>
      </c>
      <c r="G389" s="6" t="s">
        <v>2910</v>
      </c>
      <c r="H389" s="6" t="s">
        <v>1607</v>
      </c>
      <c r="I389" s="6"/>
      <c r="J389" s="6" t="n">
        <v>0.8</v>
      </c>
      <c r="K389" s="6" t="n">
        <v>1</v>
      </c>
      <c r="L389" s="6" t="n">
        <v>0.8</v>
      </c>
    </row>
    <row r="390" customFormat="false" ht="23.85" hidden="false" customHeight="false" outlineLevel="0" collapsed="false">
      <c r="A390" s="6" t="s">
        <v>2911</v>
      </c>
      <c r="B390" s="6" t="n">
        <v>322</v>
      </c>
      <c r="C390" s="6" t="s">
        <v>2867</v>
      </c>
      <c r="D390" s="6" t="s">
        <v>1986</v>
      </c>
      <c r="E390" s="6" t="s">
        <v>2868</v>
      </c>
      <c r="F390" s="6" t="s">
        <v>2869</v>
      </c>
      <c r="G390" s="6" t="s">
        <v>2870</v>
      </c>
      <c r="H390" s="6" t="s">
        <v>1607</v>
      </c>
      <c r="I390" s="6"/>
      <c r="J390" s="6" t="n">
        <v>0.8</v>
      </c>
      <c r="K390" s="6" t="n">
        <v>1</v>
      </c>
      <c r="L390" s="6" t="n">
        <v>0.8</v>
      </c>
    </row>
    <row r="391" customFormat="false" ht="23.85" hidden="false" customHeight="false" outlineLevel="0" collapsed="false">
      <c r="A391" s="6" t="s">
        <v>2912</v>
      </c>
      <c r="B391" s="6" t="n">
        <v>322</v>
      </c>
      <c r="C391" s="6" t="s">
        <v>2867</v>
      </c>
      <c r="D391" s="6" t="s">
        <v>1986</v>
      </c>
      <c r="E391" s="6" t="s">
        <v>2913</v>
      </c>
      <c r="F391" s="6"/>
      <c r="G391" s="6" t="s">
        <v>2914</v>
      </c>
      <c r="H391" s="6" t="s">
        <v>1607</v>
      </c>
      <c r="I391" s="6"/>
      <c r="J391" s="6" t="n">
        <v>0.8</v>
      </c>
      <c r="K391" s="6" t="n">
        <v>1</v>
      </c>
      <c r="L391" s="6" t="n">
        <v>0.8</v>
      </c>
    </row>
    <row r="392" customFormat="false" ht="35.05" hidden="false" customHeight="false" outlineLevel="0" collapsed="false">
      <c r="A392" s="6" t="s">
        <v>2915</v>
      </c>
      <c r="B392" s="6" t="n">
        <v>323</v>
      </c>
      <c r="C392" s="6" t="s">
        <v>2812</v>
      </c>
      <c r="D392" s="6" t="s">
        <v>1603</v>
      </c>
      <c r="E392" s="6" t="s">
        <v>2916</v>
      </c>
      <c r="F392" s="6" t="s">
        <v>2917</v>
      </c>
      <c r="G392" s="6" t="s">
        <v>2918</v>
      </c>
      <c r="H392" s="6" t="s">
        <v>1607</v>
      </c>
      <c r="I392" s="6"/>
      <c r="J392" s="6" t="n">
        <v>0.8</v>
      </c>
      <c r="K392" s="6" t="n">
        <v>1</v>
      </c>
      <c r="L392" s="6" t="n">
        <v>0.8</v>
      </c>
    </row>
    <row r="393" customFormat="false" ht="23.85" hidden="false" customHeight="false" outlineLevel="0" collapsed="false">
      <c r="A393" s="6" t="s">
        <v>2919</v>
      </c>
      <c r="B393" s="6" t="n">
        <v>323</v>
      </c>
      <c r="C393" s="6" t="s">
        <v>2867</v>
      </c>
      <c r="D393" s="6" t="s">
        <v>1986</v>
      </c>
      <c r="E393" s="6" t="s">
        <v>2920</v>
      </c>
      <c r="F393" s="6"/>
      <c r="G393" s="6" t="s">
        <v>2914</v>
      </c>
      <c r="H393" s="6" t="s">
        <v>1607</v>
      </c>
      <c r="I393" s="6"/>
      <c r="J393" s="6" t="n">
        <v>0.8</v>
      </c>
      <c r="K393" s="6" t="n">
        <v>1</v>
      </c>
      <c r="L393" s="6" t="n">
        <v>0.8</v>
      </c>
    </row>
    <row r="394" customFormat="false" ht="23.85" hidden="false" customHeight="false" outlineLevel="0" collapsed="false">
      <c r="A394" s="6" t="s">
        <v>2921</v>
      </c>
      <c r="B394" s="6" t="n">
        <v>324</v>
      </c>
      <c r="C394" s="6" t="s">
        <v>2867</v>
      </c>
      <c r="D394" s="6" t="s">
        <v>1986</v>
      </c>
      <c r="E394" s="6" t="s">
        <v>2868</v>
      </c>
      <c r="F394" s="6" t="s">
        <v>2869</v>
      </c>
      <c r="G394" s="6" t="s">
        <v>2870</v>
      </c>
      <c r="H394" s="6" t="s">
        <v>1607</v>
      </c>
      <c r="I394" s="6"/>
      <c r="J394" s="6" t="n">
        <v>0.8</v>
      </c>
      <c r="K394" s="6" t="n">
        <v>1</v>
      </c>
      <c r="L394" s="6" t="n">
        <v>0.8</v>
      </c>
    </row>
    <row r="395" customFormat="false" ht="23.85" hidden="false" customHeight="false" outlineLevel="0" collapsed="false">
      <c r="A395" s="6" t="s">
        <v>2922</v>
      </c>
      <c r="B395" s="6" t="n">
        <v>325</v>
      </c>
      <c r="C395" s="6" t="s">
        <v>2896</v>
      </c>
      <c r="D395" s="6" t="s">
        <v>1986</v>
      </c>
      <c r="E395" s="6" t="s">
        <v>2923</v>
      </c>
      <c r="F395" s="6" t="s">
        <v>2924</v>
      </c>
      <c r="G395" s="6" t="s">
        <v>2925</v>
      </c>
      <c r="H395" s="6" t="s">
        <v>1607</v>
      </c>
      <c r="I395" s="6"/>
      <c r="J395" s="6" t="n">
        <v>0.8</v>
      </c>
      <c r="K395" s="6" t="n">
        <v>1</v>
      </c>
      <c r="L395" s="6" t="n">
        <v>0.8</v>
      </c>
    </row>
    <row r="396" customFormat="false" ht="23.85" hidden="false" customHeight="false" outlineLevel="0" collapsed="false">
      <c r="A396" s="6" t="s">
        <v>2926</v>
      </c>
      <c r="B396" s="6" t="n">
        <v>325</v>
      </c>
      <c r="C396" s="6" t="s">
        <v>2867</v>
      </c>
      <c r="D396" s="6" t="s">
        <v>1986</v>
      </c>
      <c r="E396" s="6" t="s">
        <v>2868</v>
      </c>
      <c r="F396" s="6" t="s">
        <v>2869</v>
      </c>
      <c r="G396" s="6" t="s">
        <v>2870</v>
      </c>
      <c r="H396" s="6" t="s">
        <v>1607</v>
      </c>
      <c r="I396" s="6"/>
      <c r="J396" s="6" t="n">
        <v>0.8</v>
      </c>
      <c r="K396" s="6" t="n">
        <v>1</v>
      </c>
      <c r="L396" s="6" t="n">
        <v>0.8</v>
      </c>
    </row>
    <row r="397" customFormat="false" ht="23.85" hidden="false" customHeight="false" outlineLevel="0" collapsed="false">
      <c r="A397" s="6" t="s">
        <v>2927</v>
      </c>
      <c r="B397" s="6" t="n">
        <v>326</v>
      </c>
      <c r="C397" s="6" t="s">
        <v>2928</v>
      </c>
      <c r="D397" s="6" t="s">
        <v>1986</v>
      </c>
      <c r="E397" s="6" t="s">
        <v>2929</v>
      </c>
      <c r="F397" s="6" t="s">
        <v>2930</v>
      </c>
      <c r="G397" s="6" t="s">
        <v>2931</v>
      </c>
      <c r="H397" s="6" t="s">
        <v>1607</v>
      </c>
      <c r="I397" s="6"/>
      <c r="J397" s="6" t="n">
        <v>0.8</v>
      </c>
      <c r="K397" s="6" t="n">
        <v>1</v>
      </c>
      <c r="L397" s="6" t="n">
        <v>0.8</v>
      </c>
    </row>
    <row r="398" customFormat="false" ht="23.85" hidden="false" customHeight="false" outlineLevel="0" collapsed="false">
      <c r="A398" s="6" t="s">
        <v>2932</v>
      </c>
      <c r="B398" s="6" t="n">
        <v>327</v>
      </c>
      <c r="C398" s="6" t="s">
        <v>2928</v>
      </c>
      <c r="D398" s="6" t="s">
        <v>1986</v>
      </c>
      <c r="E398" s="6" t="s">
        <v>2933</v>
      </c>
      <c r="F398" s="6" t="s">
        <v>2934</v>
      </c>
      <c r="G398" s="6" t="s">
        <v>2935</v>
      </c>
      <c r="H398" s="6" t="s">
        <v>1607</v>
      </c>
      <c r="I398" s="6"/>
      <c r="J398" s="6" t="n">
        <v>0.8</v>
      </c>
      <c r="K398" s="6" t="n">
        <v>1</v>
      </c>
      <c r="L398" s="6" t="n">
        <v>0.8</v>
      </c>
    </row>
    <row r="399" customFormat="false" ht="15" hidden="false" customHeight="false" outlineLevel="0" collapsed="false">
      <c r="A399" s="6" t="s">
        <v>2936</v>
      </c>
      <c r="B399" s="6" t="n">
        <v>328</v>
      </c>
      <c r="C399" s="6" t="s">
        <v>2937</v>
      </c>
      <c r="D399" s="6" t="s">
        <v>1603</v>
      </c>
      <c r="E399" s="6" t="s">
        <v>2938</v>
      </c>
      <c r="F399" s="6" t="s">
        <v>2939</v>
      </c>
      <c r="G399" s="6" t="s">
        <v>2940</v>
      </c>
      <c r="H399" s="6" t="s">
        <v>1607</v>
      </c>
      <c r="I399" s="6"/>
      <c r="J399" s="6" t="n">
        <v>0.6</v>
      </c>
      <c r="K399" s="6" t="n">
        <v>1</v>
      </c>
      <c r="L399" s="6" t="n">
        <v>0.6</v>
      </c>
    </row>
    <row r="400" customFormat="false" ht="23.85" hidden="false" customHeight="false" outlineLevel="0" collapsed="false">
      <c r="A400" s="6" t="s">
        <v>2941</v>
      </c>
      <c r="B400" s="6" t="n">
        <v>329</v>
      </c>
      <c r="C400" s="6" t="s">
        <v>2928</v>
      </c>
      <c r="D400" s="6" t="s">
        <v>1986</v>
      </c>
      <c r="E400" s="6" t="s">
        <v>2942</v>
      </c>
      <c r="F400" s="6" t="s">
        <v>2943</v>
      </c>
      <c r="G400" s="6" t="s">
        <v>2944</v>
      </c>
      <c r="H400" s="6" t="s">
        <v>1607</v>
      </c>
      <c r="I400" s="6"/>
      <c r="J400" s="6" t="n">
        <v>0.8</v>
      </c>
      <c r="K400" s="6" t="n">
        <v>1</v>
      </c>
      <c r="L400" s="6" t="n">
        <v>0.8</v>
      </c>
    </row>
    <row r="401" customFormat="false" ht="15" hidden="false" customHeight="false" outlineLevel="0" collapsed="false">
      <c r="A401" s="6" t="s">
        <v>2945</v>
      </c>
      <c r="B401" s="6" t="n">
        <v>330</v>
      </c>
      <c r="C401" s="6" t="s">
        <v>2946</v>
      </c>
      <c r="D401" s="6" t="s">
        <v>1986</v>
      </c>
      <c r="E401" s="6" t="s">
        <v>2947</v>
      </c>
      <c r="F401" s="6" t="s">
        <v>2948</v>
      </c>
      <c r="G401" s="6" t="s">
        <v>2949</v>
      </c>
      <c r="H401" s="6" t="s">
        <v>1607</v>
      </c>
      <c r="I401" s="6"/>
      <c r="J401" s="6" t="n">
        <v>0.8</v>
      </c>
      <c r="K401" s="6" t="n">
        <v>1</v>
      </c>
      <c r="L401" s="6" t="n">
        <v>0.8</v>
      </c>
    </row>
    <row r="402" customFormat="false" ht="15" hidden="false" customHeight="false" outlineLevel="0" collapsed="false">
      <c r="A402" s="6" t="s">
        <v>2950</v>
      </c>
      <c r="B402" s="6" t="n">
        <v>331</v>
      </c>
      <c r="C402" s="6" t="s">
        <v>2937</v>
      </c>
      <c r="D402" s="6" t="s">
        <v>1603</v>
      </c>
      <c r="E402" s="6" t="s">
        <v>2938</v>
      </c>
      <c r="F402" s="6" t="s">
        <v>2939</v>
      </c>
      <c r="G402" s="6" t="s">
        <v>2940</v>
      </c>
      <c r="H402" s="6" t="s">
        <v>1607</v>
      </c>
      <c r="I402" s="6"/>
      <c r="J402" s="6" t="n">
        <v>0.6</v>
      </c>
      <c r="K402" s="6" t="n">
        <v>1</v>
      </c>
      <c r="L402" s="6" t="n">
        <v>0.6</v>
      </c>
    </row>
    <row r="403" customFormat="false" ht="23.85" hidden="false" customHeight="false" outlineLevel="0" collapsed="false">
      <c r="A403" s="6" t="s">
        <v>2951</v>
      </c>
      <c r="B403" s="6" t="n">
        <v>332</v>
      </c>
      <c r="C403" s="6" t="s">
        <v>2952</v>
      </c>
      <c r="D403" s="6" t="s">
        <v>1986</v>
      </c>
      <c r="E403" s="6" t="s">
        <v>2953</v>
      </c>
      <c r="F403" s="6" t="s">
        <v>2954</v>
      </c>
      <c r="G403" s="6" t="s">
        <v>2955</v>
      </c>
      <c r="H403" s="6" t="s">
        <v>1607</v>
      </c>
      <c r="I403" s="6"/>
      <c r="J403" s="6" t="n">
        <v>0.8</v>
      </c>
      <c r="K403" s="6" t="n">
        <v>1</v>
      </c>
      <c r="L403" s="6" t="n">
        <v>0.8</v>
      </c>
    </row>
    <row r="404" customFormat="false" ht="23.85" hidden="false" customHeight="false" outlineLevel="0" collapsed="false">
      <c r="A404" s="6" t="s">
        <v>2956</v>
      </c>
      <c r="B404" s="6" t="n">
        <v>333</v>
      </c>
      <c r="C404" s="6" t="s">
        <v>2952</v>
      </c>
      <c r="D404" s="6" t="s">
        <v>1986</v>
      </c>
      <c r="E404" s="6" t="s">
        <v>2957</v>
      </c>
      <c r="F404" s="6" t="s">
        <v>2958</v>
      </c>
      <c r="G404" s="6" t="s">
        <v>2959</v>
      </c>
      <c r="H404" s="6" t="s">
        <v>1607</v>
      </c>
      <c r="I404" s="6"/>
      <c r="J404" s="6" t="n">
        <v>0.8</v>
      </c>
      <c r="K404" s="6" t="n">
        <v>1</v>
      </c>
      <c r="L404" s="6" t="n">
        <v>0.8</v>
      </c>
    </row>
    <row r="405" customFormat="false" ht="15" hidden="false" customHeight="false" outlineLevel="0" collapsed="false">
      <c r="A405" s="6" t="s">
        <v>2960</v>
      </c>
      <c r="B405" s="6" t="n">
        <v>334</v>
      </c>
      <c r="C405" s="6" t="s">
        <v>781</v>
      </c>
      <c r="D405" s="6" t="s">
        <v>1986</v>
      </c>
      <c r="E405" s="6" t="s">
        <v>2961</v>
      </c>
      <c r="F405" s="6"/>
      <c r="G405" s="6" t="s">
        <v>2962</v>
      </c>
      <c r="H405" s="6" t="s">
        <v>1607</v>
      </c>
      <c r="I405" s="6"/>
      <c r="J405" s="6" t="n">
        <v>0.8</v>
      </c>
      <c r="K405" s="6" t="n">
        <v>1</v>
      </c>
      <c r="L405" s="6" t="n">
        <v>0.8</v>
      </c>
    </row>
    <row r="406" customFormat="false" ht="15" hidden="false" customHeight="false" outlineLevel="0" collapsed="false">
      <c r="A406" s="6" t="s">
        <v>2963</v>
      </c>
      <c r="B406" s="6" t="n">
        <v>335</v>
      </c>
      <c r="C406" s="6" t="s">
        <v>781</v>
      </c>
      <c r="D406" s="6" t="s">
        <v>1986</v>
      </c>
      <c r="E406" s="6" t="s">
        <v>2964</v>
      </c>
      <c r="F406" s="6"/>
      <c r="G406" s="6" t="s">
        <v>2962</v>
      </c>
      <c r="H406" s="6" t="s">
        <v>1607</v>
      </c>
      <c r="I406" s="6"/>
      <c r="J406" s="6" t="n">
        <v>0.8</v>
      </c>
      <c r="K406" s="6" t="n">
        <v>1</v>
      </c>
      <c r="L406" s="6" t="n">
        <v>0.8</v>
      </c>
    </row>
    <row r="407" customFormat="false" ht="15" hidden="false" customHeight="false" outlineLevel="0" collapsed="false">
      <c r="A407" s="6" t="s">
        <v>2965</v>
      </c>
      <c r="B407" s="6" t="n">
        <v>336</v>
      </c>
      <c r="C407" s="6" t="s">
        <v>2946</v>
      </c>
      <c r="D407" s="6" t="s">
        <v>1986</v>
      </c>
      <c r="E407" s="6" t="s">
        <v>2966</v>
      </c>
      <c r="F407" s="6" t="s">
        <v>2967</v>
      </c>
      <c r="G407" s="6" t="s">
        <v>2968</v>
      </c>
      <c r="H407" s="6" t="s">
        <v>1607</v>
      </c>
      <c r="I407" s="6"/>
      <c r="J407" s="6" t="n">
        <v>0.8</v>
      </c>
      <c r="K407" s="6" t="n">
        <v>1</v>
      </c>
      <c r="L407" s="6" t="n">
        <v>0.8</v>
      </c>
    </row>
    <row r="408" customFormat="false" ht="15" hidden="false" customHeight="false" outlineLevel="0" collapsed="false">
      <c r="A408" s="6" t="s">
        <v>2969</v>
      </c>
      <c r="B408" s="6" t="n">
        <v>337</v>
      </c>
      <c r="C408" s="6" t="s">
        <v>684</v>
      </c>
      <c r="D408" s="6" t="s">
        <v>1986</v>
      </c>
      <c r="E408" s="6" t="s">
        <v>2970</v>
      </c>
      <c r="F408" s="6" t="s">
        <v>2971</v>
      </c>
      <c r="G408" s="6" t="s">
        <v>2972</v>
      </c>
      <c r="H408" s="6" t="s">
        <v>1607</v>
      </c>
      <c r="I408" s="6"/>
      <c r="J408" s="6" t="n">
        <v>0.8</v>
      </c>
      <c r="K408" s="6" t="n">
        <v>1</v>
      </c>
      <c r="L408" s="6" t="n">
        <v>0.8</v>
      </c>
    </row>
    <row r="409" customFormat="false" ht="15" hidden="false" customHeight="false" outlineLevel="0" collapsed="false">
      <c r="A409" s="6" t="s">
        <v>2973</v>
      </c>
      <c r="B409" s="6" t="n">
        <v>338</v>
      </c>
      <c r="C409" s="6" t="s">
        <v>684</v>
      </c>
      <c r="D409" s="6" t="s">
        <v>1986</v>
      </c>
      <c r="E409" s="6" t="s">
        <v>2974</v>
      </c>
      <c r="F409" s="6" t="s">
        <v>2975</v>
      </c>
      <c r="G409" s="6" t="s">
        <v>2976</v>
      </c>
      <c r="H409" s="6" t="s">
        <v>1607</v>
      </c>
      <c r="I409" s="6"/>
      <c r="J409" s="6" t="n">
        <v>0.8</v>
      </c>
      <c r="K409" s="6" t="n">
        <v>1</v>
      </c>
      <c r="L409" s="6" t="n">
        <v>0.8</v>
      </c>
    </row>
    <row r="410" customFormat="false" ht="35.05" hidden="false" customHeight="false" outlineLevel="0" collapsed="false">
      <c r="A410" s="6" t="s">
        <v>2977</v>
      </c>
      <c r="B410" s="6" t="n">
        <v>339</v>
      </c>
      <c r="C410" s="6" t="s">
        <v>2812</v>
      </c>
      <c r="D410" s="6" t="s">
        <v>1603</v>
      </c>
      <c r="E410" s="6" t="s">
        <v>2978</v>
      </c>
      <c r="F410" s="6" t="s">
        <v>2979</v>
      </c>
      <c r="G410" s="6" t="s">
        <v>2980</v>
      </c>
      <c r="H410" s="6" t="s">
        <v>1607</v>
      </c>
      <c r="I410" s="6"/>
      <c r="J410" s="6" t="n">
        <v>0.8</v>
      </c>
      <c r="K410" s="6" t="n">
        <v>1</v>
      </c>
      <c r="L410" s="6" t="n">
        <v>0.8</v>
      </c>
    </row>
    <row r="411" customFormat="false" ht="15" hidden="false" customHeight="false" outlineLevel="0" collapsed="false">
      <c r="A411" s="6" t="s">
        <v>2981</v>
      </c>
      <c r="B411" s="6" t="n">
        <v>340</v>
      </c>
      <c r="C411" s="6" t="s">
        <v>2982</v>
      </c>
      <c r="D411" s="6" t="s">
        <v>1986</v>
      </c>
      <c r="E411" s="6" t="s">
        <v>2983</v>
      </c>
      <c r="F411" s="6" t="s">
        <v>2984</v>
      </c>
      <c r="G411" s="6" t="s">
        <v>2985</v>
      </c>
      <c r="H411" s="6" t="s">
        <v>1607</v>
      </c>
      <c r="I411" s="6"/>
      <c r="J411" s="6" t="n">
        <v>0.8</v>
      </c>
      <c r="K411" s="6" t="n">
        <v>1</v>
      </c>
      <c r="L411" s="6" t="n">
        <v>0.8</v>
      </c>
    </row>
    <row r="412" customFormat="false" ht="15" hidden="false" customHeight="false" outlineLevel="0" collapsed="false">
      <c r="A412" s="6" t="s">
        <v>2986</v>
      </c>
      <c r="B412" s="6" t="n">
        <v>341</v>
      </c>
      <c r="C412" s="6" t="s">
        <v>684</v>
      </c>
      <c r="D412" s="6" t="s">
        <v>1986</v>
      </c>
      <c r="E412" s="6" t="s">
        <v>2987</v>
      </c>
      <c r="F412" s="6" t="s">
        <v>2988</v>
      </c>
      <c r="G412" s="6" t="s">
        <v>2989</v>
      </c>
      <c r="H412" s="6" t="s">
        <v>1607</v>
      </c>
      <c r="I412" s="6"/>
      <c r="J412" s="6" t="n">
        <v>0.8</v>
      </c>
      <c r="K412" s="6" t="n">
        <v>1</v>
      </c>
      <c r="L412" s="6" t="n">
        <v>0.8</v>
      </c>
    </row>
    <row r="413" customFormat="false" ht="23.85" hidden="false" customHeight="false" outlineLevel="0" collapsed="false">
      <c r="A413" s="6" t="s">
        <v>2990</v>
      </c>
      <c r="B413" s="6" t="n">
        <v>342</v>
      </c>
      <c r="C413" s="6" t="s">
        <v>2982</v>
      </c>
      <c r="D413" s="6" t="s">
        <v>1986</v>
      </c>
      <c r="E413" s="6" t="s">
        <v>2991</v>
      </c>
      <c r="F413" s="6" t="s">
        <v>2992</v>
      </c>
      <c r="G413" s="6" t="s">
        <v>2993</v>
      </c>
      <c r="H413" s="6" t="s">
        <v>1607</v>
      </c>
      <c r="I413" s="6"/>
      <c r="J413" s="6" t="n">
        <v>0.8</v>
      </c>
      <c r="K413" s="6" t="n">
        <v>1</v>
      </c>
      <c r="L413" s="6" t="n">
        <v>0.8</v>
      </c>
    </row>
    <row r="414" customFormat="false" ht="23.85" hidden="false" customHeight="false" outlineLevel="0" collapsed="false">
      <c r="A414" s="6" t="s">
        <v>2994</v>
      </c>
      <c r="B414" s="6" t="n">
        <v>343</v>
      </c>
      <c r="C414" s="6" t="s">
        <v>2952</v>
      </c>
      <c r="D414" s="6" t="s">
        <v>1986</v>
      </c>
      <c r="E414" s="6" t="s">
        <v>2995</v>
      </c>
      <c r="F414" s="6" t="s">
        <v>2996</v>
      </c>
      <c r="G414" s="6" t="s">
        <v>2997</v>
      </c>
      <c r="H414" s="6" t="s">
        <v>1607</v>
      </c>
      <c r="I414" s="6"/>
      <c r="J414" s="6" t="n">
        <v>0.8</v>
      </c>
      <c r="K414" s="6" t="n">
        <v>1</v>
      </c>
      <c r="L414" s="6" t="n">
        <v>0.8</v>
      </c>
    </row>
    <row r="415" customFormat="false" ht="23.85" hidden="false" customHeight="false" outlineLevel="0" collapsed="false">
      <c r="A415" s="6" t="s">
        <v>2998</v>
      </c>
      <c r="B415" s="6" t="n">
        <v>344</v>
      </c>
      <c r="C415" s="6" t="s">
        <v>2867</v>
      </c>
      <c r="D415" s="6" t="s">
        <v>1986</v>
      </c>
      <c r="E415" s="6" t="s">
        <v>2999</v>
      </c>
      <c r="F415" s="6"/>
      <c r="G415" s="6" t="s">
        <v>3000</v>
      </c>
      <c r="H415" s="6" t="s">
        <v>1607</v>
      </c>
      <c r="I415" s="6"/>
      <c r="J415" s="6" t="n">
        <v>0.8</v>
      </c>
      <c r="K415" s="6" t="n">
        <v>1</v>
      </c>
      <c r="L415" s="6" t="n">
        <v>0.8</v>
      </c>
    </row>
    <row r="416" customFormat="false" ht="15" hidden="false" customHeight="false" outlineLevel="0" collapsed="false">
      <c r="A416" s="6" t="s">
        <v>3001</v>
      </c>
      <c r="B416" s="6" t="n">
        <v>345</v>
      </c>
      <c r="C416" s="6" t="s">
        <v>684</v>
      </c>
      <c r="D416" s="6" t="s">
        <v>1986</v>
      </c>
      <c r="E416" s="6" t="s">
        <v>3002</v>
      </c>
      <c r="F416" s="6" t="s">
        <v>3003</v>
      </c>
      <c r="G416" s="6" t="s">
        <v>3004</v>
      </c>
      <c r="H416" s="6" t="s">
        <v>1607</v>
      </c>
      <c r="I416" s="6"/>
      <c r="J416" s="6" t="n">
        <v>0.8</v>
      </c>
      <c r="K416" s="6" t="n">
        <v>1</v>
      </c>
      <c r="L416" s="6" t="n">
        <v>0.8</v>
      </c>
    </row>
    <row r="417" customFormat="false" ht="23.85" hidden="false" customHeight="false" outlineLevel="0" collapsed="false">
      <c r="A417" s="6" t="s">
        <v>3005</v>
      </c>
      <c r="B417" s="6" t="n">
        <v>346</v>
      </c>
      <c r="C417" s="6" t="s">
        <v>3006</v>
      </c>
      <c r="D417" s="6" t="s">
        <v>1986</v>
      </c>
      <c r="E417" s="6" t="s">
        <v>3007</v>
      </c>
      <c r="F417" s="6" t="s">
        <v>3008</v>
      </c>
      <c r="G417" s="6" t="s">
        <v>3009</v>
      </c>
      <c r="H417" s="6" t="s">
        <v>1607</v>
      </c>
      <c r="I417" s="6"/>
      <c r="J417" s="6" t="n">
        <v>0.8</v>
      </c>
      <c r="K417" s="6" t="n">
        <v>1</v>
      </c>
      <c r="L417" s="6" t="n">
        <v>0.8</v>
      </c>
    </row>
    <row r="418" customFormat="false" ht="35.05" hidden="false" customHeight="false" outlineLevel="0" collapsed="false">
      <c r="A418" s="6" t="s">
        <v>3010</v>
      </c>
      <c r="B418" s="6" t="n">
        <v>347</v>
      </c>
      <c r="C418" s="6" t="s">
        <v>3006</v>
      </c>
      <c r="D418" s="6" t="s">
        <v>1986</v>
      </c>
      <c r="E418" s="6" t="s">
        <v>3011</v>
      </c>
      <c r="F418" s="6" t="s">
        <v>3012</v>
      </c>
      <c r="G418" s="6" t="s">
        <v>3013</v>
      </c>
      <c r="H418" s="6" t="s">
        <v>1607</v>
      </c>
      <c r="I418" s="6"/>
      <c r="J418" s="6" t="n">
        <v>0.8</v>
      </c>
      <c r="K418" s="6" t="n">
        <v>1</v>
      </c>
      <c r="L418" s="6" t="n">
        <v>0.8</v>
      </c>
    </row>
    <row r="419" customFormat="false" ht="15" hidden="false" customHeight="false" outlineLevel="0" collapsed="false">
      <c r="A419" s="6" t="s">
        <v>3014</v>
      </c>
      <c r="B419" s="6" t="n">
        <v>348</v>
      </c>
      <c r="C419" s="6" t="s">
        <v>684</v>
      </c>
      <c r="D419" s="6" t="s">
        <v>1986</v>
      </c>
      <c r="E419" s="6" t="s">
        <v>3015</v>
      </c>
      <c r="F419" s="6" t="s">
        <v>3016</v>
      </c>
      <c r="G419" s="6" t="s">
        <v>3017</v>
      </c>
      <c r="H419" s="6" t="s">
        <v>1607</v>
      </c>
      <c r="I419" s="6"/>
      <c r="J419" s="6" t="n">
        <v>0.8</v>
      </c>
      <c r="K419" s="6" t="n">
        <v>1</v>
      </c>
      <c r="L419" s="6" t="n">
        <v>0.8</v>
      </c>
    </row>
    <row r="420" customFormat="false" ht="23.85" hidden="false" customHeight="false" outlineLevel="0" collapsed="false">
      <c r="A420" s="6" t="s">
        <v>3018</v>
      </c>
      <c r="B420" s="6" t="n">
        <v>348</v>
      </c>
      <c r="C420" s="6" t="s">
        <v>3006</v>
      </c>
      <c r="D420" s="6" t="s">
        <v>1986</v>
      </c>
      <c r="E420" s="6" t="s">
        <v>3019</v>
      </c>
      <c r="F420" s="6" t="s">
        <v>3016</v>
      </c>
      <c r="G420" s="6" t="s">
        <v>3020</v>
      </c>
      <c r="H420" s="6" t="s">
        <v>1607</v>
      </c>
      <c r="I420" s="6"/>
      <c r="J420" s="6" t="n">
        <v>0.8</v>
      </c>
      <c r="K420" s="6" t="n">
        <v>1</v>
      </c>
      <c r="L420" s="6" t="n">
        <v>0.8</v>
      </c>
    </row>
    <row r="421" customFormat="false" ht="15" hidden="false" customHeight="false" outlineLevel="0" collapsed="false">
      <c r="A421" s="6" t="s">
        <v>3021</v>
      </c>
      <c r="B421" s="6" t="n">
        <v>349</v>
      </c>
      <c r="C421" s="6" t="s">
        <v>2982</v>
      </c>
      <c r="D421" s="6" t="s">
        <v>1986</v>
      </c>
      <c r="E421" s="6" t="s">
        <v>3022</v>
      </c>
      <c r="F421" s="6" t="s">
        <v>3023</v>
      </c>
      <c r="G421" s="6" t="s">
        <v>3024</v>
      </c>
      <c r="H421" s="6" t="s">
        <v>1607</v>
      </c>
      <c r="I421" s="6"/>
      <c r="J421" s="6" t="n">
        <v>0.8</v>
      </c>
      <c r="K421" s="6" t="n">
        <v>1</v>
      </c>
      <c r="L421" s="6" t="n">
        <v>0.8</v>
      </c>
    </row>
    <row r="422" customFormat="false" ht="23.85" hidden="false" customHeight="false" outlineLevel="0" collapsed="false">
      <c r="A422" s="6" t="s">
        <v>3025</v>
      </c>
      <c r="B422" s="6" t="n">
        <v>350</v>
      </c>
      <c r="C422" s="6" t="s">
        <v>2982</v>
      </c>
      <c r="D422" s="6" t="s">
        <v>1986</v>
      </c>
      <c r="E422" s="6" t="s">
        <v>3026</v>
      </c>
      <c r="F422" s="6" t="s">
        <v>3027</v>
      </c>
      <c r="G422" s="6" t="s">
        <v>3028</v>
      </c>
      <c r="H422" s="6" t="s">
        <v>1607</v>
      </c>
      <c r="I422" s="6"/>
      <c r="J422" s="6" t="n">
        <v>0.8</v>
      </c>
      <c r="K422" s="6" t="n">
        <v>1</v>
      </c>
      <c r="L422" s="6" t="n">
        <v>0.8</v>
      </c>
    </row>
    <row r="423" customFormat="false" ht="23.85" hidden="false" customHeight="false" outlineLevel="0" collapsed="false">
      <c r="A423" s="6" t="s">
        <v>3029</v>
      </c>
      <c r="B423" s="6" t="n">
        <v>351</v>
      </c>
      <c r="C423" s="6" t="s">
        <v>2982</v>
      </c>
      <c r="D423" s="6" t="s">
        <v>1986</v>
      </c>
      <c r="E423" s="6" t="s">
        <v>3026</v>
      </c>
      <c r="F423" s="6" t="s">
        <v>3027</v>
      </c>
      <c r="G423" s="6" t="s">
        <v>3028</v>
      </c>
      <c r="H423" s="6" t="s">
        <v>1607</v>
      </c>
      <c r="I423" s="6"/>
      <c r="J423" s="6" t="n">
        <v>0.8</v>
      </c>
      <c r="K423" s="6" t="n">
        <v>1</v>
      </c>
      <c r="L423" s="6" t="n">
        <v>0.8</v>
      </c>
    </row>
    <row r="424" customFormat="false" ht="15" hidden="false" customHeight="false" outlineLevel="0" collapsed="false">
      <c r="A424" s="6" t="s">
        <v>3030</v>
      </c>
      <c r="B424" s="6" t="n">
        <v>352</v>
      </c>
      <c r="C424" s="6" t="s">
        <v>2982</v>
      </c>
      <c r="D424" s="6" t="s">
        <v>1986</v>
      </c>
      <c r="E424" s="6" t="s">
        <v>3031</v>
      </c>
      <c r="F424" s="6" t="s">
        <v>3032</v>
      </c>
      <c r="G424" s="6" t="s">
        <v>3033</v>
      </c>
      <c r="H424" s="6" t="s">
        <v>1607</v>
      </c>
      <c r="I424" s="6"/>
      <c r="J424" s="6" t="n">
        <v>0.8</v>
      </c>
      <c r="K424" s="6" t="n">
        <v>1</v>
      </c>
      <c r="L424" s="6" t="n">
        <v>0.8</v>
      </c>
    </row>
    <row r="425" customFormat="false" ht="35.05" hidden="false" customHeight="false" outlineLevel="0" collapsed="false">
      <c r="A425" s="6" t="s">
        <v>3034</v>
      </c>
      <c r="B425" s="6" t="n">
        <v>353</v>
      </c>
      <c r="C425" s="6" t="s">
        <v>2812</v>
      </c>
      <c r="D425" s="6" t="s">
        <v>1603</v>
      </c>
      <c r="E425" s="6" t="s">
        <v>3035</v>
      </c>
      <c r="F425" s="6" t="s">
        <v>3036</v>
      </c>
      <c r="G425" s="6" t="s">
        <v>3037</v>
      </c>
      <c r="H425" s="6" t="s">
        <v>1701</v>
      </c>
      <c r="I425" s="6"/>
      <c r="J425" s="6" t="n">
        <v>0.8</v>
      </c>
      <c r="K425" s="6" t="n">
        <v>0.8</v>
      </c>
      <c r="L425" s="6" t="n">
        <v>0.64</v>
      </c>
    </row>
    <row r="426" customFormat="false" ht="23.85" hidden="false" customHeight="false" outlineLevel="0" collapsed="false">
      <c r="A426" s="6" t="s">
        <v>3038</v>
      </c>
      <c r="B426" s="6" t="n">
        <v>353</v>
      </c>
      <c r="C426" s="6" t="s">
        <v>2812</v>
      </c>
      <c r="D426" s="6" t="s">
        <v>1603</v>
      </c>
      <c r="E426" s="6" t="s">
        <v>3039</v>
      </c>
      <c r="F426" s="6" t="s">
        <v>3040</v>
      </c>
      <c r="G426" s="6" t="s">
        <v>3041</v>
      </c>
      <c r="H426" s="6" t="s">
        <v>1607</v>
      </c>
      <c r="I426" s="6"/>
      <c r="J426" s="6" t="n">
        <v>0.8</v>
      </c>
      <c r="K426" s="6" t="n">
        <v>1</v>
      </c>
      <c r="L426" s="6" t="n">
        <v>0.8</v>
      </c>
    </row>
    <row r="427" customFormat="false" ht="23.85" hidden="false" customHeight="false" outlineLevel="0" collapsed="false">
      <c r="A427" s="6" t="s">
        <v>3042</v>
      </c>
      <c r="B427" s="6" t="n">
        <v>354</v>
      </c>
      <c r="C427" s="6" t="s">
        <v>2982</v>
      </c>
      <c r="D427" s="6" t="s">
        <v>1986</v>
      </c>
      <c r="E427" s="6" t="s">
        <v>3043</v>
      </c>
      <c r="F427" s="6" t="s">
        <v>3044</v>
      </c>
      <c r="G427" s="6" t="s">
        <v>3045</v>
      </c>
      <c r="H427" s="6" t="s">
        <v>1607</v>
      </c>
      <c r="I427" s="6"/>
      <c r="J427" s="6" t="n">
        <v>0.8</v>
      </c>
      <c r="K427" s="6" t="n">
        <v>1</v>
      </c>
      <c r="L427" s="6" t="n">
        <v>0.8</v>
      </c>
    </row>
    <row r="428" customFormat="false" ht="23.85" hidden="false" customHeight="false" outlineLevel="0" collapsed="false">
      <c r="A428" s="6" t="s">
        <v>3046</v>
      </c>
      <c r="B428" s="6" t="n">
        <v>355</v>
      </c>
      <c r="C428" s="6" t="s">
        <v>3006</v>
      </c>
      <c r="D428" s="6" t="s">
        <v>1986</v>
      </c>
      <c r="E428" s="6" t="s">
        <v>3047</v>
      </c>
      <c r="F428" s="6" t="s">
        <v>3048</v>
      </c>
      <c r="G428" s="6" t="s">
        <v>3049</v>
      </c>
      <c r="H428" s="6" t="s">
        <v>1607</v>
      </c>
      <c r="I428" s="6"/>
      <c r="J428" s="6" t="n">
        <v>0.8</v>
      </c>
      <c r="K428" s="6" t="n">
        <v>1</v>
      </c>
      <c r="L428" s="6" t="n">
        <v>0.8</v>
      </c>
    </row>
    <row r="429" customFormat="false" ht="23.85" hidden="false" customHeight="false" outlineLevel="0" collapsed="false">
      <c r="A429" s="6" t="s">
        <v>3050</v>
      </c>
      <c r="B429" s="6" t="n">
        <v>356</v>
      </c>
      <c r="C429" s="6" t="s">
        <v>3006</v>
      </c>
      <c r="D429" s="6" t="s">
        <v>1986</v>
      </c>
      <c r="E429" s="6" t="s">
        <v>3051</v>
      </c>
      <c r="F429" s="6" t="s">
        <v>3052</v>
      </c>
      <c r="G429" s="6" t="s">
        <v>3053</v>
      </c>
      <c r="H429" s="6" t="s">
        <v>1607</v>
      </c>
      <c r="I429" s="6"/>
      <c r="J429" s="6" t="n">
        <v>0.8</v>
      </c>
      <c r="K429" s="6" t="n">
        <v>1</v>
      </c>
      <c r="L429" s="6" t="n">
        <v>0.8</v>
      </c>
    </row>
    <row r="430" customFormat="false" ht="15" hidden="false" customHeight="false" outlineLevel="0" collapsed="false">
      <c r="A430" s="6" t="s">
        <v>3054</v>
      </c>
      <c r="B430" s="6" t="n">
        <v>356</v>
      </c>
      <c r="C430" s="6" t="s">
        <v>781</v>
      </c>
      <c r="D430" s="6" t="s">
        <v>1986</v>
      </c>
      <c r="E430" s="6" t="s">
        <v>3055</v>
      </c>
      <c r="F430" s="6"/>
      <c r="G430" s="6" t="s">
        <v>2962</v>
      </c>
      <c r="H430" s="6" t="s">
        <v>1607</v>
      </c>
      <c r="I430" s="6"/>
      <c r="J430" s="6" t="n">
        <v>0.8</v>
      </c>
      <c r="K430" s="6" t="n">
        <v>1</v>
      </c>
      <c r="L430" s="6" t="n">
        <v>0.8</v>
      </c>
    </row>
    <row r="431" customFormat="false" ht="15" hidden="false" customHeight="false" outlineLevel="0" collapsed="false">
      <c r="A431" s="6" t="s">
        <v>3056</v>
      </c>
      <c r="B431" s="6" t="n">
        <v>357</v>
      </c>
      <c r="C431" s="6" t="s">
        <v>2982</v>
      </c>
      <c r="D431" s="6" t="s">
        <v>1986</v>
      </c>
      <c r="E431" s="6" t="s">
        <v>3057</v>
      </c>
      <c r="F431" s="6" t="s">
        <v>3058</v>
      </c>
      <c r="G431" s="6" t="s">
        <v>3059</v>
      </c>
      <c r="H431" s="6" t="s">
        <v>1607</v>
      </c>
      <c r="I431" s="6"/>
      <c r="J431" s="6" t="n">
        <v>0.8</v>
      </c>
      <c r="K431" s="6" t="n">
        <v>1</v>
      </c>
      <c r="L431" s="6" t="n">
        <v>0.8</v>
      </c>
    </row>
    <row r="432" customFormat="false" ht="23.85" hidden="false" customHeight="false" outlineLevel="0" collapsed="false">
      <c r="A432" s="6" t="s">
        <v>3060</v>
      </c>
      <c r="B432" s="6" t="n">
        <v>358</v>
      </c>
      <c r="C432" s="6" t="s">
        <v>2946</v>
      </c>
      <c r="D432" s="6" t="s">
        <v>1986</v>
      </c>
      <c r="E432" s="6" t="s">
        <v>3061</v>
      </c>
      <c r="F432" s="6" t="s">
        <v>3062</v>
      </c>
      <c r="G432" s="6" t="s">
        <v>3063</v>
      </c>
      <c r="H432" s="6" t="s">
        <v>1607</v>
      </c>
      <c r="I432" s="6"/>
      <c r="J432" s="6" t="n">
        <v>0.8</v>
      </c>
      <c r="K432" s="6" t="n">
        <v>1</v>
      </c>
      <c r="L432" s="6" t="n">
        <v>0.8</v>
      </c>
    </row>
    <row r="433" customFormat="false" ht="35.05" hidden="false" customHeight="false" outlineLevel="0" collapsed="false">
      <c r="A433" s="6" t="s">
        <v>3064</v>
      </c>
      <c r="B433" s="6" t="n">
        <v>359</v>
      </c>
      <c r="C433" s="6" t="s">
        <v>2812</v>
      </c>
      <c r="D433" s="6" t="s">
        <v>1603</v>
      </c>
      <c r="E433" s="6" t="s">
        <v>3065</v>
      </c>
      <c r="F433" s="6" t="s">
        <v>3066</v>
      </c>
      <c r="G433" s="6" t="s">
        <v>3067</v>
      </c>
      <c r="H433" s="6" t="s">
        <v>1607</v>
      </c>
      <c r="I433" s="6"/>
      <c r="J433" s="6" t="n">
        <v>0.8</v>
      </c>
      <c r="K433" s="6" t="n">
        <v>1</v>
      </c>
      <c r="L433" s="6" t="n">
        <v>0.8</v>
      </c>
    </row>
    <row r="434" customFormat="false" ht="35.05" hidden="false" customHeight="false" outlineLevel="0" collapsed="false">
      <c r="A434" s="6" t="s">
        <v>3068</v>
      </c>
      <c r="B434" s="6" t="n">
        <v>360</v>
      </c>
      <c r="C434" s="6" t="s">
        <v>2812</v>
      </c>
      <c r="D434" s="6" t="s">
        <v>1603</v>
      </c>
      <c r="E434" s="6" t="s">
        <v>3065</v>
      </c>
      <c r="F434" s="6" t="s">
        <v>3066</v>
      </c>
      <c r="G434" s="6" t="s">
        <v>3067</v>
      </c>
      <c r="H434" s="6" t="s">
        <v>1607</v>
      </c>
      <c r="I434" s="6"/>
      <c r="J434" s="6" t="n">
        <v>0.8</v>
      </c>
      <c r="K434" s="6" t="n">
        <v>1</v>
      </c>
      <c r="L434" s="6" t="n">
        <v>0.8</v>
      </c>
    </row>
    <row r="435" customFormat="false" ht="23.85" hidden="false" customHeight="false" outlineLevel="0" collapsed="false">
      <c r="A435" s="6" t="s">
        <v>3069</v>
      </c>
      <c r="B435" s="6" t="n">
        <v>361</v>
      </c>
      <c r="C435" s="6" t="s">
        <v>3006</v>
      </c>
      <c r="D435" s="6" t="s">
        <v>1986</v>
      </c>
      <c r="E435" s="6" t="s">
        <v>3070</v>
      </c>
      <c r="F435" s="6" t="s">
        <v>3071</v>
      </c>
      <c r="G435" s="6" t="s">
        <v>3072</v>
      </c>
      <c r="H435" s="6" t="s">
        <v>1607</v>
      </c>
      <c r="I435" s="6"/>
      <c r="J435" s="6" t="n">
        <v>0.8</v>
      </c>
      <c r="K435" s="6" t="n">
        <v>1</v>
      </c>
      <c r="L435" s="6" t="n">
        <v>0.8</v>
      </c>
    </row>
    <row r="436" customFormat="false" ht="15" hidden="false" customHeight="false" outlineLevel="0" collapsed="false">
      <c r="A436" s="6" t="s">
        <v>3073</v>
      </c>
      <c r="B436" s="6" t="n">
        <v>362</v>
      </c>
      <c r="C436" s="6" t="s">
        <v>684</v>
      </c>
      <c r="D436" s="6" t="s">
        <v>1986</v>
      </c>
      <c r="E436" s="6" t="s">
        <v>3074</v>
      </c>
      <c r="F436" s="6" t="s">
        <v>3075</v>
      </c>
      <c r="G436" s="6" t="s">
        <v>3076</v>
      </c>
      <c r="H436" s="6" t="s">
        <v>1607</v>
      </c>
      <c r="I436" s="6"/>
      <c r="J436" s="6" t="n">
        <v>0.8</v>
      </c>
      <c r="K436" s="6" t="n">
        <v>1</v>
      </c>
      <c r="L436" s="6" t="n">
        <v>0.8</v>
      </c>
    </row>
    <row r="437" customFormat="false" ht="15" hidden="false" customHeight="false" outlineLevel="0" collapsed="false">
      <c r="A437" s="6" t="s">
        <v>3077</v>
      </c>
      <c r="B437" s="6" t="n">
        <v>363</v>
      </c>
      <c r="C437" s="6" t="s">
        <v>2946</v>
      </c>
      <c r="D437" s="6" t="s">
        <v>1986</v>
      </c>
      <c r="E437" s="6" t="s">
        <v>3078</v>
      </c>
      <c r="F437" s="6" t="s">
        <v>3079</v>
      </c>
      <c r="G437" s="6" t="s">
        <v>3080</v>
      </c>
      <c r="H437" s="6" t="s">
        <v>1607</v>
      </c>
      <c r="I437" s="6"/>
      <c r="J437" s="6" t="n">
        <v>0.8</v>
      </c>
      <c r="K437" s="6" t="n">
        <v>1</v>
      </c>
      <c r="L437" s="6" t="n">
        <v>0.8</v>
      </c>
    </row>
    <row r="438" customFormat="false" ht="23.85" hidden="false" customHeight="false" outlineLevel="0" collapsed="false">
      <c r="A438" s="6" t="s">
        <v>3081</v>
      </c>
      <c r="B438" s="6" t="n">
        <v>363</v>
      </c>
      <c r="C438" s="6" t="s">
        <v>3006</v>
      </c>
      <c r="D438" s="6" t="s">
        <v>1986</v>
      </c>
      <c r="E438" s="6" t="s">
        <v>3070</v>
      </c>
      <c r="F438" s="6" t="s">
        <v>3082</v>
      </c>
      <c r="G438" s="6" t="s">
        <v>3083</v>
      </c>
      <c r="H438" s="6" t="s">
        <v>1607</v>
      </c>
      <c r="I438" s="6"/>
      <c r="J438" s="6" t="n">
        <v>0.8</v>
      </c>
      <c r="K438" s="6" t="n">
        <v>1</v>
      </c>
      <c r="L438" s="6" t="n">
        <v>0.8</v>
      </c>
    </row>
    <row r="439" customFormat="false" ht="15" hidden="false" customHeight="false" outlineLevel="0" collapsed="false">
      <c r="A439" s="6" t="s">
        <v>3084</v>
      </c>
      <c r="B439" s="6" t="n">
        <v>364</v>
      </c>
      <c r="C439" s="6" t="s">
        <v>2946</v>
      </c>
      <c r="D439" s="6" t="s">
        <v>1986</v>
      </c>
      <c r="E439" s="6" t="s">
        <v>3085</v>
      </c>
      <c r="F439" s="6" t="s">
        <v>3086</v>
      </c>
      <c r="G439" s="6" t="s">
        <v>3087</v>
      </c>
      <c r="H439" s="6" t="s">
        <v>1607</v>
      </c>
      <c r="I439" s="6"/>
      <c r="J439" s="6" t="n">
        <v>0.8</v>
      </c>
      <c r="K439" s="6" t="n">
        <v>1</v>
      </c>
      <c r="L439" s="6" t="n">
        <v>0.8</v>
      </c>
    </row>
    <row r="440" customFormat="false" ht="23.85" hidden="false" customHeight="false" outlineLevel="0" collapsed="false">
      <c r="A440" s="6" t="s">
        <v>3088</v>
      </c>
      <c r="B440" s="6" t="n">
        <v>365</v>
      </c>
      <c r="C440" s="6" t="s">
        <v>3006</v>
      </c>
      <c r="D440" s="6" t="s">
        <v>1986</v>
      </c>
      <c r="E440" s="6" t="s">
        <v>3070</v>
      </c>
      <c r="F440" s="6" t="s">
        <v>3082</v>
      </c>
      <c r="G440" s="6" t="s">
        <v>3083</v>
      </c>
      <c r="H440" s="6" t="s">
        <v>1607</v>
      </c>
      <c r="I440" s="6"/>
      <c r="J440" s="6" t="n">
        <v>0.8</v>
      </c>
      <c r="K440" s="6" t="n">
        <v>1</v>
      </c>
      <c r="L440" s="6" t="n">
        <v>0.8</v>
      </c>
    </row>
    <row r="441" customFormat="false" ht="23.85" hidden="false" customHeight="false" outlineLevel="0" collapsed="false">
      <c r="A441" s="6" t="s">
        <v>3089</v>
      </c>
      <c r="B441" s="6" t="n">
        <v>366</v>
      </c>
      <c r="C441" s="6" t="s">
        <v>2982</v>
      </c>
      <c r="D441" s="6" t="s">
        <v>1986</v>
      </c>
      <c r="E441" s="6" t="s">
        <v>3090</v>
      </c>
      <c r="F441" s="6" t="s">
        <v>3091</v>
      </c>
      <c r="G441" s="6" t="s">
        <v>3092</v>
      </c>
      <c r="H441" s="6" t="s">
        <v>1607</v>
      </c>
      <c r="I441" s="6"/>
      <c r="J441" s="6" t="n">
        <v>0.8</v>
      </c>
      <c r="K441" s="6" t="n">
        <v>1</v>
      </c>
      <c r="L441" s="6" t="n">
        <v>0.8</v>
      </c>
    </row>
    <row r="442" customFormat="false" ht="23.85" hidden="false" customHeight="false" outlineLevel="0" collapsed="false">
      <c r="A442" s="6" t="s">
        <v>3093</v>
      </c>
      <c r="B442" s="6" t="n">
        <v>366</v>
      </c>
      <c r="C442" s="6" t="s">
        <v>3094</v>
      </c>
      <c r="D442" s="6" t="s">
        <v>1986</v>
      </c>
      <c r="E442" s="6" t="s">
        <v>3095</v>
      </c>
      <c r="F442" s="6" t="s">
        <v>3091</v>
      </c>
      <c r="G442" s="6" t="s">
        <v>3096</v>
      </c>
      <c r="H442" s="6" t="s">
        <v>1607</v>
      </c>
      <c r="I442" s="6"/>
      <c r="J442" s="6" t="n">
        <v>0.8</v>
      </c>
      <c r="K442" s="6" t="n">
        <v>1</v>
      </c>
      <c r="L442" s="6" t="n">
        <v>0.8</v>
      </c>
    </row>
    <row r="443" customFormat="false" ht="35.05" hidden="false" customHeight="false" outlineLevel="0" collapsed="false">
      <c r="A443" s="6" t="s">
        <v>3097</v>
      </c>
      <c r="B443" s="6" t="n">
        <v>367</v>
      </c>
      <c r="C443" s="6" t="s">
        <v>3094</v>
      </c>
      <c r="D443" s="6" t="s">
        <v>1986</v>
      </c>
      <c r="E443" s="6" t="s">
        <v>3098</v>
      </c>
      <c r="F443" s="6" t="s">
        <v>3099</v>
      </c>
      <c r="G443" s="6" t="s">
        <v>3100</v>
      </c>
      <c r="H443" s="6" t="s">
        <v>1607</v>
      </c>
      <c r="I443" s="6"/>
      <c r="J443" s="6" t="n">
        <v>0.8</v>
      </c>
      <c r="K443" s="6" t="n">
        <v>1</v>
      </c>
      <c r="L443" s="6" t="n">
        <v>0.8</v>
      </c>
    </row>
    <row r="444" customFormat="false" ht="23.85" hidden="false" customHeight="false" outlineLevel="0" collapsed="false">
      <c r="A444" s="6" t="s">
        <v>3101</v>
      </c>
      <c r="B444" s="6" t="n">
        <v>368</v>
      </c>
      <c r="C444" s="6" t="s">
        <v>3094</v>
      </c>
      <c r="D444" s="6" t="s">
        <v>1986</v>
      </c>
      <c r="E444" s="6" t="s">
        <v>3102</v>
      </c>
      <c r="F444" s="6" t="s">
        <v>3103</v>
      </c>
      <c r="G444" s="6" t="s">
        <v>3104</v>
      </c>
      <c r="H444" s="6" t="s">
        <v>1607</v>
      </c>
      <c r="I444" s="6"/>
      <c r="J444" s="6" t="n">
        <v>0.8</v>
      </c>
      <c r="K444" s="6" t="n">
        <v>1</v>
      </c>
      <c r="L444" s="6" t="n">
        <v>0.8</v>
      </c>
    </row>
    <row r="445" customFormat="false" ht="23.85" hidden="false" customHeight="false" outlineLevel="0" collapsed="false">
      <c r="A445" s="6" t="s">
        <v>3105</v>
      </c>
      <c r="B445" s="6" t="n">
        <v>369</v>
      </c>
      <c r="C445" s="6" t="s">
        <v>3094</v>
      </c>
      <c r="D445" s="6" t="s">
        <v>1986</v>
      </c>
      <c r="E445" s="6" t="s">
        <v>3106</v>
      </c>
      <c r="F445" s="6" t="s">
        <v>3107</v>
      </c>
      <c r="G445" s="6" t="s">
        <v>3108</v>
      </c>
      <c r="H445" s="6" t="s">
        <v>1607</v>
      </c>
      <c r="I445" s="6"/>
      <c r="J445" s="6" t="n">
        <v>0.8</v>
      </c>
      <c r="K445" s="6" t="n">
        <v>1</v>
      </c>
      <c r="L445" s="6" t="n">
        <v>0.8</v>
      </c>
    </row>
    <row r="446" customFormat="false" ht="15" hidden="false" customHeight="false" outlineLevel="0" collapsed="false">
      <c r="A446" s="6" t="s">
        <v>3109</v>
      </c>
      <c r="B446" s="6" t="n">
        <v>370</v>
      </c>
      <c r="C446" s="6" t="s">
        <v>2946</v>
      </c>
      <c r="D446" s="6" t="s">
        <v>1986</v>
      </c>
      <c r="E446" s="6" t="s">
        <v>3110</v>
      </c>
      <c r="F446" s="6" t="s">
        <v>3111</v>
      </c>
      <c r="G446" s="6" t="s">
        <v>3112</v>
      </c>
      <c r="H446" s="6" t="s">
        <v>1607</v>
      </c>
      <c r="I446" s="6"/>
      <c r="J446" s="6" t="n">
        <v>0.8</v>
      </c>
      <c r="K446" s="6" t="n">
        <v>1</v>
      </c>
      <c r="L446" s="6" t="n">
        <v>0.8</v>
      </c>
    </row>
    <row r="447" customFormat="false" ht="23.85" hidden="false" customHeight="false" outlineLevel="0" collapsed="false">
      <c r="A447" s="6" t="s">
        <v>3113</v>
      </c>
      <c r="B447" s="6" t="n">
        <v>371</v>
      </c>
      <c r="C447" s="6" t="s">
        <v>3094</v>
      </c>
      <c r="D447" s="6" t="s">
        <v>1986</v>
      </c>
      <c r="E447" s="6" t="s">
        <v>3114</v>
      </c>
      <c r="F447" s="6" t="s">
        <v>3115</v>
      </c>
      <c r="G447" s="6" t="s">
        <v>3116</v>
      </c>
      <c r="H447" s="6" t="s">
        <v>1607</v>
      </c>
      <c r="I447" s="6"/>
      <c r="J447" s="6" t="n">
        <v>0.8</v>
      </c>
      <c r="K447" s="6" t="n">
        <v>1</v>
      </c>
      <c r="L447" s="6" t="n">
        <v>0.8</v>
      </c>
    </row>
    <row r="448" customFormat="false" ht="15" hidden="false" customHeight="false" outlineLevel="0" collapsed="false">
      <c r="A448" s="6" t="s">
        <v>3117</v>
      </c>
      <c r="B448" s="6" t="n">
        <v>372</v>
      </c>
      <c r="C448" s="6" t="s">
        <v>2946</v>
      </c>
      <c r="D448" s="6" t="s">
        <v>1986</v>
      </c>
      <c r="E448" s="6" t="s">
        <v>3118</v>
      </c>
      <c r="F448" s="6" t="s">
        <v>3119</v>
      </c>
      <c r="G448" s="6" t="s">
        <v>3120</v>
      </c>
      <c r="H448" s="6" t="s">
        <v>1607</v>
      </c>
      <c r="I448" s="6"/>
      <c r="J448" s="6" t="n">
        <v>0.8</v>
      </c>
      <c r="K448" s="6" t="n">
        <v>1</v>
      </c>
      <c r="L448" s="6" t="n">
        <v>0.8</v>
      </c>
    </row>
    <row r="449" customFormat="false" ht="15" hidden="false" customHeight="false" outlineLevel="0" collapsed="false">
      <c r="A449" s="6" t="s">
        <v>3121</v>
      </c>
      <c r="B449" s="6" t="n">
        <v>373</v>
      </c>
      <c r="C449" s="6" t="s">
        <v>2946</v>
      </c>
      <c r="D449" s="6" t="s">
        <v>1986</v>
      </c>
      <c r="E449" s="6" t="s">
        <v>3122</v>
      </c>
      <c r="F449" s="6" t="s">
        <v>3123</v>
      </c>
      <c r="G449" s="6" t="s">
        <v>3124</v>
      </c>
      <c r="H449" s="6" t="s">
        <v>1607</v>
      </c>
      <c r="I449" s="6"/>
      <c r="J449" s="6" t="n">
        <v>0.8</v>
      </c>
      <c r="K449" s="6" t="n">
        <v>1</v>
      </c>
      <c r="L449" s="6" t="n">
        <v>0.8</v>
      </c>
    </row>
    <row r="450" customFormat="false" ht="35.05" hidden="false" customHeight="false" outlineLevel="0" collapsed="false">
      <c r="A450" s="6" t="s">
        <v>3125</v>
      </c>
      <c r="B450" s="6" t="n">
        <v>374</v>
      </c>
      <c r="C450" s="6" t="s">
        <v>3126</v>
      </c>
      <c r="D450" s="6" t="s">
        <v>1986</v>
      </c>
      <c r="E450" s="6" t="s">
        <v>3127</v>
      </c>
      <c r="F450" s="6" t="s">
        <v>3128</v>
      </c>
      <c r="G450" s="6" t="s">
        <v>3129</v>
      </c>
      <c r="H450" s="6" t="s">
        <v>1607</v>
      </c>
      <c r="I450" s="6"/>
      <c r="J450" s="6" t="n">
        <v>0.8</v>
      </c>
      <c r="K450" s="6" t="n">
        <v>1</v>
      </c>
      <c r="L450" s="6" t="n">
        <v>0.8</v>
      </c>
    </row>
    <row r="451" customFormat="false" ht="23.85" hidden="false" customHeight="false" outlineLevel="0" collapsed="false">
      <c r="A451" s="6" t="s">
        <v>3130</v>
      </c>
      <c r="B451" s="6" t="n">
        <v>375</v>
      </c>
      <c r="C451" s="6" t="s">
        <v>2946</v>
      </c>
      <c r="D451" s="6" t="s">
        <v>1986</v>
      </c>
      <c r="E451" s="6" t="s">
        <v>3131</v>
      </c>
      <c r="F451" s="6" t="s">
        <v>3132</v>
      </c>
      <c r="G451" s="6" t="s">
        <v>3133</v>
      </c>
      <c r="H451" s="6" t="s">
        <v>1607</v>
      </c>
      <c r="I451" s="6"/>
      <c r="J451" s="6" t="n">
        <v>0.8</v>
      </c>
      <c r="K451" s="6" t="n">
        <v>1</v>
      </c>
      <c r="L451" s="6" t="n">
        <v>0.8</v>
      </c>
    </row>
    <row r="452" customFormat="false" ht="15" hidden="false" customHeight="false" outlineLevel="0" collapsed="false">
      <c r="A452" s="6" t="s">
        <v>3134</v>
      </c>
      <c r="B452" s="6" t="n">
        <v>376</v>
      </c>
      <c r="C452" s="6" t="s">
        <v>3135</v>
      </c>
      <c r="D452" s="6" t="s">
        <v>1603</v>
      </c>
      <c r="E452" s="6" t="s">
        <v>3136</v>
      </c>
      <c r="F452" s="6" t="s">
        <v>3137</v>
      </c>
      <c r="G452" s="6" t="s">
        <v>3138</v>
      </c>
      <c r="H452" s="6" t="s">
        <v>1607</v>
      </c>
      <c r="I452" s="6"/>
      <c r="J452" s="6" t="n">
        <v>0.6</v>
      </c>
      <c r="K452" s="6" t="n">
        <v>1</v>
      </c>
      <c r="L452" s="6" t="n">
        <v>0.6</v>
      </c>
    </row>
    <row r="454" customFormat="false" ht="15" hidden="false" customHeight="false" outlineLevel="0" collapsed="false">
      <c r="A454" s="14" t="s">
        <v>3139</v>
      </c>
    </row>
    <row r="455" customFormat="false" ht="23.85" hidden="false" customHeight="false" outlineLevel="0" collapsed="false">
      <c r="A455" s="6"/>
      <c r="B455" s="6" t="s">
        <v>3140</v>
      </c>
      <c r="C455" s="6" t="s">
        <v>1651</v>
      </c>
      <c r="D455" s="6" t="s">
        <v>1603</v>
      </c>
      <c r="E455" s="6" t="s">
        <v>3141</v>
      </c>
      <c r="F455" s="6" t="s">
        <v>1727</v>
      </c>
      <c r="G455" s="6" t="s">
        <v>3142</v>
      </c>
      <c r="H455" s="6" t="s">
        <v>1607</v>
      </c>
      <c r="I455" s="6"/>
    </row>
    <row r="456" customFormat="false" ht="23.85" hidden="false" customHeight="false" outlineLevel="0" collapsed="false">
      <c r="A456" s="6"/>
      <c r="B456" s="6" t="s">
        <v>3140</v>
      </c>
      <c r="C456" s="6" t="s">
        <v>2339</v>
      </c>
      <c r="D456" s="6" t="s">
        <v>1603</v>
      </c>
      <c r="E456" s="6" t="s">
        <v>3143</v>
      </c>
      <c r="F456" s="6" t="s">
        <v>1722</v>
      </c>
      <c r="G456" s="6" t="s">
        <v>3144</v>
      </c>
      <c r="H456" s="6" t="s">
        <v>1701</v>
      </c>
      <c r="I456" s="6"/>
    </row>
    <row r="457" customFormat="false" ht="23.85" hidden="false" customHeight="false" outlineLevel="0" collapsed="false">
      <c r="A457" s="6"/>
      <c r="B457" s="6" t="s">
        <v>3140</v>
      </c>
      <c r="C457" s="6" t="s">
        <v>2572</v>
      </c>
      <c r="D457" s="6" t="s">
        <v>1603</v>
      </c>
      <c r="E457" s="6" t="s">
        <v>3145</v>
      </c>
      <c r="F457" s="6" t="s">
        <v>1722</v>
      </c>
      <c r="G457" s="6" t="s">
        <v>3146</v>
      </c>
      <c r="H457" s="6" t="s">
        <v>1701</v>
      </c>
      <c r="I457" s="6"/>
    </row>
    <row r="458" customFormat="false" ht="23.85" hidden="false" customHeight="false" outlineLevel="0" collapsed="false">
      <c r="A458" s="6"/>
      <c r="B458" s="6" t="s">
        <v>3147</v>
      </c>
      <c r="C458" s="6" t="s">
        <v>1647</v>
      </c>
      <c r="D458" s="6" t="s">
        <v>1603</v>
      </c>
      <c r="E458" s="6" t="s">
        <v>3148</v>
      </c>
      <c r="F458" s="6" t="s">
        <v>1817</v>
      </c>
      <c r="G458" s="6" t="s">
        <v>3149</v>
      </c>
      <c r="H458" s="6" t="s">
        <v>1607</v>
      </c>
      <c r="I458" s="6"/>
    </row>
    <row r="459" customFormat="false" ht="23.85" hidden="false" customHeight="false" outlineLevel="0" collapsed="false">
      <c r="A459" s="6"/>
      <c r="B459" s="6" t="s">
        <v>3147</v>
      </c>
      <c r="C459" s="6" t="s">
        <v>2572</v>
      </c>
      <c r="D459" s="6" t="s">
        <v>1603</v>
      </c>
      <c r="E459" s="6" t="s">
        <v>3150</v>
      </c>
      <c r="F459" s="6" t="s">
        <v>1794</v>
      </c>
      <c r="G459" s="6" t="s">
        <v>3151</v>
      </c>
      <c r="H459" s="6" t="s">
        <v>1607</v>
      </c>
      <c r="I459" s="6"/>
    </row>
    <row r="460" customFormat="false" ht="23.85" hidden="false" customHeight="false" outlineLevel="0" collapsed="false">
      <c r="A460" s="6"/>
      <c r="B460" s="6" t="s">
        <v>3147</v>
      </c>
      <c r="C460" s="6" t="s">
        <v>1651</v>
      </c>
      <c r="D460" s="6" t="s">
        <v>1603</v>
      </c>
      <c r="E460" s="6" t="s">
        <v>3152</v>
      </c>
      <c r="F460" s="6" t="s">
        <v>1817</v>
      </c>
      <c r="G460" s="6" t="s">
        <v>3153</v>
      </c>
      <c r="H460" s="6" t="s">
        <v>1607</v>
      </c>
      <c r="I460" s="6"/>
    </row>
    <row r="461" customFormat="false" ht="23.85" hidden="false" customHeight="false" outlineLevel="0" collapsed="false">
      <c r="A461" s="6"/>
      <c r="B461" s="6" t="s">
        <v>3147</v>
      </c>
      <c r="C461" s="6" t="s">
        <v>1647</v>
      </c>
      <c r="D461" s="6" t="s">
        <v>1603</v>
      </c>
      <c r="E461" s="6" t="s">
        <v>3154</v>
      </c>
      <c r="F461" s="6" t="s">
        <v>3155</v>
      </c>
      <c r="G461" s="6" t="s">
        <v>3156</v>
      </c>
      <c r="H461" s="6" t="s">
        <v>1701</v>
      </c>
      <c r="I461" s="6"/>
    </row>
    <row r="462" customFormat="false" ht="23.85" hidden="false" customHeight="false" outlineLevel="0" collapsed="false">
      <c r="A462" s="6"/>
      <c r="B462" s="6" t="s">
        <v>3157</v>
      </c>
      <c r="C462" s="6" t="s">
        <v>1629</v>
      </c>
      <c r="D462" s="6" t="s">
        <v>1603</v>
      </c>
      <c r="E462" s="6" t="s">
        <v>1823</v>
      </c>
      <c r="F462" s="6" t="s">
        <v>1824</v>
      </c>
      <c r="G462" s="6" t="s">
        <v>1825</v>
      </c>
      <c r="H462" s="6" t="s">
        <v>1607</v>
      </c>
      <c r="I462" s="6"/>
    </row>
    <row r="463" customFormat="false" ht="23.85" hidden="false" customHeight="false" outlineLevel="0" collapsed="false">
      <c r="A463" s="6"/>
      <c r="B463" s="6" t="s">
        <v>3157</v>
      </c>
      <c r="C463" s="6" t="s">
        <v>1647</v>
      </c>
      <c r="D463" s="6" t="s">
        <v>1603</v>
      </c>
      <c r="E463" s="6" t="s">
        <v>3158</v>
      </c>
      <c r="F463" s="6" t="s">
        <v>1824</v>
      </c>
      <c r="G463" s="6" t="s">
        <v>3159</v>
      </c>
      <c r="H463" s="6" t="s">
        <v>1701</v>
      </c>
      <c r="I463" s="6"/>
    </row>
    <row r="464" customFormat="false" ht="23.85" hidden="false" customHeight="false" outlineLevel="0" collapsed="false">
      <c r="A464" s="6"/>
      <c r="B464" s="6" t="s">
        <v>3160</v>
      </c>
      <c r="C464" s="6" t="s">
        <v>2030</v>
      </c>
      <c r="D464" s="6" t="s">
        <v>1603</v>
      </c>
      <c r="E464" s="6" t="s">
        <v>3161</v>
      </c>
      <c r="F464" s="6" t="s">
        <v>1910</v>
      </c>
      <c r="G464" s="6" t="s">
        <v>3162</v>
      </c>
      <c r="H464" s="6" t="s">
        <v>1701</v>
      </c>
      <c r="I464" s="6"/>
    </row>
    <row r="465" customFormat="false" ht="23.85" hidden="false" customHeight="false" outlineLevel="0" collapsed="false">
      <c r="A465" s="6"/>
      <c r="B465" s="6" t="s">
        <v>3160</v>
      </c>
      <c r="C465" s="6" t="s">
        <v>2030</v>
      </c>
      <c r="D465" s="6" t="s">
        <v>1603</v>
      </c>
      <c r="E465" s="6" t="s">
        <v>3163</v>
      </c>
      <c r="F465" s="6" t="s">
        <v>1921</v>
      </c>
      <c r="G465" s="6" t="s">
        <v>3164</v>
      </c>
      <c r="H465" s="6" t="s">
        <v>1701</v>
      </c>
      <c r="I465" s="6"/>
    </row>
    <row r="466" customFormat="false" ht="23.85" hidden="false" customHeight="false" outlineLevel="0" collapsed="false">
      <c r="A466" s="6"/>
      <c r="B466" s="6" t="s">
        <v>3160</v>
      </c>
      <c r="C466" s="6" t="s">
        <v>1647</v>
      </c>
      <c r="D466" s="6" t="s">
        <v>1603</v>
      </c>
      <c r="E466" s="6" t="s">
        <v>3165</v>
      </c>
      <c r="F466" s="6" t="s">
        <v>2005</v>
      </c>
      <c r="G466" s="6" t="s">
        <v>3166</v>
      </c>
      <c r="H466" s="6" t="s">
        <v>1607</v>
      </c>
      <c r="I466" s="6"/>
    </row>
    <row r="467" customFormat="false" ht="23.85" hidden="false" customHeight="false" outlineLevel="0" collapsed="false">
      <c r="A467" s="6"/>
      <c r="B467" s="6" t="s">
        <v>3160</v>
      </c>
      <c r="C467" s="6" t="s">
        <v>1651</v>
      </c>
      <c r="D467" s="6" t="s">
        <v>1603</v>
      </c>
      <c r="E467" s="6" t="s">
        <v>3167</v>
      </c>
      <c r="F467" s="6" t="s">
        <v>1875</v>
      </c>
      <c r="G467" s="6" t="s">
        <v>3168</v>
      </c>
      <c r="H467" s="6" t="s">
        <v>1607</v>
      </c>
      <c r="I467" s="6"/>
    </row>
    <row r="468" customFormat="false" ht="23.85" hidden="false" customHeight="false" outlineLevel="0" collapsed="false">
      <c r="A468" s="6"/>
      <c r="B468" s="6" t="s">
        <v>3169</v>
      </c>
      <c r="C468" s="6" t="s">
        <v>1633</v>
      </c>
      <c r="D468" s="6" t="s">
        <v>1603</v>
      </c>
      <c r="E468" s="6" t="s">
        <v>1902</v>
      </c>
      <c r="F468" s="6" t="s">
        <v>1899</v>
      </c>
      <c r="G468" s="6" t="s">
        <v>3170</v>
      </c>
      <c r="H468" s="6" t="s">
        <v>1607</v>
      </c>
      <c r="I468" s="6"/>
    </row>
    <row r="469" customFormat="false" ht="23.85" hidden="false" customHeight="false" outlineLevel="0" collapsed="false">
      <c r="A469" s="6"/>
      <c r="B469" s="6" t="s">
        <v>3169</v>
      </c>
      <c r="C469" s="6" t="s">
        <v>3171</v>
      </c>
      <c r="D469" s="6" t="s">
        <v>1603</v>
      </c>
      <c r="E469" s="6" t="s">
        <v>3172</v>
      </c>
      <c r="F469" s="6" t="s">
        <v>1910</v>
      </c>
      <c r="G469" s="6" t="s">
        <v>3173</v>
      </c>
      <c r="H469" s="6" t="s">
        <v>1607</v>
      </c>
      <c r="I469" s="6"/>
    </row>
    <row r="470" customFormat="false" ht="23.85" hidden="false" customHeight="false" outlineLevel="0" collapsed="false">
      <c r="A470" s="6"/>
      <c r="B470" s="6" t="s">
        <v>3169</v>
      </c>
      <c r="C470" s="6" t="s">
        <v>1629</v>
      </c>
      <c r="D470" s="6" t="s">
        <v>1603</v>
      </c>
      <c r="E470" s="6" t="s">
        <v>3174</v>
      </c>
      <c r="F470" s="6" t="s">
        <v>3175</v>
      </c>
      <c r="G470" s="6" t="s">
        <v>3176</v>
      </c>
      <c r="H470" s="6" t="s">
        <v>1607</v>
      </c>
      <c r="I470" s="6"/>
    </row>
    <row r="471" customFormat="false" ht="23.85" hidden="false" customHeight="false" outlineLevel="0" collapsed="false">
      <c r="A471" s="6"/>
      <c r="B471" s="6" t="s">
        <v>3169</v>
      </c>
      <c r="C471" s="6" t="s">
        <v>3177</v>
      </c>
      <c r="D471" s="6" t="s">
        <v>1603</v>
      </c>
      <c r="E471" s="6" t="s">
        <v>3178</v>
      </c>
      <c r="F471" s="6" t="s">
        <v>3179</v>
      </c>
      <c r="G471" s="6" t="s">
        <v>3180</v>
      </c>
      <c r="H471" s="6" t="s">
        <v>1607</v>
      </c>
      <c r="I471" s="6"/>
    </row>
    <row r="472" customFormat="false" ht="23.85" hidden="false" customHeight="false" outlineLevel="0" collapsed="false">
      <c r="A472" s="6"/>
      <c r="B472" s="6" t="s">
        <v>3169</v>
      </c>
      <c r="C472" s="6" t="s">
        <v>3181</v>
      </c>
      <c r="D472" s="6" t="s">
        <v>1603</v>
      </c>
      <c r="E472" s="6" t="s">
        <v>3182</v>
      </c>
      <c r="F472" s="6" t="s">
        <v>3183</v>
      </c>
      <c r="G472" s="6" t="s">
        <v>3184</v>
      </c>
      <c r="H472" s="6" t="s">
        <v>1607</v>
      </c>
      <c r="I472" s="6"/>
    </row>
    <row r="473" customFormat="false" ht="23.85" hidden="false" customHeight="false" outlineLevel="0" collapsed="false">
      <c r="A473" s="6"/>
      <c r="B473" s="6" t="s">
        <v>3185</v>
      </c>
      <c r="C473" s="6" t="s">
        <v>2030</v>
      </c>
      <c r="D473" s="6" t="s">
        <v>1603</v>
      </c>
      <c r="E473" s="6" t="s">
        <v>3186</v>
      </c>
      <c r="F473" s="6" t="s">
        <v>1930</v>
      </c>
      <c r="G473" s="6" t="s">
        <v>3187</v>
      </c>
      <c r="H473" s="6" t="s">
        <v>1607</v>
      </c>
      <c r="I473" s="6"/>
    </row>
    <row r="474" customFormat="false" ht="23.85" hidden="false" customHeight="false" outlineLevel="0" collapsed="false">
      <c r="A474" s="6"/>
      <c r="B474" s="6" t="s">
        <v>3185</v>
      </c>
      <c r="C474" s="6" t="s">
        <v>1647</v>
      </c>
      <c r="D474" s="6" t="s">
        <v>1603</v>
      </c>
      <c r="E474" s="6" t="s">
        <v>3188</v>
      </c>
      <c r="F474" s="6" t="s">
        <v>1930</v>
      </c>
      <c r="G474" s="6" t="s">
        <v>3189</v>
      </c>
      <c r="H474" s="6" t="s">
        <v>1607</v>
      </c>
      <c r="I474" s="6"/>
    </row>
    <row r="475" customFormat="false" ht="23.85" hidden="false" customHeight="false" outlineLevel="0" collapsed="false">
      <c r="A475" s="6"/>
      <c r="B475" s="6" t="s">
        <v>3185</v>
      </c>
      <c r="C475" s="6" t="s">
        <v>1647</v>
      </c>
      <c r="D475" s="6" t="s">
        <v>1603</v>
      </c>
      <c r="E475" s="6" t="s">
        <v>3190</v>
      </c>
      <c r="F475" s="6" t="s">
        <v>1926</v>
      </c>
      <c r="G475" s="6" t="s">
        <v>3191</v>
      </c>
      <c r="H475" s="6" t="s">
        <v>1607</v>
      </c>
      <c r="I475" s="6"/>
    </row>
    <row r="476" customFormat="false" ht="23.85" hidden="false" customHeight="false" outlineLevel="0" collapsed="false">
      <c r="A476" s="6"/>
      <c r="B476" s="6" t="s">
        <v>3192</v>
      </c>
      <c r="C476" s="6" t="s">
        <v>1647</v>
      </c>
      <c r="D476" s="6" t="s">
        <v>1603</v>
      </c>
      <c r="E476" s="6" t="s">
        <v>3193</v>
      </c>
      <c r="F476" s="6" t="s">
        <v>1891</v>
      </c>
      <c r="G476" s="6" t="s">
        <v>3194</v>
      </c>
      <c r="H476" s="6" t="s">
        <v>1607</v>
      </c>
      <c r="I476" s="6"/>
    </row>
    <row r="477" customFormat="false" ht="23.85" hidden="false" customHeight="false" outlineLevel="0" collapsed="false">
      <c r="A477" s="6"/>
      <c r="B477" s="6" t="s">
        <v>3192</v>
      </c>
      <c r="C477" s="6" t="s">
        <v>3195</v>
      </c>
      <c r="D477" s="6" t="s">
        <v>1603</v>
      </c>
      <c r="E477" s="6" t="s">
        <v>3196</v>
      </c>
      <c r="F477" s="6" t="s">
        <v>1891</v>
      </c>
      <c r="G477" s="6" t="s">
        <v>3197</v>
      </c>
      <c r="H477" s="6" t="s">
        <v>1607</v>
      </c>
      <c r="I477" s="6"/>
    </row>
    <row r="478" customFormat="false" ht="23.85" hidden="false" customHeight="false" outlineLevel="0" collapsed="false">
      <c r="A478" s="6"/>
      <c r="B478" s="6" t="s">
        <v>3198</v>
      </c>
      <c r="C478" s="6" t="s">
        <v>2225</v>
      </c>
      <c r="D478" s="6" t="s">
        <v>1603</v>
      </c>
      <c r="E478" s="6" t="s">
        <v>3199</v>
      </c>
      <c r="F478" s="6" t="s">
        <v>1954</v>
      </c>
      <c r="G478" s="6" t="s">
        <v>3200</v>
      </c>
      <c r="H478" s="6" t="s">
        <v>1607</v>
      </c>
      <c r="I478" s="6"/>
    </row>
    <row r="479" customFormat="false" ht="23.85" hidden="false" customHeight="false" outlineLevel="0" collapsed="false">
      <c r="A479" s="6"/>
      <c r="B479" s="6" t="s">
        <v>3198</v>
      </c>
      <c r="C479" s="6" t="s">
        <v>1647</v>
      </c>
      <c r="D479" s="6" t="s">
        <v>1603</v>
      </c>
      <c r="E479" s="6" t="s">
        <v>3201</v>
      </c>
      <c r="F479" s="6" t="s">
        <v>3202</v>
      </c>
      <c r="G479" s="6" t="s">
        <v>3203</v>
      </c>
      <c r="H479" s="6" t="s">
        <v>1607</v>
      </c>
      <c r="I479" s="6"/>
    </row>
    <row r="480" customFormat="false" ht="23.85" hidden="false" customHeight="false" outlineLevel="0" collapsed="false">
      <c r="A480" s="6"/>
      <c r="B480" s="6" t="s">
        <v>3198</v>
      </c>
      <c r="C480" s="6" t="s">
        <v>1647</v>
      </c>
      <c r="D480" s="6" t="s">
        <v>1603</v>
      </c>
      <c r="E480" s="6" t="s">
        <v>3204</v>
      </c>
      <c r="F480" s="6" t="s">
        <v>1959</v>
      </c>
      <c r="G480" s="6" t="s">
        <v>3205</v>
      </c>
      <c r="H480" s="6" t="s">
        <v>1607</v>
      </c>
      <c r="I480" s="6"/>
    </row>
    <row r="481" customFormat="false" ht="23.85" hidden="false" customHeight="false" outlineLevel="0" collapsed="false">
      <c r="A481" s="6"/>
      <c r="B481" s="6" t="s">
        <v>3198</v>
      </c>
      <c r="C481" s="6" t="s">
        <v>1647</v>
      </c>
      <c r="D481" s="6" t="s">
        <v>1603</v>
      </c>
      <c r="E481" s="6" t="s">
        <v>3206</v>
      </c>
      <c r="F481" s="6" t="s">
        <v>3207</v>
      </c>
      <c r="G481" s="6" t="s">
        <v>3208</v>
      </c>
      <c r="H481" s="6" t="s">
        <v>1607</v>
      </c>
      <c r="I481" s="6"/>
    </row>
    <row r="482" customFormat="false" ht="23.85" hidden="false" customHeight="false" outlineLevel="0" collapsed="false">
      <c r="A482" s="6"/>
      <c r="B482" s="6" t="s">
        <v>3209</v>
      </c>
      <c r="C482" s="6" t="s">
        <v>3210</v>
      </c>
      <c r="D482" s="6" t="s">
        <v>1603</v>
      </c>
      <c r="E482" s="6" t="s">
        <v>3211</v>
      </c>
      <c r="F482" s="6" t="s">
        <v>3207</v>
      </c>
      <c r="G482" s="6" t="s">
        <v>3212</v>
      </c>
      <c r="H482" s="6" t="s">
        <v>1607</v>
      </c>
      <c r="I482" s="6"/>
    </row>
    <row r="483" customFormat="false" ht="23.85" hidden="false" customHeight="false" outlineLevel="0" collapsed="false">
      <c r="A483" s="6"/>
      <c r="B483" s="6" t="s">
        <v>3209</v>
      </c>
      <c r="C483" s="6" t="s">
        <v>3213</v>
      </c>
      <c r="D483" s="6" t="s">
        <v>1603</v>
      </c>
      <c r="E483" s="6" t="s">
        <v>3214</v>
      </c>
      <c r="F483" s="6" t="s">
        <v>3207</v>
      </c>
      <c r="G483" s="6" t="s">
        <v>3215</v>
      </c>
      <c r="H483" s="6" t="s">
        <v>1607</v>
      </c>
      <c r="I483" s="6"/>
    </row>
    <row r="484" customFormat="false" ht="23.85" hidden="false" customHeight="false" outlineLevel="0" collapsed="false">
      <c r="A484" s="6"/>
      <c r="B484" s="6" t="s">
        <v>3209</v>
      </c>
      <c r="C484" s="6" t="s">
        <v>1629</v>
      </c>
      <c r="D484" s="6" t="s">
        <v>1603</v>
      </c>
      <c r="E484" s="6" t="s">
        <v>1967</v>
      </c>
      <c r="F484" s="6" t="s">
        <v>1964</v>
      </c>
      <c r="G484" s="6" t="s">
        <v>1968</v>
      </c>
      <c r="H484" s="6" t="s">
        <v>1607</v>
      </c>
      <c r="I484" s="6"/>
    </row>
    <row r="485" customFormat="false" ht="23.85" hidden="false" customHeight="false" outlineLevel="0" collapsed="false">
      <c r="A485" s="6"/>
      <c r="B485" s="6" t="s">
        <v>3216</v>
      </c>
      <c r="C485" s="6" t="s">
        <v>1655</v>
      </c>
      <c r="D485" s="6" t="s">
        <v>1603</v>
      </c>
      <c r="E485" s="6" t="s">
        <v>3217</v>
      </c>
      <c r="F485" s="6" t="s">
        <v>2051</v>
      </c>
      <c r="G485" s="6" t="s">
        <v>3218</v>
      </c>
      <c r="H485" s="6" t="s">
        <v>1607</v>
      </c>
      <c r="I485" s="6"/>
    </row>
    <row r="486" customFormat="false" ht="23.85" hidden="false" customHeight="false" outlineLevel="0" collapsed="false">
      <c r="A486" s="6"/>
      <c r="B486" s="6" t="s">
        <v>3216</v>
      </c>
      <c r="C486" s="6" t="s">
        <v>1647</v>
      </c>
      <c r="D486" s="6" t="s">
        <v>1603</v>
      </c>
      <c r="E486" s="6" t="s">
        <v>3219</v>
      </c>
      <c r="F486" s="6" t="s">
        <v>2051</v>
      </c>
      <c r="G486" s="6" t="s">
        <v>3220</v>
      </c>
      <c r="H486" s="6" t="s">
        <v>1607</v>
      </c>
      <c r="I486" s="6"/>
    </row>
    <row r="487" customFormat="false" ht="23.85" hidden="false" customHeight="false" outlineLevel="0" collapsed="false">
      <c r="A487" s="6"/>
      <c r="B487" s="6" t="s">
        <v>3216</v>
      </c>
      <c r="C487" s="6" t="s">
        <v>2464</v>
      </c>
      <c r="D487" s="6" t="s">
        <v>1603</v>
      </c>
      <c r="E487" s="6" t="s">
        <v>3221</v>
      </c>
      <c r="F487" s="6" t="s">
        <v>3222</v>
      </c>
      <c r="G487" s="6" t="s">
        <v>3223</v>
      </c>
      <c r="H487" s="6" t="s">
        <v>1701</v>
      </c>
      <c r="I487" s="6"/>
    </row>
    <row r="488" customFormat="false" ht="23.85" hidden="false" customHeight="false" outlineLevel="0" collapsed="false">
      <c r="A488" s="6"/>
      <c r="B488" s="6" t="s">
        <v>3216</v>
      </c>
      <c r="C488" s="6" t="s">
        <v>2464</v>
      </c>
      <c r="D488" s="6" t="s">
        <v>1603</v>
      </c>
      <c r="E488" s="6" t="s">
        <v>3224</v>
      </c>
      <c r="F488" s="6" t="s">
        <v>3225</v>
      </c>
      <c r="G488" s="6" t="s">
        <v>3226</v>
      </c>
      <c r="H488" s="6" t="s">
        <v>1701</v>
      </c>
      <c r="I488" s="6"/>
    </row>
    <row r="489" customFormat="false" ht="23.85" hidden="false" customHeight="false" outlineLevel="0" collapsed="false">
      <c r="A489" s="6"/>
      <c r="B489" s="6" t="s">
        <v>3216</v>
      </c>
      <c r="C489" s="6" t="s">
        <v>1647</v>
      </c>
      <c r="D489" s="6" t="s">
        <v>1603</v>
      </c>
      <c r="E489" s="6" t="s">
        <v>2074</v>
      </c>
      <c r="F489" s="6" t="s">
        <v>2075</v>
      </c>
      <c r="G489" s="6" t="s">
        <v>2076</v>
      </c>
      <c r="H489" s="6" t="s">
        <v>1607</v>
      </c>
      <c r="I489" s="6"/>
    </row>
    <row r="490" customFormat="false" ht="23.85" hidden="false" customHeight="false" outlineLevel="0" collapsed="false">
      <c r="A490" s="6"/>
      <c r="B490" s="6" t="s">
        <v>3227</v>
      </c>
      <c r="C490" s="6" t="s">
        <v>2481</v>
      </c>
      <c r="D490" s="6" t="s">
        <v>1603</v>
      </c>
      <c r="E490" s="6" t="s">
        <v>3228</v>
      </c>
      <c r="F490" s="6" t="s">
        <v>2067</v>
      </c>
      <c r="G490" s="6" t="s">
        <v>3229</v>
      </c>
      <c r="H490" s="6" t="s">
        <v>1607</v>
      </c>
      <c r="I490" s="6"/>
    </row>
    <row r="491" customFormat="false" ht="23.85" hidden="false" customHeight="false" outlineLevel="0" collapsed="false">
      <c r="A491" s="6"/>
      <c r="B491" s="6" t="s">
        <v>3227</v>
      </c>
      <c r="C491" s="6" t="s">
        <v>3230</v>
      </c>
      <c r="D491" s="6" t="s">
        <v>1603</v>
      </c>
      <c r="E491" s="6" t="s">
        <v>3231</v>
      </c>
      <c r="F491" s="6" t="s">
        <v>2067</v>
      </c>
      <c r="G491" s="6" t="s">
        <v>3232</v>
      </c>
      <c r="H491" s="6" t="s">
        <v>1607</v>
      </c>
      <c r="I491" s="6"/>
    </row>
    <row r="492" customFormat="false" ht="23.85" hidden="false" customHeight="false" outlineLevel="0" collapsed="false">
      <c r="A492" s="6"/>
      <c r="B492" s="6" t="s">
        <v>3227</v>
      </c>
      <c r="C492" s="6" t="s">
        <v>3233</v>
      </c>
      <c r="D492" s="6" t="s">
        <v>1603</v>
      </c>
      <c r="E492" s="6" t="s">
        <v>3234</v>
      </c>
      <c r="F492" s="6" t="s">
        <v>2075</v>
      </c>
      <c r="G492" s="6" t="s">
        <v>3235</v>
      </c>
      <c r="H492" s="6" t="s">
        <v>1607</v>
      </c>
      <c r="I492" s="6"/>
    </row>
    <row r="493" customFormat="false" ht="23.85" hidden="false" customHeight="false" outlineLevel="0" collapsed="false">
      <c r="A493" s="6"/>
      <c r="B493" s="6" t="s">
        <v>3227</v>
      </c>
      <c r="C493" s="6" t="s">
        <v>3236</v>
      </c>
      <c r="D493" s="6" t="s">
        <v>1603</v>
      </c>
      <c r="E493" s="6" t="s">
        <v>3237</v>
      </c>
      <c r="F493" s="6" t="s">
        <v>3238</v>
      </c>
      <c r="G493" s="6" t="s">
        <v>3239</v>
      </c>
      <c r="H493" s="6" t="s">
        <v>1607</v>
      </c>
      <c r="I493" s="6"/>
    </row>
    <row r="494" customFormat="false" ht="23.85" hidden="false" customHeight="false" outlineLevel="0" collapsed="false">
      <c r="A494" s="6"/>
      <c r="B494" s="6" t="s">
        <v>3240</v>
      </c>
      <c r="C494" s="6" t="s">
        <v>3241</v>
      </c>
      <c r="D494" s="6" t="s">
        <v>1603</v>
      </c>
      <c r="E494" s="6" t="s">
        <v>3242</v>
      </c>
      <c r="F494" s="6" t="s">
        <v>2088</v>
      </c>
      <c r="G494" s="6" t="s">
        <v>3243</v>
      </c>
      <c r="H494" s="6" t="s">
        <v>1607</v>
      </c>
      <c r="I494" s="6"/>
    </row>
    <row r="495" customFormat="false" ht="23.85" hidden="false" customHeight="false" outlineLevel="0" collapsed="false">
      <c r="A495" s="6"/>
      <c r="B495" s="6" t="s">
        <v>3240</v>
      </c>
      <c r="C495" s="6" t="s">
        <v>3244</v>
      </c>
      <c r="D495" s="6" t="s">
        <v>1603</v>
      </c>
      <c r="E495" s="6" t="s">
        <v>2092</v>
      </c>
      <c r="F495" s="6" t="s">
        <v>2088</v>
      </c>
      <c r="G495" s="6" t="s">
        <v>2093</v>
      </c>
      <c r="H495" s="6" t="s">
        <v>1607</v>
      </c>
      <c r="I495" s="6"/>
    </row>
    <row r="496" customFormat="false" ht="23.85" hidden="false" customHeight="false" outlineLevel="0" collapsed="false">
      <c r="A496" s="6"/>
      <c r="B496" s="6" t="s">
        <v>3240</v>
      </c>
      <c r="C496" s="6" t="s">
        <v>3245</v>
      </c>
      <c r="D496" s="6" t="s">
        <v>2119</v>
      </c>
      <c r="E496" s="6" t="s">
        <v>3246</v>
      </c>
      <c r="F496" s="6" t="s">
        <v>2097</v>
      </c>
      <c r="G496" s="6" t="s">
        <v>3247</v>
      </c>
      <c r="H496" s="6" t="s">
        <v>1607</v>
      </c>
      <c r="I496" s="6"/>
    </row>
    <row r="497" customFormat="false" ht="23.85" hidden="false" customHeight="false" outlineLevel="0" collapsed="false">
      <c r="A497" s="6"/>
      <c r="B497" s="6" t="s">
        <v>3240</v>
      </c>
      <c r="C497" s="6" t="s">
        <v>3248</v>
      </c>
      <c r="D497" s="6" t="s">
        <v>1603</v>
      </c>
      <c r="E497" s="6" t="s">
        <v>3249</v>
      </c>
      <c r="F497" s="6" t="s">
        <v>3250</v>
      </c>
      <c r="G497" s="6" t="s">
        <v>3251</v>
      </c>
      <c r="H497" s="6" t="s">
        <v>1607</v>
      </c>
      <c r="I497" s="6"/>
    </row>
    <row r="498" customFormat="false" ht="23.85" hidden="false" customHeight="false" outlineLevel="0" collapsed="false">
      <c r="A498" s="6"/>
      <c r="B498" s="6" t="s">
        <v>3240</v>
      </c>
      <c r="C498" s="6" t="s">
        <v>3252</v>
      </c>
      <c r="D498" s="6" t="s">
        <v>1603</v>
      </c>
      <c r="E498" s="6" t="s">
        <v>3253</v>
      </c>
      <c r="F498" s="6" t="s">
        <v>2114</v>
      </c>
      <c r="G498" s="6" t="s">
        <v>3254</v>
      </c>
      <c r="H498" s="6" t="s">
        <v>1607</v>
      </c>
      <c r="I498" s="6"/>
    </row>
    <row r="499" customFormat="false" ht="23.85" hidden="false" customHeight="false" outlineLevel="0" collapsed="false">
      <c r="A499" s="6"/>
      <c r="B499" s="6" t="s">
        <v>3255</v>
      </c>
      <c r="C499" s="6" t="s">
        <v>2182</v>
      </c>
      <c r="D499" s="6" t="s">
        <v>1986</v>
      </c>
      <c r="E499" s="6" t="s">
        <v>3256</v>
      </c>
      <c r="F499" s="6" t="s">
        <v>2208</v>
      </c>
      <c r="G499" s="6" t="s">
        <v>2209</v>
      </c>
      <c r="H499" s="6" t="s">
        <v>1607</v>
      </c>
      <c r="I499" s="6"/>
    </row>
    <row r="500" customFormat="false" ht="23.85" hidden="false" customHeight="false" outlineLevel="0" collapsed="false">
      <c r="A500" s="6"/>
      <c r="B500" s="6" t="s">
        <v>3255</v>
      </c>
      <c r="C500" s="6" t="s">
        <v>3257</v>
      </c>
      <c r="D500" s="6" t="s">
        <v>1603</v>
      </c>
      <c r="E500" s="6" t="s">
        <v>3258</v>
      </c>
      <c r="F500" s="6" t="s">
        <v>2208</v>
      </c>
      <c r="G500" s="6" t="s">
        <v>3259</v>
      </c>
      <c r="H500" s="6" t="s">
        <v>1607</v>
      </c>
      <c r="I500" s="6"/>
    </row>
    <row r="501" customFormat="false" ht="23.85" hidden="false" customHeight="false" outlineLevel="0" collapsed="false">
      <c r="A501" s="6"/>
      <c r="B501" s="6" t="s">
        <v>3255</v>
      </c>
      <c r="C501" s="6" t="s">
        <v>2182</v>
      </c>
      <c r="D501" s="6" t="s">
        <v>1986</v>
      </c>
      <c r="E501" s="6" t="s">
        <v>3260</v>
      </c>
      <c r="F501" s="6" t="s">
        <v>2212</v>
      </c>
      <c r="G501" s="6" t="s">
        <v>2213</v>
      </c>
      <c r="H501" s="6" t="s">
        <v>1607</v>
      </c>
      <c r="I501" s="6"/>
    </row>
    <row r="502" customFormat="false" ht="35.05" hidden="false" customHeight="false" outlineLevel="0" collapsed="false">
      <c r="A502" s="6"/>
      <c r="B502" s="6" t="s">
        <v>3255</v>
      </c>
      <c r="C502" s="6" t="s">
        <v>3261</v>
      </c>
      <c r="D502" s="6" t="s">
        <v>1603</v>
      </c>
      <c r="E502" s="6" t="s">
        <v>3262</v>
      </c>
      <c r="F502" s="6" t="s">
        <v>2216</v>
      </c>
      <c r="G502" s="6" t="s">
        <v>3263</v>
      </c>
      <c r="H502" s="6" t="s">
        <v>1607</v>
      </c>
      <c r="I502" s="6"/>
    </row>
    <row r="503" customFormat="false" ht="23.85" hidden="false" customHeight="false" outlineLevel="0" collapsed="false">
      <c r="A503" s="6"/>
      <c r="B503" s="6" t="s">
        <v>3255</v>
      </c>
      <c r="C503" s="6" t="s">
        <v>3241</v>
      </c>
      <c r="D503" s="6" t="s">
        <v>1603</v>
      </c>
      <c r="E503" s="6" t="s">
        <v>3264</v>
      </c>
      <c r="F503" s="6" t="s">
        <v>2216</v>
      </c>
      <c r="G503" s="6" t="s">
        <v>3265</v>
      </c>
      <c r="H503" s="6" t="s">
        <v>1607</v>
      </c>
      <c r="I503" s="6"/>
    </row>
    <row r="504" customFormat="false" ht="23.85" hidden="false" customHeight="false" outlineLevel="0" collapsed="false">
      <c r="A504" s="6"/>
      <c r="B504" s="6" t="s">
        <v>3255</v>
      </c>
      <c r="C504" s="6" t="s">
        <v>3266</v>
      </c>
      <c r="D504" s="6" t="s">
        <v>1603</v>
      </c>
      <c r="E504" s="6" t="s">
        <v>3267</v>
      </c>
      <c r="F504" s="6" t="s">
        <v>3268</v>
      </c>
      <c r="G504" s="6" t="s">
        <v>3269</v>
      </c>
      <c r="H504" s="6" t="s">
        <v>1607</v>
      </c>
      <c r="I504" s="6"/>
    </row>
    <row r="505" customFormat="false" ht="23.85" hidden="false" customHeight="false" outlineLevel="0" collapsed="false">
      <c r="A505" s="6"/>
      <c r="B505" s="6" t="s">
        <v>3270</v>
      </c>
      <c r="C505" s="6" t="s">
        <v>3271</v>
      </c>
      <c r="D505" s="6" t="s">
        <v>1603</v>
      </c>
      <c r="E505" s="6" t="s">
        <v>2241</v>
      </c>
      <c r="F505" s="6" t="s">
        <v>2242</v>
      </c>
      <c r="G505" s="6" t="s">
        <v>2243</v>
      </c>
      <c r="H505" s="6" t="s">
        <v>1607</v>
      </c>
      <c r="I505" s="6"/>
    </row>
    <row r="506" customFormat="false" ht="23.85" hidden="false" customHeight="false" outlineLevel="0" collapsed="false">
      <c r="A506" s="6"/>
      <c r="B506" s="6" t="s">
        <v>3270</v>
      </c>
      <c r="C506" s="6" t="s">
        <v>3272</v>
      </c>
      <c r="D506" s="6" t="s">
        <v>1603</v>
      </c>
      <c r="E506" s="6" t="s">
        <v>3273</v>
      </c>
      <c r="F506" s="6" t="s">
        <v>2247</v>
      </c>
      <c r="G506" s="6" t="s">
        <v>3274</v>
      </c>
      <c r="H506" s="6" t="s">
        <v>1607</v>
      </c>
      <c r="I506" s="6"/>
    </row>
    <row r="507" customFormat="false" ht="23.85" hidden="false" customHeight="false" outlineLevel="0" collapsed="false">
      <c r="A507" s="6"/>
      <c r="B507" s="6" t="s">
        <v>3270</v>
      </c>
      <c r="C507" s="6" t="s">
        <v>3275</v>
      </c>
      <c r="D507" s="6" t="s">
        <v>1603</v>
      </c>
      <c r="E507" s="6" t="s">
        <v>3276</v>
      </c>
      <c r="F507" s="6" t="s">
        <v>2276</v>
      </c>
      <c r="G507" s="6" t="s">
        <v>3277</v>
      </c>
      <c r="H507" s="6" t="s">
        <v>1607</v>
      </c>
      <c r="I507" s="6"/>
    </row>
    <row r="508" customFormat="false" ht="23.85" hidden="false" customHeight="false" outlineLevel="0" collapsed="false">
      <c r="A508" s="6"/>
      <c r="B508" s="6" t="s">
        <v>3270</v>
      </c>
      <c r="C508" s="6" t="s">
        <v>3278</v>
      </c>
      <c r="D508" s="6" t="s">
        <v>1603</v>
      </c>
      <c r="E508" s="6" t="s">
        <v>3279</v>
      </c>
      <c r="F508" s="6" t="s">
        <v>2265</v>
      </c>
      <c r="G508" s="6" t="s">
        <v>3280</v>
      </c>
      <c r="H508" s="6" t="s">
        <v>1607</v>
      </c>
      <c r="I508" s="6"/>
    </row>
    <row r="509" customFormat="false" ht="23.85" hidden="false" customHeight="false" outlineLevel="0" collapsed="false">
      <c r="A509" s="6"/>
      <c r="B509" s="6" t="s">
        <v>3281</v>
      </c>
      <c r="C509" s="6" t="s">
        <v>3282</v>
      </c>
      <c r="D509" s="6" t="s">
        <v>1603</v>
      </c>
      <c r="E509" s="6" t="s">
        <v>2264</v>
      </c>
      <c r="F509" s="6" t="s">
        <v>2265</v>
      </c>
      <c r="G509" s="6" t="s">
        <v>2266</v>
      </c>
      <c r="H509" s="6" t="s">
        <v>1607</v>
      </c>
      <c r="I509" s="6"/>
    </row>
    <row r="510" customFormat="false" ht="23.85" hidden="false" customHeight="false" outlineLevel="0" collapsed="false">
      <c r="A510" s="6"/>
      <c r="B510" s="6" t="s">
        <v>3281</v>
      </c>
      <c r="C510" s="6" t="s">
        <v>3283</v>
      </c>
      <c r="D510" s="6" t="s">
        <v>1603</v>
      </c>
      <c r="E510" s="6" t="s">
        <v>3284</v>
      </c>
      <c r="F510" s="6" t="s">
        <v>2276</v>
      </c>
      <c r="G510" s="6" t="s">
        <v>3285</v>
      </c>
      <c r="H510" s="6" t="s">
        <v>1607</v>
      </c>
      <c r="I510" s="6"/>
    </row>
    <row r="511" customFormat="false" ht="23.85" hidden="false" customHeight="false" outlineLevel="0" collapsed="false">
      <c r="A511" s="6"/>
      <c r="B511" s="6" t="s">
        <v>3281</v>
      </c>
      <c r="C511" s="6" t="s">
        <v>3286</v>
      </c>
      <c r="D511" s="6" t="s">
        <v>1986</v>
      </c>
      <c r="E511" s="6" t="s">
        <v>3287</v>
      </c>
      <c r="F511" s="6" t="s">
        <v>3288</v>
      </c>
      <c r="G511" s="6" t="s">
        <v>3289</v>
      </c>
      <c r="H511" s="6" t="s">
        <v>1607</v>
      </c>
      <c r="I511" s="6"/>
    </row>
    <row r="512" customFormat="false" ht="23.85" hidden="false" customHeight="false" outlineLevel="0" collapsed="false">
      <c r="A512" s="6"/>
      <c r="B512" s="6" t="s">
        <v>3281</v>
      </c>
      <c r="C512" s="6" t="s">
        <v>3290</v>
      </c>
      <c r="D512" s="6" t="s">
        <v>1603</v>
      </c>
      <c r="E512" s="6" t="s">
        <v>3291</v>
      </c>
      <c r="F512" s="6" t="s">
        <v>3292</v>
      </c>
      <c r="G512" s="6" t="s">
        <v>3293</v>
      </c>
      <c r="H512" s="6" t="s">
        <v>1607</v>
      </c>
      <c r="I512" s="6"/>
    </row>
    <row r="513" customFormat="false" ht="35.05" hidden="false" customHeight="false" outlineLevel="0" collapsed="false">
      <c r="A513" s="6"/>
      <c r="B513" s="6" t="s">
        <v>3294</v>
      </c>
      <c r="C513" s="6" t="s">
        <v>2370</v>
      </c>
      <c r="D513" s="6" t="s">
        <v>1603</v>
      </c>
      <c r="E513" s="6" t="s">
        <v>3295</v>
      </c>
      <c r="F513" s="6" t="s">
        <v>2276</v>
      </c>
      <c r="G513" s="6" t="s">
        <v>3296</v>
      </c>
      <c r="H513" s="6" t="s">
        <v>1607</v>
      </c>
      <c r="I513" s="6"/>
    </row>
    <row r="514" customFormat="false" ht="23.85" hidden="false" customHeight="false" outlineLevel="0" collapsed="false">
      <c r="A514" s="6"/>
      <c r="B514" s="6" t="s">
        <v>3294</v>
      </c>
      <c r="C514" s="6" t="s">
        <v>3286</v>
      </c>
      <c r="D514" s="6" t="s">
        <v>1986</v>
      </c>
      <c r="E514" s="6" t="s">
        <v>3287</v>
      </c>
      <c r="F514" s="6" t="s">
        <v>3288</v>
      </c>
      <c r="G514" s="6" t="s">
        <v>3289</v>
      </c>
      <c r="H514" s="6" t="s">
        <v>1607</v>
      </c>
      <c r="I514" s="6"/>
    </row>
    <row r="515" customFormat="false" ht="23.85" hidden="false" customHeight="false" outlineLevel="0" collapsed="false">
      <c r="A515" s="6"/>
      <c r="B515" s="6" t="s">
        <v>3294</v>
      </c>
      <c r="C515" s="6" t="s">
        <v>3283</v>
      </c>
      <c r="D515" s="6" t="s">
        <v>1603</v>
      </c>
      <c r="E515" s="6" t="s">
        <v>3284</v>
      </c>
      <c r="F515" s="6" t="s">
        <v>2276</v>
      </c>
      <c r="G515" s="6" t="s">
        <v>3285</v>
      </c>
      <c r="H515" s="6" t="s">
        <v>1607</v>
      </c>
      <c r="I515" s="6"/>
    </row>
    <row r="516" customFormat="false" ht="23.85" hidden="false" customHeight="false" outlineLevel="0" collapsed="false">
      <c r="A516" s="6"/>
      <c r="B516" s="6" t="s">
        <v>3294</v>
      </c>
      <c r="C516" s="6" t="s">
        <v>3297</v>
      </c>
      <c r="D516" s="6" t="s">
        <v>1603</v>
      </c>
      <c r="E516" s="6" t="s">
        <v>3273</v>
      </c>
      <c r="F516" s="6" t="s">
        <v>2247</v>
      </c>
      <c r="G516" s="6" t="s">
        <v>3274</v>
      </c>
      <c r="H516" s="6" t="s">
        <v>1607</v>
      </c>
      <c r="I516" s="6"/>
    </row>
  </sheetData>
  <autoFilter ref="A1:L4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3298</v>
      </c>
    </row>
    <row r="2" customFormat="false" ht="15" hidden="false" customHeight="false" outlineLevel="0" collapsed="false">
      <c r="A2" s="16" t="s">
        <v>3299</v>
      </c>
    </row>
    <row r="4" customFormat="false" ht="15" hidden="false" customHeight="false" outlineLevel="0" collapsed="false">
      <c r="A4" s="13" t="s">
        <v>3300</v>
      </c>
      <c r="B4" s="13" t="s">
        <v>3301</v>
      </c>
      <c r="C4" s="13" t="s">
        <v>3302</v>
      </c>
      <c r="D4" s="13" t="s">
        <v>3303</v>
      </c>
      <c r="E4" s="13" t="s">
        <v>3304</v>
      </c>
    </row>
    <row r="5" customFormat="false" ht="124.6" hidden="false" customHeight="false" outlineLevel="0" collapsed="false">
      <c r="A5" s="6" t="s">
        <v>639</v>
      </c>
      <c r="B5" s="7" t="n">
        <v>29163</v>
      </c>
      <c r="C5" s="7" t="n">
        <v>29606</v>
      </c>
      <c r="D5" s="6" t="s">
        <v>3305</v>
      </c>
      <c r="E5" s="6" t="n">
        <v>8</v>
      </c>
    </row>
    <row r="6" customFormat="false" ht="91" hidden="false" customHeight="false" outlineLevel="0" collapsed="false">
      <c r="A6" s="6" t="s">
        <v>670</v>
      </c>
      <c r="B6" s="7" t="n">
        <v>29607</v>
      </c>
      <c r="C6" s="7" t="n">
        <v>31979</v>
      </c>
      <c r="D6" s="6" t="s">
        <v>3306</v>
      </c>
      <c r="E6" s="6" t="n">
        <v>6</v>
      </c>
    </row>
    <row r="7" customFormat="false" ht="135.8" hidden="false" customHeight="false" outlineLevel="0" collapsed="false">
      <c r="A7" s="6" t="s">
        <v>693</v>
      </c>
      <c r="B7" s="7" t="n">
        <v>31980</v>
      </c>
      <c r="C7" s="7" t="n">
        <v>32375</v>
      </c>
      <c r="D7" s="6" t="s">
        <v>3307</v>
      </c>
      <c r="E7" s="6" t="n">
        <v>12</v>
      </c>
    </row>
    <row r="8" customFormat="false" ht="46.25" hidden="false" customHeight="false" outlineLevel="0" collapsed="false">
      <c r="A8" s="6" t="s">
        <v>3308</v>
      </c>
      <c r="B8" s="7" t="n">
        <v>32376</v>
      </c>
      <c r="C8" s="7" t="n">
        <v>34772</v>
      </c>
      <c r="D8" s="6" t="s">
        <v>3309</v>
      </c>
      <c r="E8" s="6" t="n">
        <v>0</v>
      </c>
    </row>
    <row r="9" customFormat="false" ht="102.2" hidden="false" customHeight="false" outlineLevel="0" collapsed="false">
      <c r="A9" s="6" t="s">
        <v>754</v>
      </c>
      <c r="B9" s="7" t="n">
        <v>34773</v>
      </c>
      <c r="C9" s="7" t="n">
        <v>37256</v>
      </c>
      <c r="D9" s="6" t="s">
        <v>3310</v>
      </c>
      <c r="E9" s="6" t="n">
        <v>6</v>
      </c>
    </row>
    <row r="10" customFormat="false" ht="124.6" hidden="false" customHeight="false" outlineLevel="0" collapsed="false">
      <c r="A10" s="6" t="s">
        <v>777</v>
      </c>
      <c r="B10" s="7" t="n">
        <v>37257</v>
      </c>
      <c r="C10" s="7" t="n">
        <v>40178</v>
      </c>
      <c r="D10" s="6" t="s">
        <v>3311</v>
      </c>
      <c r="E10" s="6" t="n">
        <v>16</v>
      </c>
    </row>
    <row r="11" customFormat="false" ht="102.2" hidden="false" customHeight="false" outlineLevel="0" collapsed="false">
      <c r="A11" s="6" t="s">
        <v>829</v>
      </c>
      <c r="B11" s="7" t="n">
        <v>40179</v>
      </c>
      <c r="C11" s="7" t="n">
        <v>41543</v>
      </c>
      <c r="D11" s="6" t="s">
        <v>3312</v>
      </c>
      <c r="E11" s="6" t="n">
        <v>7</v>
      </c>
    </row>
    <row r="12" customFormat="false" ht="91" hidden="false" customHeight="false" outlineLevel="0" collapsed="false">
      <c r="A12" s="6" t="s">
        <v>857</v>
      </c>
      <c r="B12" s="7" t="n">
        <v>41544</v>
      </c>
      <c r="C12" s="7" t="n">
        <v>43227</v>
      </c>
      <c r="D12" s="6" t="s">
        <v>3313</v>
      </c>
      <c r="E12" s="6" t="n">
        <v>14</v>
      </c>
    </row>
    <row r="13" customFormat="false" ht="124.6" hidden="false" customHeight="false" outlineLevel="0" collapsed="false">
      <c r="A13" s="6" t="s">
        <v>905</v>
      </c>
      <c r="B13" s="7" t="n">
        <v>43228</v>
      </c>
      <c r="C13" s="7" t="n">
        <v>43589</v>
      </c>
      <c r="D13" s="6" t="s">
        <v>3314</v>
      </c>
      <c r="E13" s="6" t="n">
        <v>8</v>
      </c>
    </row>
    <row r="14" customFormat="false" ht="124.6" hidden="false" customHeight="false" outlineLevel="0" collapsed="false">
      <c r="A14" s="6" t="s">
        <v>935</v>
      </c>
      <c r="B14" s="7" t="n">
        <v>43590</v>
      </c>
      <c r="C14" s="7" t="n">
        <v>43921</v>
      </c>
      <c r="D14" s="6" t="s">
        <v>3315</v>
      </c>
      <c r="E14" s="6" t="n">
        <v>21</v>
      </c>
    </row>
    <row r="15" customFormat="false" ht="113.4" hidden="false" customHeight="false" outlineLevel="0" collapsed="false">
      <c r="A15" s="6" t="s">
        <v>1020</v>
      </c>
      <c r="B15" s="7" t="n">
        <v>43922</v>
      </c>
      <c r="C15" s="7" t="n">
        <v>45820</v>
      </c>
      <c r="D15" s="6" t="s">
        <v>3316</v>
      </c>
      <c r="E15" s="6" t="n">
        <v>34</v>
      </c>
    </row>
    <row r="16" customFormat="false" ht="102.2" hidden="false" customHeight="false" outlineLevel="0" collapsed="false">
      <c r="A16" s="6" t="s">
        <v>1142</v>
      </c>
      <c r="B16" s="7" t="n">
        <v>45821</v>
      </c>
      <c r="C16" s="7" t="n">
        <v>45832</v>
      </c>
      <c r="D16" s="6" t="s">
        <v>3317</v>
      </c>
      <c r="E16" s="6" t="n">
        <v>5</v>
      </c>
    </row>
    <row r="17" customFormat="false" ht="79.85" hidden="false" customHeight="false" outlineLevel="0" collapsed="false">
      <c r="A17" s="6" t="s">
        <v>61</v>
      </c>
      <c r="B17" s="7" t="n">
        <v>45833</v>
      </c>
      <c r="C17" s="7" t="n">
        <v>46080</v>
      </c>
      <c r="D17" s="6" t="s">
        <v>3318</v>
      </c>
      <c r="E17" s="6" t="n">
        <v>6</v>
      </c>
    </row>
    <row r="18" customFormat="false" ht="35.05" hidden="false" customHeight="false" outlineLevel="0" collapsed="false">
      <c r="A18" s="6" t="s">
        <v>71</v>
      </c>
      <c r="B18" s="7" t="n">
        <v>46081</v>
      </c>
      <c r="C18" s="7" t="n">
        <v>46119</v>
      </c>
      <c r="D18" s="6" t="s">
        <v>3319</v>
      </c>
      <c r="E18" s="6" t="n">
        <v>27</v>
      </c>
    </row>
    <row r="19" customFormat="false" ht="68.65" hidden="false" customHeight="false" outlineLevel="0" collapsed="false">
      <c r="A19" s="6" t="s">
        <v>227</v>
      </c>
      <c r="B19" s="7" t="n">
        <v>46120</v>
      </c>
      <c r="C19" s="7" t="n">
        <v>46210</v>
      </c>
      <c r="D19" s="6" t="s">
        <v>3320</v>
      </c>
      <c r="E19" s="6" t="n">
        <v>30</v>
      </c>
    </row>
    <row r="20" customFormat="false" ht="68.65" hidden="false" customHeight="false" outlineLevel="0" collapsed="false">
      <c r="A20" s="6" t="s">
        <v>71</v>
      </c>
      <c r="B20" s="7" t="n">
        <v>46211</v>
      </c>
      <c r="C20" s="7" t="n">
        <v>46228</v>
      </c>
      <c r="D20" s="6" t="s">
        <v>3321</v>
      </c>
      <c r="E20" s="6" t="n">
        <v>8</v>
      </c>
    </row>
    <row r="21" customFormat="false" ht="79.85" hidden="false" customHeight="false" outlineLevel="0" collapsed="false">
      <c r="A21" s="6" t="s">
        <v>408</v>
      </c>
      <c r="B21" s="7" t="n">
        <v>46229</v>
      </c>
      <c r="C21" s="7" t="n">
        <v>46274</v>
      </c>
      <c r="D21" s="6" t="s">
        <v>3322</v>
      </c>
      <c r="E21" s="6" t="n">
        <v>12</v>
      </c>
    </row>
    <row r="22" customFormat="false" ht="91" hidden="false" customHeight="false" outlineLevel="0" collapsed="false">
      <c r="A22" s="6" t="s">
        <v>462</v>
      </c>
      <c r="B22" s="7" t="n">
        <v>46275</v>
      </c>
      <c r="C22" s="7" t="n">
        <v>46321</v>
      </c>
      <c r="D22" s="6" t="s">
        <v>3323</v>
      </c>
      <c r="E22" s="6" t="n">
        <v>47</v>
      </c>
    </row>
    <row r="24" customFormat="false" ht="15" hidden="false" customHeight="false" outlineLevel="0" collapsed="false">
      <c r="A24" s="14" t="s">
        <v>3324</v>
      </c>
    </row>
    <row r="25" customFormat="false" ht="15" hidden="false" customHeight="false" outlineLevel="0" collapsed="false">
      <c r="A25" s="13" t="s">
        <v>3300</v>
      </c>
      <c r="B25" s="13" t="s">
        <v>1260</v>
      </c>
      <c r="C25" s="13" t="s">
        <v>3325</v>
      </c>
      <c r="D25" s="13" t="s">
        <v>3326</v>
      </c>
    </row>
    <row r="26" customFormat="false" ht="15" hidden="false" customHeight="false" outlineLevel="0" collapsed="false">
      <c r="A26" s="21" t="s">
        <v>71</v>
      </c>
      <c r="B26" s="21" t="n">
        <v>2</v>
      </c>
      <c r="C26" s="21" t="n">
        <v>2</v>
      </c>
      <c r="D26" s="23" t="n">
        <f aca="false">IF(C26&gt;0,B26/C26,"-")</f>
        <v>1</v>
      </c>
    </row>
    <row r="27" customFormat="false" ht="15" hidden="false" customHeight="false" outlineLevel="0" collapsed="false">
      <c r="A27" s="21" t="s">
        <v>227</v>
      </c>
      <c r="B27" s="21" t="n">
        <v>15</v>
      </c>
      <c r="C27" s="21" t="n">
        <v>17</v>
      </c>
      <c r="D27" s="23" t="n">
        <f aca="false">IF(C27&gt;0,B27/C27,"-")</f>
        <v>0.882352941176471</v>
      </c>
    </row>
    <row r="28" customFormat="false" ht="15" hidden="false" customHeight="false" outlineLevel="0" collapsed="false">
      <c r="A28" s="21" t="s">
        <v>408</v>
      </c>
      <c r="B28" s="21" t="n">
        <v>6</v>
      </c>
      <c r="C28" s="21" t="n">
        <v>7</v>
      </c>
      <c r="D28" s="23" t="n">
        <f aca="false">IF(C28&gt;0,B28/C28,"-")</f>
        <v>0.857142857142857</v>
      </c>
    </row>
    <row r="29" customFormat="false" ht="15" hidden="false" customHeight="false" outlineLevel="0" collapsed="false">
      <c r="A29" s="21" t="s">
        <v>462</v>
      </c>
      <c r="B29" s="21" t="n">
        <v>0</v>
      </c>
      <c r="C29" s="21" t="n">
        <v>2</v>
      </c>
      <c r="D29" s="23" t="n">
        <f aca="false">IF(C29&gt;0,B29/C29,"-")</f>
        <v>0</v>
      </c>
    </row>
    <row r="30" customFormat="false" ht="15" hidden="false" customHeight="false" outlineLevel="0" collapsed="false">
      <c r="A30" s="16" t="s">
        <v>3327</v>
      </c>
    </row>
    <row r="33" customFormat="false" ht="15" hidden="false" customHeight="false" outlineLevel="0" collapsed="false">
      <c r="A33" s="27" t="s">
        <v>3328</v>
      </c>
    </row>
    <row r="34" customFormat="false" ht="15" hidden="false" customHeight="false" outlineLevel="0" collapsed="false">
      <c r="A34" s="16" t="s">
        <v>3329</v>
      </c>
    </row>
    <row r="36" customFormat="false" ht="15" hidden="false" customHeight="false" outlineLevel="0" collapsed="false">
      <c r="A36" s="13" t="s">
        <v>3330</v>
      </c>
      <c r="B36" s="13" t="s">
        <v>3331</v>
      </c>
      <c r="C36" s="13" t="s">
        <v>3332</v>
      </c>
      <c r="D36" s="13" t="s">
        <v>3333</v>
      </c>
      <c r="E36" s="13" t="s">
        <v>3334</v>
      </c>
      <c r="F36" s="13" t="s">
        <v>3335</v>
      </c>
      <c r="G36" s="13" t="s">
        <v>3336</v>
      </c>
      <c r="H36" s="13" t="s">
        <v>3337</v>
      </c>
      <c r="I36" s="13" t="s">
        <v>3300</v>
      </c>
      <c r="J36" s="13" t="s">
        <v>3338</v>
      </c>
    </row>
    <row r="37" customFormat="false" ht="23.85" hidden="false" customHeight="false" outlineLevel="0" collapsed="false">
      <c r="A37" s="6" t="s">
        <v>640</v>
      </c>
      <c r="B37" s="6" t="s">
        <v>3339</v>
      </c>
      <c r="C37" s="7" t="n">
        <v>29163</v>
      </c>
      <c r="D37" s="7" t="n">
        <v>29335</v>
      </c>
      <c r="E37" s="6" t="n">
        <v>172</v>
      </c>
      <c r="F37" s="6" t="n">
        <v>5</v>
      </c>
      <c r="G37" s="6" t="n">
        <v>1</v>
      </c>
      <c r="H37" s="6" t="n">
        <v>2</v>
      </c>
      <c r="I37" s="6" t="s">
        <v>639</v>
      </c>
      <c r="J37" s="6" t="s">
        <v>3340</v>
      </c>
    </row>
    <row r="38" customFormat="false" ht="23.85" hidden="false" customHeight="false" outlineLevel="0" collapsed="false">
      <c r="A38" s="6" t="s">
        <v>657</v>
      </c>
      <c r="B38" s="6" t="s">
        <v>3341</v>
      </c>
      <c r="C38" s="7" t="n">
        <v>29527</v>
      </c>
      <c r="D38" s="7" t="n">
        <v>29606</v>
      </c>
      <c r="E38" s="6" t="n">
        <v>79</v>
      </c>
      <c r="F38" s="6" t="n">
        <v>3</v>
      </c>
      <c r="G38" s="6" t="n">
        <v>2</v>
      </c>
      <c r="H38" s="6" t="n">
        <v>0</v>
      </c>
      <c r="I38" s="6" t="s">
        <v>639</v>
      </c>
      <c r="J38" s="6" t="s">
        <v>3342</v>
      </c>
    </row>
    <row r="39" customFormat="false" ht="23.85" hidden="false" customHeight="false" outlineLevel="0" collapsed="false">
      <c r="A39" s="6" t="s">
        <v>694</v>
      </c>
      <c r="B39" s="6" t="s">
        <v>3343</v>
      </c>
      <c r="C39" s="7" t="n">
        <v>31980</v>
      </c>
      <c r="D39" s="7" t="n">
        <v>31982</v>
      </c>
      <c r="E39" s="6" t="n">
        <v>2</v>
      </c>
      <c r="F39" s="6" t="n">
        <v>2</v>
      </c>
      <c r="G39" s="6" t="n">
        <v>1</v>
      </c>
      <c r="H39" s="6" t="n">
        <v>1</v>
      </c>
      <c r="I39" s="6" t="s">
        <v>693</v>
      </c>
      <c r="J39" s="6" t="s">
        <v>3344</v>
      </c>
    </row>
    <row r="40" customFormat="false" ht="23.85" hidden="false" customHeight="false" outlineLevel="0" collapsed="false">
      <c r="A40" s="6" t="s">
        <v>721</v>
      </c>
      <c r="B40" s="6" t="s">
        <v>3345</v>
      </c>
      <c r="C40" s="7" t="n">
        <v>32066</v>
      </c>
      <c r="D40" s="7" t="n">
        <v>32072</v>
      </c>
      <c r="E40" s="6" t="n">
        <v>6</v>
      </c>
      <c r="F40" s="6" t="n">
        <v>3</v>
      </c>
      <c r="G40" s="6" t="n">
        <v>2</v>
      </c>
      <c r="H40" s="6" t="n">
        <v>3</v>
      </c>
      <c r="I40" s="6" t="s">
        <v>693</v>
      </c>
      <c r="J40" s="6" t="s">
        <v>3346</v>
      </c>
    </row>
    <row r="41" customFormat="false" ht="23.85" hidden="false" customHeight="false" outlineLevel="0" collapsed="false">
      <c r="A41" s="6" t="s">
        <v>736</v>
      </c>
      <c r="B41" s="6" t="s">
        <v>3347</v>
      </c>
      <c r="C41" s="7" t="n">
        <v>32247</v>
      </c>
      <c r="D41" s="7" t="n">
        <v>32251</v>
      </c>
      <c r="E41" s="6" t="n">
        <v>4</v>
      </c>
      <c r="F41" s="6" t="n">
        <v>3</v>
      </c>
      <c r="G41" s="6" t="n">
        <v>2</v>
      </c>
      <c r="H41" s="6" t="n">
        <v>3</v>
      </c>
      <c r="I41" s="6" t="s">
        <v>693</v>
      </c>
      <c r="J41" s="6" t="s">
        <v>3348</v>
      </c>
    </row>
    <row r="42" customFormat="false" ht="15" hidden="false" customHeight="false" outlineLevel="0" collapsed="false">
      <c r="A42" s="6" t="s">
        <v>839</v>
      </c>
      <c r="B42" s="6" t="s">
        <v>3349</v>
      </c>
      <c r="C42" s="7" t="n">
        <v>40827</v>
      </c>
      <c r="D42" s="7" t="n">
        <v>40827</v>
      </c>
      <c r="E42" s="6" t="n">
        <v>0</v>
      </c>
      <c r="F42" s="6" t="n">
        <v>2</v>
      </c>
      <c r="G42" s="6" t="n">
        <v>1</v>
      </c>
      <c r="H42" s="6" t="n">
        <v>0</v>
      </c>
      <c r="I42" s="6" t="s">
        <v>829</v>
      </c>
      <c r="J42" s="6" t="s">
        <v>3350</v>
      </c>
    </row>
    <row r="43" customFormat="false" ht="15" hidden="false" customHeight="false" outlineLevel="0" collapsed="false">
      <c r="A43" s="6" t="s">
        <v>861</v>
      </c>
      <c r="B43" s="6" t="s">
        <v>3351</v>
      </c>
      <c r="C43" s="7" t="n">
        <v>41601</v>
      </c>
      <c r="D43" s="7" t="n">
        <v>41659</v>
      </c>
      <c r="E43" s="6" t="n">
        <v>58</v>
      </c>
      <c r="F43" s="6" t="n">
        <v>2</v>
      </c>
      <c r="G43" s="6" t="n">
        <v>0</v>
      </c>
      <c r="H43" s="6" t="n">
        <v>0</v>
      </c>
      <c r="I43" s="6" t="s">
        <v>857</v>
      </c>
      <c r="J43" s="6" t="s">
        <v>3352</v>
      </c>
    </row>
    <row r="44" customFormat="false" ht="15" hidden="false" customHeight="false" outlineLevel="0" collapsed="false">
      <c r="A44" s="6" t="s">
        <v>872</v>
      </c>
      <c r="B44" s="6" t="s">
        <v>3353</v>
      </c>
      <c r="C44" s="7" t="n">
        <v>42122</v>
      </c>
      <c r="D44" s="7" t="n">
        <v>42122</v>
      </c>
      <c r="E44" s="6" t="n">
        <v>0</v>
      </c>
      <c r="F44" s="6" t="n">
        <v>2</v>
      </c>
      <c r="G44" s="6" t="n">
        <v>1</v>
      </c>
      <c r="H44" s="6" t="n">
        <v>1</v>
      </c>
      <c r="I44" s="6" t="s">
        <v>857</v>
      </c>
      <c r="J44" s="6" t="s">
        <v>3354</v>
      </c>
    </row>
    <row r="45" customFormat="false" ht="23.85" hidden="false" customHeight="false" outlineLevel="0" collapsed="false">
      <c r="A45" s="6" t="s">
        <v>906</v>
      </c>
      <c r="B45" s="6" t="s">
        <v>3355</v>
      </c>
      <c r="C45" s="7" t="n">
        <v>43228</v>
      </c>
      <c r="D45" s="7" t="n">
        <v>43409</v>
      </c>
      <c r="E45" s="6" t="n">
        <v>181</v>
      </c>
      <c r="F45" s="6" t="n">
        <v>4</v>
      </c>
      <c r="G45" s="6" t="n">
        <v>0</v>
      </c>
      <c r="H45" s="6" t="n">
        <v>0</v>
      </c>
      <c r="I45" s="6" t="s">
        <v>905</v>
      </c>
      <c r="J45" s="6" t="s">
        <v>3356</v>
      </c>
    </row>
    <row r="46" customFormat="false" ht="23.85" hidden="false" customHeight="false" outlineLevel="0" collapsed="false">
      <c r="A46" s="6" t="s">
        <v>917</v>
      </c>
      <c r="B46" s="6" t="s">
        <v>3357</v>
      </c>
      <c r="C46" s="7" t="n">
        <v>43371</v>
      </c>
      <c r="D46" s="7" t="n">
        <v>43376</v>
      </c>
      <c r="E46" s="6" t="n">
        <v>5</v>
      </c>
      <c r="F46" s="6" t="n">
        <v>2</v>
      </c>
      <c r="G46" s="6" t="n">
        <v>0</v>
      </c>
      <c r="H46" s="6" t="n">
        <v>0</v>
      </c>
      <c r="I46" s="6" t="s">
        <v>905</v>
      </c>
      <c r="J46" s="6" t="s">
        <v>3358</v>
      </c>
    </row>
    <row r="47" customFormat="false" ht="23.85" hidden="false" customHeight="false" outlineLevel="0" collapsed="false">
      <c r="A47" s="6" t="s">
        <v>947</v>
      </c>
      <c r="B47" s="6" t="s">
        <v>3359</v>
      </c>
      <c r="C47" s="7" t="n">
        <v>43629</v>
      </c>
      <c r="D47" s="7" t="n">
        <v>43633</v>
      </c>
      <c r="E47" s="6" t="n">
        <v>4</v>
      </c>
      <c r="F47" s="6" t="n">
        <v>2</v>
      </c>
      <c r="G47" s="6" t="n">
        <v>1</v>
      </c>
      <c r="H47" s="6" t="n">
        <v>1</v>
      </c>
      <c r="I47" s="6" t="s">
        <v>935</v>
      </c>
      <c r="J47" s="6" t="s">
        <v>3360</v>
      </c>
    </row>
    <row r="48" customFormat="false" ht="23.85" hidden="false" customHeight="false" outlineLevel="0" collapsed="false">
      <c r="A48" s="6" t="s">
        <v>955</v>
      </c>
      <c r="B48" s="6" t="s">
        <v>3361</v>
      </c>
      <c r="C48" s="7" t="n">
        <v>43636</v>
      </c>
      <c r="D48" s="7" t="n">
        <v>43640</v>
      </c>
      <c r="E48" s="6" t="n">
        <v>4</v>
      </c>
      <c r="F48" s="6" t="n">
        <v>2</v>
      </c>
      <c r="G48" s="6" t="n">
        <v>1</v>
      </c>
      <c r="H48" s="6" t="n">
        <v>1</v>
      </c>
      <c r="I48" s="6" t="s">
        <v>935</v>
      </c>
      <c r="J48" s="6" t="s">
        <v>3362</v>
      </c>
    </row>
    <row r="49" customFormat="false" ht="23.85" hidden="false" customHeight="false" outlineLevel="0" collapsed="false">
      <c r="A49" s="6" t="s">
        <v>971</v>
      </c>
      <c r="B49" s="6" t="s">
        <v>3363</v>
      </c>
      <c r="C49" s="7" t="n">
        <v>43722</v>
      </c>
      <c r="D49" s="7" t="n">
        <v>43728</v>
      </c>
      <c r="E49" s="6" t="n">
        <v>6</v>
      </c>
      <c r="F49" s="6" t="n">
        <v>3</v>
      </c>
      <c r="G49" s="6" t="n">
        <v>1</v>
      </c>
      <c r="H49" s="6" t="n">
        <v>1</v>
      </c>
      <c r="I49" s="6" t="s">
        <v>935</v>
      </c>
      <c r="J49" s="6" t="s">
        <v>3364</v>
      </c>
    </row>
    <row r="50" customFormat="false" ht="23.85" hidden="false" customHeight="false" outlineLevel="0" collapsed="false">
      <c r="A50" s="6" t="s">
        <v>983</v>
      </c>
      <c r="B50" s="6" t="s">
        <v>3365</v>
      </c>
      <c r="C50" s="7" t="n">
        <v>43826</v>
      </c>
      <c r="D50" s="7" t="n">
        <v>43840</v>
      </c>
      <c r="E50" s="6" t="n">
        <v>14</v>
      </c>
      <c r="F50" s="6" t="n">
        <v>6</v>
      </c>
      <c r="G50" s="6" t="n">
        <v>5</v>
      </c>
      <c r="H50" s="6" t="n">
        <v>5</v>
      </c>
      <c r="I50" s="6" t="s">
        <v>935</v>
      </c>
      <c r="J50" s="6" t="s">
        <v>3366</v>
      </c>
    </row>
    <row r="51" customFormat="false" ht="23.85" hidden="false" customHeight="false" outlineLevel="0" collapsed="false">
      <c r="A51" s="6" t="s">
        <v>1008</v>
      </c>
      <c r="B51" s="6" t="s">
        <v>3367</v>
      </c>
      <c r="C51" s="7" t="n">
        <v>43901</v>
      </c>
      <c r="D51" s="7" t="n">
        <v>43904</v>
      </c>
      <c r="E51" s="6" t="n">
        <v>3</v>
      </c>
      <c r="F51" s="6" t="n">
        <v>3</v>
      </c>
      <c r="G51" s="6" t="n">
        <v>2</v>
      </c>
      <c r="H51" s="6" t="n">
        <v>3</v>
      </c>
      <c r="I51" s="6" t="s">
        <v>935</v>
      </c>
      <c r="J51" s="6" t="s">
        <v>3368</v>
      </c>
    </row>
    <row r="52" customFormat="false" ht="15" hidden="false" customHeight="false" outlineLevel="0" collapsed="false">
      <c r="A52" s="6" t="s">
        <v>1028</v>
      </c>
      <c r="B52" s="6" t="s">
        <v>3369</v>
      </c>
      <c r="C52" s="7" t="n">
        <v>44374</v>
      </c>
      <c r="D52" s="7" t="n">
        <v>44375</v>
      </c>
      <c r="E52" s="6" t="n">
        <v>1</v>
      </c>
      <c r="F52" s="6" t="n">
        <v>2</v>
      </c>
      <c r="G52" s="6" t="n">
        <v>1</v>
      </c>
      <c r="H52" s="6" t="n">
        <v>2</v>
      </c>
      <c r="I52" s="6" t="s">
        <v>1020</v>
      </c>
      <c r="J52" s="6" t="s">
        <v>3370</v>
      </c>
    </row>
    <row r="53" customFormat="false" ht="15" hidden="false" customHeight="false" outlineLevel="0" collapsed="false">
      <c r="A53" s="6" t="s">
        <v>1038</v>
      </c>
      <c r="B53" s="6" t="s">
        <v>3371</v>
      </c>
      <c r="C53" s="7" t="n">
        <v>44797</v>
      </c>
      <c r="D53" s="7" t="n">
        <v>44797</v>
      </c>
      <c r="E53" s="6" t="n">
        <v>0</v>
      </c>
      <c r="F53" s="6" t="n">
        <v>2</v>
      </c>
      <c r="G53" s="6" t="n">
        <v>1</v>
      </c>
      <c r="H53" s="6" t="n">
        <v>2</v>
      </c>
      <c r="I53" s="6" t="s">
        <v>1020</v>
      </c>
      <c r="J53" s="6" t="s">
        <v>3372</v>
      </c>
    </row>
    <row r="54" customFormat="false" ht="15" hidden="false" customHeight="false" outlineLevel="0" collapsed="false">
      <c r="A54" s="6" t="s">
        <v>1050</v>
      </c>
      <c r="B54" s="6" t="s">
        <v>3373</v>
      </c>
      <c r="C54" s="7" t="n">
        <v>45008</v>
      </c>
      <c r="D54" s="7" t="n">
        <v>45009</v>
      </c>
      <c r="E54" s="6" t="n">
        <v>1</v>
      </c>
      <c r="F54" s="6" t="n">
        <v>3</v>
      </c>
      <c r="G54" s="6" t="n">
        <v>2</v>
      </c>
      <c r="H54" s="6" t="n">
        <v>3</v>
      </c>
      <c r="I54" s="6" t="s">
        <v>1020</v>
      </c>
      <c r="J54" s="6" t="s">
        <v>3374</v>
      </c>
    </row>
    <row r="55" customFormat="false" ht="23.85" hidden="false" customHeight="false" outlineLevel="0" collapsed="false">
      <c r="A55" s="6" t="s">
        <v>1082</v>
      </c>
      <c r="B55" s="6" t="s">
        <v>3375</v>
      </c>
      <c r="C55" s="7" t="n">
        <v>45285</v>
      </c>
      <c r="D55" s="7" t="n">
        <v>45286</v>
      </c>
      <c r="E55" s="6" t="n">
        <v>1</v>
      </c>
      <c r="F55" s="6" t="n">
        <v>2</v>
      </c>
      <c r="G55" s="6" t="n">
        <v>1</v>
      </c>
      <c r="H55" s="6" t="n">
        <v>2</v>
      </c>
      <c r="I55" s="6" t="s">
        <v>1020</v>
      </c>
      <c r="J55" s="6" t="s">
        <v>3376</v>
      </c>
    </row>
    <row r="56" customFormat="false" ht="23.85" hidden="false" customHeight="false" outlineLevel="0" collapsed="false">
      <c r="A56" s="6" t="s">
        <v>1095</v>
      </c>
      <c r="B56" s="6" t="s">
        <v>3377</v>
      </c>
      <c r="C56" s="7" t="n">
        <v>45319</v>
      </c>
      <c r="D56" s="7" t="n">
        <v>45326</v>
      </c>
      <c r="E56" s="6" t="n">
        <v>7</v>
      </c>
      <c r="F56" s="6" t="n">
        <v>4</v>
      </c>
      <c r="G56" s="6" t="n">
        <v>2</v>
      </c>
      <c r="H56" s="6" t="n">
        <v>3</v>
      </c>
      <c r="I56" s="6" t="s">
        <v>1020</v>
      </c>
      <c r="J56" s="6" t="s">
        <v>3378</v>
      </c>
    </row>
    <row r="57" customFormat="false" ht="23.85" hidden="false" customHeight="false" outlineLevel="0" collapsed="false">
      <c r="A57" s="6" t="s">
        <v>1118</v>
      </c>
      <c r="B57" s="6" t="s">
        <v>3379</v>
      </c>
      <c r="C57" s="7" t="n">
        <v>45395</v>
      </c>
      <c r="D57" s="7" t="n">
        <v>45400</v>
      </c>
      <c r="E57" s="6" t="n">
        <v>5</v>
      </c>
      <c r="F57" s="6" t="n">
        <v>2</v>
      </c>
      <c r="G57" s="6" t="n">
        <v>1</v>
      </c>
      <c r="H57" s="6" t="n">
        <v>1</v>
      </c>
      <c r="I57" s="6" t="s">
        <v>1020</v>
      </c>
      <c r="J57" s="6" t="s">
        <v>3380</v>
      </c>
    </row>
    <row r="58" customFormat="false" ht="15" hidden="false" customHeight="false" outlineLevel="0" collapsed="false">
      <c r="A58" s="6" t="s">
        <v>1124</v>
      </c>
      <c r="B58" s="6" t="s">
        <v>3381</v>
      </c>
      <c r="C58" s="7" t="n">
        <v>45566</v>
      </c>
      <c r="D58" s="7" t="n">
        <v>45578</v>
      </c>
      <c r="E58" s="6" t="n">
        <v>12</v>
      </c>
      <c r="F58" s="6" t="n">
        <v>2</v>
      </c>
      <c r="G58" s="6" t="n">
        <v>1</v>
      </c>
      <c r="H58" s="6" t="n">
        <v>1</v>
      </c>
      <c r="I58" s="6" t="s">
        <v>1020</v>
      </c>
      <c r="J58" s="6" t="s">
        <v>3382</v>
      </c>
    </row>
    <row r="59" customFormat="false" ht="23.85" hidden="false" customHeight="false" outlineLevel="0" collapsed="false">
      <c r="A59" s="6" t="s">
        <v>1143</v>
      </c>
      <c r="B59" s="6" t="s">
        <v>3383</v>
      </c>
      <c r="C59" s="7" t="n">
        <v>45821</v>
      </c>
      <c r="D59" s="7" t="n">
        <v>45832</v>
      </c>
      <c r="E59" s="6" t="n">
        <v>11</v>
      </c>
      <c r="F59" s="6" t="n">
        <v>5</v>
      </c>
      <c r="G59" s="6" t="n">
        <v>4</v>
      </c>
      <c r="H59" s="6" t="n">
        <v>4</v>
      </c>
      <c r="I59" s="6" t="s">
        <v>1142</v>
      </c>
      <c r="J59" s="6" t="s">
        <v>3384</v>
      </c>
    </row>
    <row r="60" customFormat="false" ht="15" hidden="false" customHeight="false" outlineLevel="0" collapsed="false">
      <c r="A60" s="6" t="s">
        <v>72</v>
      </c>
      <c r="B60" s="6" t="s">
        <v>3385</v>
      </c>
      <c r="C60" s="7" t="n">
        <v>46081</v>
      </c>
      <c r="D60" s="7" t="n">
        <v>46082</v>
      </c>
      <c r="E60" s="6" t="n">
        <v>1</v>
      </c>
      <c r="F60" s="6" t="n">
        <v>5</v>
      </c>
      <c r="G60" s="6" t="n">
        <v>1</v>
      </c>
      <c r="H60" s="6" t="n">
        <v>5</v>
      </c>
      <c r="I60" s="6" t="s">
        <v>71</v>
      </c>
      <c r="J60" s="6" t="s">
        <v>3386</v>
      </c>
    </row>
    <row r="61" customFormat="false" ht="23.85" hidden="false" customHeight="false" outlineLevel="0" collapsed="false">
      <c r="A61" s="6" t="s">
        <v>120</v>
      </c>
      <c r="B61" s="6" t="s">
        <v>3387</v>
      </c>
      <c r="C61" s="7" t="n">
        <v>46084</v>
      </c>
      <c r="D61" s="7" t="n">
        <v>46084</v>
      </c>
      <c r="E61" s="6" t="n">
        <v>0</v>
      </c>
      <c r="F61" s="6" t="n">
        <v>2</v>
      </c>
      <c r="G61" s="6" t="n">
        <v>1</v>
      </c>
      <c r="H61" s="6" t="n">
        <v>2</v>
      </c>
      <c r="I61" s="6" t="s">
        <v>71</v>
      </c>
      <c r="J61" s="6" t="s">
        <v>3388</v>
      </c>
    </row>
    <row r="62" customFormat="false" ht="15" hidden="false" customHeight="false" outlineLevel="0" collapsed="false">
      <c r="A62" s="6" t="s">
        <v>154</v>
      </c>
      <c r="B62" s="6" t="s">
        <v>3389</v>
      </c>
      <c r="C62" s="7" t="n">
        <v>46102</v>
      </c>
      <c r="D62" s="7" t="n">
        <v>46102</v>
      </c>
      <c r="E62" s="6" t="n">
        <v>0</v>
      </c>
      <c r="F62" s="6" t="n">
        <v>2</v>
      </c>
      <c r="G62" s="6" t="n">
        <v>1</v>
      </c>
      <c r="H62" s="6" t="n">
        <v>2</v>
      </c>
      <c r="I62" s="6" t="s">
        <v>71</v>
      </c>
      <c r="J62" s="6" t="s">
        <v>3390</v>
      </c>
    </row>
    <row r="63" customFormat="false" ht="15" hidden="false" customHeight="false" outlineLevel="0" collapsed="false">
      <c r="A63" s="6" t="s">
        <v>174</v>
      </c>
      <c r="B63" s="6" t="s">
        <v>3391</v>
      </c>
      <c r="C63" s="7" t="n">
        <v>46107</v>
      </c>
      <c r="D63" s="7" t="n">
        <v>46108</v>
      </c>
      <c r="E63" s="6" t="n">
        <v>1</v>
      </c>
      <c r="F63" s="6" t="n">
        <v>2</v>
      </c>
      <c r="G63" s="6" t="n">
        <v>1</v>
      </c>
      <c r="H63" s="6" t="n">
        <v>2</v>
      </c>
      <c r="I63" s="6" t="s">
        <v>71</v>
      </c>
      <c r="J63" s="6" t="s">
        <v>3392</v>
      </c>
    </row>
    <row r="64" customFormat="false" ht="23.85" hidden="false" customHeight="false" outlineLevel="0" collapsed="false">
      <c r="A64" s="6" t="s">
        <v>219</v>
      </c>
      <c r="B64" s="6" t="s">
        <v>3393</v>
      </c>
      <c r="C64" s="7" t="n">
        <v>46119</v>
      </c>
      <c r="D64" s="7" t="n">
        <v>46120</v>
      </c>
      <c r="E64" s="6" t="n">
        <v>1</v>
      </c>
      <c r="F64" s="6" t="n">
        <v>3</v>
      </c>
      <c r="G64" s="6" t="n">
        <v>1</v>
      </c>
      <c r="H64" s="6" t="n">
        <v>2</v>
      </c>
      <c r="I64" s="6" t="s">
        <v>71</v>
      </c>
      <c r="J64" s="6" t="s">
        <v>3394</v>
      </c>
    </row>
    <row r="65" customFormat="false" ht="23.85" hidden="false" customHeight="false" outlineLevel="0" collapsed="false">
      <c r="A65" s="6" t="s">
        <v>252</v>
      </c>
      <c r="B65" s="6" t="s">
        <v>3395</v>
      </c>
      <c r="C65" s="7" t="n">
        <v>46123</v>
      </c>
      <c r="D65" s="7" t="n">
        <v>46130</v>
      </c>
      <c r="E65" s="6" t="n">
        <v>7</v>
      </c>
      <c r="F65" s="6" t="n">
        <v>3</v>
      </c>
      <c r="G65" s="6" t="n">
        <v>1</v>
      </c>
      <c r="H65" s="6" t="n">
        <v>2</v>
      </c>
      <c r="I65" s="6" t="s">
        <v>227</v>
      </c>
      <c r="J65" s="6" t="s">
        <v>3396</v>
      </c>
    </row>
    <row r="66" customFormat="false" ht="15" hidden="false" customHeight="false" outlineLevel="0" collapsed="false">
      <c r="A66" s="6" t="s">
        <v>265</v>
      </c>
      <c r="B66" s="6" t="s">
        <v>3397</v>
      </c>
      <c r="C66" s="7" t="n">
        <v>46131</v>
      </c>
      <c r="D66" s="7" t="n">
        <v>46134</v>
      </c>
      <c r="E66" s="6" t="n">
        <v>3</v>
      </c>
      <c r="F66" s="6" t="n">
        <v>2</v>
      </c>
      <c r="G66" s="6" t="n">
        <v>1</v>
      </c>
      <c r="H66" s="6" t="n">
        <v>2</v>
      </c>
      <c r="I66" s="6" t="s">
        <v>227</v>
      </c>
      <c r="J66" s="6" t="s">
        <v>3398</v>
      </c>
    </row>
    <row r="67" customFormat="false" ht="23.85" hidden="false" customHeight="false" outlineLevel="0" collapsed="false">
      <c r="A67" s="6" t="s">
        <v>288</v>
      </c>
      <c r="B67" s="6" t="s">
        <v>3399</v>
      </c>
      <c r="C67" s="7" t="n">
        <v>46149</v>
      </c>
      <c r="D67" s="7" t="n">
        <v>46149</v>
      </c>
      <c r="E67" s="6" t="n">
        <v>0</v>
      </c>
      <c r="F67" s="6" t="n">
        <v>2</v>
      </c>
      <c r="G67" s="6" t="n">
        <v>1</v>
      </c>
      <c r="H67" s="6" t="n">
        <v>2</v>
      </c>
      <c r="I67" s="6" t="s">
        <v>227</v>
      </c>
      <c r="J67" s="6" t="s">
        <v>3400</v>
      </c>
    </row>
    <row r="68" customFormat="false" ht="23.85" hidden="false" customHeight="false" outlineLevel="0" collapsed="false">
      <c r="A68" s="6" t="s">
        <v>296</v>
      </c>
      <c r="B68" s="6" t="s">
        <v>3401</v>
      </c>
      <c r="C68" s="7" t="n">
        <v>46181</v>
      </c>
      <c r="D68" s="7" t="n">
        <v>46184</v>
      </c>
      <c r="E68" s="6" t="n">
        <v>3</v>
      </c>
      <c r="F68" s="6" t="n">
        <v>6</v>
      </c>
      <c r="G68" s="6" t="n">
        <v>3</v>
      </c>
      <c r="H68" s="6" t="n">
        <v>5</v>
      </c>
      <c r="I68" s="6" t="s">
        <v>227</v>
      </c>
      <c r="J68" s="6" t="s">
        <v>3402</v>
      </c>
    </row>
    <row r="69" customFormat="false" ht="15" hidden="false" customHeight="false" outlineLevel="0" collapsed="false">
      <c r="A69" s="6" t="s">
        <v>330</v>
      </c>
      <c r="B69" s="6" t="s">
        <v>3403</v>
      </c>
      <c r="C69" s="7" t="n">
        <v>46190</v>
      </c>
      <c r="D69" s="7" t="n">
        <v>46191</v>
      </c>
      <c r="E69" s="6" t="n">
        <v>1</v>
      </c>
      <c r="F69" s="6" t="n">
        <v>2</v>
      </c>
      <c r="G69" s="6" t="n">
        <v>0</v>
      </c>
      <c r="H69" s="6" t="n">
        <v>1</v>
      </c>
      <c r="I69" s="6" t="s">
        <v>227</v>
      </c>
      <c r="J69" s="6" t="s">
        <v>3404</v>
      </c>
    </row>
    <row r="70" customFormat="false" ht="15" hidden="false" customHeight="false" outlineLevel="0" collapsed="false">
      <c r="A70" s="6" t="s">
        <v>338</v>
      </c>
      <c r="B70" s="6" t="s">
        <v>3405</v>
      </c>
      <c r="C70" s="7" t="n">
        <v>46193</v>
      </c>
      <c r="D70" s="7" t="n">
        <v>46193</v>
      </c>
      <c r="E70" s="6" t="n">
        <v>0</v>
      </c>
      <c r="F70" s="6" t="n">
        <v>2</v>
      </c>
      <c r="G70" s="6" t="n">
        <v>1</v>
      </c>
      <c r="H70" s="6" t="n">
        <v>2</v>
      </c>
      <c r="I70" s="6" t="s">
        <v>227</v>
      </c>
      <c r="J70" s="6" t="s">
        <v>3406</v>
      </c>
    </row>
    <row r="71" customFormat="false" ht="23.85" hidden="false" customHeight="false" outlineLevel="0" collapsed="false">
      <c r="A71" s="6" t="s">
        <v>346</v>
      </c>
      <c r="B71" s="6" t="s">
        <v>3407</v>
      </c>
      <c r="C71" s="7" t="n">
        <v>46198</v>
      </c>
      <c r="D71" s="7" t="n">
        <v>46200</v>
      </c>
      <c r="E71" s="6" t="n">
        <v>2</v>
      </c>
      <c r="F71" s="6" t="n">
        <v>3</v>
      </c>
      <c r="G71" s="6" t="n">
        <v>2</v>
      </c>
      <c r="H71" s="6" t="n">
        <v>3</v>
      </c>
      <c r="I71" s="6" t="s">
        <v>227</v>
      </c>
      <c r="J71" s="6" t="s">
        <v>3408</v>
      </c>
    </row>
    <row r="72" customFormat="false" ht="23.85" hidden="false" customHeight="false" outlineLevel="0" collapsed="false">
      <c r="A72" s="6" t="s">
        <v>359</v>
      </c>
      <c r="B72" s="6" t="s">
        <v>3409</v>
      </c>
      <c r="C72" s="7" t="n">
        <v>46210</v>
      </c>
      <c r="D72" s="7" t="n">
        <v>46215</v>
      </c>
      <c r="E72" s="6" t="n">
        <v>5</v>
      </c>
      <c r="F72" s="6" t="n">
        <v>7</v>
      </c>
      <c r="G72" s="6" t="n">
        <v>2</v>
      </c>
      <c r="H72" s="6" t="n">
        <v>5</v>
      </c>
      <c r="I72" s="6" t="s">
        <v>227</v>
      </c>
      <c r="J72" s="6" t="s">
        <v>3410</v>
      </c>
    </row>
    <row r="73" customFormat="false" ht="15" hidden="false" customHeight="false" outlineLevel="0" collapsed="false">
      <c r="A73" s="6" t="s">
        <v>417</v>
      </c>
      <c r="B73" s="6" t="s">
        <v>3411</v>
      </c>
      <c r="C73" s="7" t="n">
        <v>46264</v>
      </c>
      <c r="D73" s="7" t="n">
        <v>46266</v>
      </c>
      <c r="E73" s="6" t="n">
        <v>2</v>
      </c>
      <c r="F73" s="6" t="n">
        <v>5</v>
      </c>
      <c r="G73" s="6" t="n">
        <v>3</v>
      </c>
      <c r="H73" s="6" t="n">
        <v>5</v>
      </c>
      <c r="I73" s="6" t="s">
        <v>408</v>
      </c>
      <c r="J73" s="6" t="s">
        <v>3412</v>
      </c>
    </row>
    <row r="74" customFormat="false" ht="23.85" hidden="false" customHeight="false" outlineLevel="0" collapsed="false">
      <c r="A74" s="6" t="s">
        <v>449</v>
      </c>
      <c r="B74" s="6" t="s">
        <v>3413</v>
      </c>
      <c r="C74" s="7" t="n">
        <v>46273</v>
      </c>
      <c r="D74" s="7" t="n">
        <v>46274</v>
      </c>
      <c r="E74" s="6" t="n">
        <v>1</v>
      </c>
      <c r="F74" s="6" t="n">
        <v>3</v>
      </c>
      <c r="G74" s="6" t="n">
        <v>2</v>
      </c>
      <c r="H74" s="6" t="n">
        <v>3</v>
      </c>
      <c r="I74" s="6" t="s">
        <v>408</v>
      </c>
      <c r="J74" s="6" t="s">
        <v>3414</v>
      </c>
    </row>
    <row r="75" customFormat="false" ht="23.85" hidden="false" customHeight="false" outlineLevel="0" collapsed="false">
      <c r="A75" s="6" t="s">
        <v>463</v>
      </c>
      <c r="B75" s="6" t="s">
        <v>3415</v>
      </c>
      <c r="C75" s="7" t="n">
        <v>46288</v>
      </c>
      <c r="D75" s="7" t="n">
        <v>46320</v>
      </c>
      <c r="E75" s="6" t="n">
        <v>32</v>
      </c>
      <c r="F75" s="6" t="n">
        <v>8</v>
      </c>
      <c r="G75" s="6" t="n">
        <v>2</v>
      </c>
      <c r="H75" s="6" t="n">
        <v>0</v>
      </c>
      <c r="I75" s="6" t="s">
        <v>462</v>
      </c>
      <c r="J75" s="6" t="s">
        <v>3416</v>
      </c>
    </row>
    <row r="76" customFormat="false" ht="15" hidden="false" customHeight="false" outlineLevel="0" collapsed="false">
      <c r="A76" s="6" t="s">
        <v>474</v>
      </c>
      <c r="B76" s="6" t="s">
        <v>3417</v>
      </c>
      <c r="C76" s="7" t="n">
        <v>46292</v>
      </c>
      <c r="D76" s="7" t="n">
        <v>46299</v>
      </c>
      <c r="E76" s="6" t="n">
        <v>7</v>
      </c>
      <c r="F76" s="6" t="n">
        <v>2</v>
      </c>
      <c r="G76" s="6" t="n">
        <v>1</v>
      </c>
      <c r="H76" s="6" t="n">
        <v>0</v>
      </c>
      <c r="I76" s="6" t="s">
        <v>462</v>
      </c>
      <c r="J76" s="6" t="s">
        <v>3418</v>
      </c>
    </row>
    <row r="77" customFormat="false" ht="23.85" hidden="false" customHeight="false" outlineLevel="0" collapsed="false">
      <c r="A77" s="6" t="s">
        <v>527</v>
      </c>
      <c r="B77" s="6" t="s">
        <v>3419</v>
      </c>
      <c r="C77" s="7" t="n">
        <v>46303</v>
      </c>
      <c r="D77" s="7" t="n">
        <v>46320</v>
      </c>
      <c r="E77" s="6" t="n">
        <v>17</v>
      </c>
      <c r="F77" s="6" t="n">
        <v>4</v>
      </c>
      <c r="G77" s="6" t="n">
        <v>0</v>
      </c>
      <c r="H77" s="6" t="n">
        <v>0</v>
      </c>
      <c r="I77" s="6" t="s">
        <v>462</v>
      </c>
      <c r="J77" s="6" t="s">
        <v>3420</v>
      </c>
    </row>
    <row r="78" customFormat="false" ht="23.85" hidden="false" customHeight="false" outlineLevel="0" collapsed="false">
      <c r="A78" s="6" t="s">
        <v>534</v>
      </c>
      <c r="B78" s="6" t="s">
        <v>3421</v>
      </c>
      <c r="C78" s="7" t="n">
        <v>46303</v>
      </c>
      <c r="D78" s="7" t="n">
        <v>46305</v>
      </c>
      <c r="E78" s="6" t="n">
        <v>2</v>
      </c>
      <c r="F78" s="6" t="n">
        <v>2</v>
      </c>
      <c r="G78" s="6" t="n">
        <v>0</v>
      </c>
      <c r="H78" s="6" t="n">
        <v>2</v>
      </c>
      <c r="I78" s="6" t="s">
        <v>462</v>
      </c>
      <c r="J78" s="6" t="s">
        <v>3422</v>
      </c>
    </row>
    <row r="81" customFormat="false" ht="15" hidden="false" customHeight="false" outlineLevel="0" collapsed="false">
      <c r="A81" s="27" t="s">
        <v>3423</v>
      </c>
    </row>
    <row r="82" customFormat="false" ht="15" hidden="false" customHeight="false" outlineLevel="0" collapsed="false">
      <c r="A82" s="16" t="s">
        <v>3424</v>
      </c>
    </row>
    <row r="84" customFormat="false" ht="15" hidden="false" customHeight="false" outlineLevel="0" collapsed="false">
      <c r="A84" s="13" t="s">
        <v>3425</v>
      </c>
      <c r="B84" s="13" t="s">
        <v>3426</v>
      </c>
      <c r="C84" s="13" t="s">
        <v>3427</v>
      </c>
      <c r="D84" s="13" t="s">
        <v>3428</v>
      </c>
      <c r="E84" s="13" t="s">
        <v>3429</v>
      </c>
      <c r="F84" s="13" t="s">
        <v>3430</v>
      </c>
      <c r="G84" s="13" t="s">
        <v>3431</v>
      </c>
    </row>
    <row r="85" customFormat="false" ht="15" hidden="false" customHeight="false" outlineLevel="0" collapsed="false">
      <c r="A85" s="28" t="n">
        <v>29157</v>
      </c>
      <c r="B85" s="28" t="n">
        <v>29163</v>
      </c>
      <c r="C85" s="21" t="n">
        <v>1</v>
      </c>
      <c r="D85" s="21" t="n">
        <v>0</v>
      </c>
      <c r="E85" s="21" t="n">
        <v>0</v>
      </c>
      <c r="F85" s="21" t="n">
        <v>2</v>
      </c>
      <c r="G85" s="29" t="s">
        <v>184</v>
      </c>
    </row>
    <row r="86" customFormat="false" ht="15" hidden="false" customHeight="false" outlineLevel="0" collapsed="false">
      <c r="A86" s="28" t="n">
        <v>29164</v>
      </c>
      <c r="B86" s="28" t="n">
        <v>29170</v>
      </c>
      <c r="C86" s="21" t="n">
        <v>0</v>
      </c>
      <c r="D86" s="21" t="n">
        <v>0</v>
      </c>
      <c r="E86" s="21" t="n">
        <v>0</v>
      </c>
      <c r="F86" s="21" t="n">
        <v>0</v>
      </c>
      <c r="G86" s="29" t="s">
        <v>184</v>
      </c>
    </row>
    <row r="87" customFormat="false" ht="15" hidden="false" customHeight="false" outlineLevel="0" collapsed="false">
      <c r="A87" s="28" t="n">
        <v>29171</v>
      </c>
      <c r="B87" s="28" t="n">
        <v>29177</v>
      </c>
      <c r="C87" s="21" t="n">
        <v>0</v>
      </c>
      <c r="D87" s="21" t="n">
        <v>0</v>
      </c>
      <c r="E87" s="21" t="n">
        <v>0</v>
      </c>
      <c r="F87" s="21" t="n">
        <v>0</v>
      </c>
      <c r="G87" s="30" t="s">
        <v>3432</v>
      </c>
    </row>
    <row r="88" customFormat="false" ht="15" hidden="false" customHeight="false" outlineLevel="0" collapsed="false">
      <c r="A88" s="28" t="n">
        <v>29178</v>
      </c>
      <c r="B88" s="28" t="n">
        <v>29184</v>
      </c>
      <c r="C88" s="21" t="n">
        <v>0</v>
      </c>
      <c r="D88" s="21" t="n">
        <v>0</v>
      </c>
      <c r="E88" s="21" t="n">
        <v>0</v>
      </c>
      <c r="F88" s="21" t="n">
        <v>0</v>
      </c>
      <c r="G88" s="30" t="s">
        <v>3432</v>
      </c>
    </row>
    <row r="89" customFormat="false" ht="15" hidden="false" customHeight="false" outlineLevel="0" collapsed="false">
      <c r="A89" s="28" t="n">
        <v>29185</v>
      </c>
      <c r="B89" s="28" t="n">
        <v>29191</v>
      </c>
      <c r="C89" s="21" t="n">
        <v>0</v>
      </c>
      <c r="D89" s="21" t="n">
        <v>0</v>
      </c>
      <c r="E89" s="21" t="n">
        <v>0</v>
      </c>
      <c r="F89" s="21" t="n">
        <v>0</v>
      </c>
      <c r="G89" s="30" t="s">
        <v>3432</v>
      </c>
    </row>
    <row r="90" customFormat="false" ht="15" hidden="false" customHeight="false" outlineLevel="0" collapsed="false">
      <c r="A90" s="28" t="n">
        <v>29192</v>
      </c>
      <c r="B90" s="28" t="n">
        <v>29198</v>
      </c>
      <c r="C90" s="21" t="n">
        <v>0</v>
      </c>
      <c r="D90" s="21" t="n">
        <v>0</v>
      </c>
      <c r="E90" s="21" t="n">
        <v>0</v>
      </c>
      <c r="F90" s="21" t="n">
        <v>0</v>
      </c>
      <c r="G90" s="30" t="s">
        <v>3432</v>
      </c>
    </row>
    <row r="91" customFormat="false" ht="15" hidden="false" customHeight="false" outlineLevel="0" collapsed="false">
      <c r="A91" s="28" t="n">
        <v>29199</v>
      </c>
      <c r="B91" s="28" t="n">
        <v>29205</v>
      </c>
      <c r="C91" s="21" t="n">
        <v>0</v>
      </c>
      <c r="D91" s="21" t="n">
        <v>0</v>
      </c>
      <c r="E91" s="21" t="n">
        <v>0</v>
      </c>
      <c r="F91" s="21" t="n">
        <v>0</v>
      </c>
      <c r="G91" s="30" t="s">
        <v>3432</v>
      </c>
    </row>
    <row r="92" customFormat="false" ht="15" hidden="false" customHeight="false" outlineLevel="0" collapsed="false">
      <c r="A92" s="28" t="n">
        <v>29206</v>
      </c>
      <c r="B92" s="28" t="n">
        <v>29212</v>
      </c>
      <c r="C92" s="21" t="n">
        <v>0</v>
      </c>
      <c r="D92" s="21" t="n">
        <v>0</v>
      </c>
      <c r="E92" s="21" t="n">
        <v>0</v>
      </c>
      <c r="F92" s="21" t="n">
        <v>0</v>
      </c>
      <c r="G92" s="30" t="s">
        <v>3432</v>
      </c>
    </row>
    <row r="93" customFormat="false" ht="15" hidden="false" customHeight="false" outlineLevel="0" collapsed="false">
      <c r="A93" s="28" t="n">
        <v>29213</v>
      </c>
      <c r="B93" s="28" t="n">
        <v>29219</v>
      </c>
      <c r="C93" s="21" t="n">
        <v>0</v>
      </c>
      <c r="D93" s="21" t="n">
        <v>0</v>
      </c>
      <c r="E93" s="21" t="n">
        <v>0</v>
      </c>
      <c r="F93" s="21" t="n">
        <v>0</v>
      </c>
      <c r="G93" s="30" t="s">
        <v>3432</v>
      </c>
    </row>
    <row r="94" customFormat="false" ht="15" hidden="false" customHeight="false" outlineLevel="0" collapsed="false">
      <c r="A94" s="28" t="n">
        <v>29220</v>
      </c>
      <c r="B94" s="28" t="n">
        <v>29226</v>
      </c>
      <c r="C94" s="21" t="n">
        <v>0</v>
      </c>
      <c r="D94" s="21" t="n">
        <v>0</v>
      </c>
      <c r="E94" s="21" t="n">
        <v>0</v>
      </c>
      <c r="F94" s="21" t="n">
        <v>0</v>
      </c>
      <c r="G94" s="30" t="s">
        <v>3432</v>
      </c>
    </row>
    <row r="95" customFormat="false" ht="15" hidden="false" customHeight="false" outlineLevel="0" collapsed="false">
      <c r="A95" s="28" t="n">
        <v>29227</v>
      </c>
      <c r="B95" s="28" t="n">
        <v>29233</v>
      </c>
      <c r="C95" s="21" t="n">
        <v>0</v>
      </c>
      <c r="D95" s="21" t="n">
        <v>0</v>
      </c>
      <c r="E95" s="21" t="n">
        <v>0</v>
      </c>
      <c r="F95" s="21" t="n">
        <v>0</v>
      </c>
      <c r="G95" s="30" t="s">
        <v>3432</v>
      </c>
    </row>
    <row r="96" customFormat="false" ht="15" hidden="false" customHeight="false" outlineLevel="0" collapsed="false">
      <c r="A96" s="28" t="n">
        <v>29234</v>
      </c>
      <c r="B96" s="28" t="n">
        <v>29240</v>
      </c>
      <c r="C96" s="21" t="n">
        <v>0</v>
      </c>
      <c r="D96" s="21" t="n">
        <v>0</v>
      </c>
      <c r="E96" s="21" t="n">
        <v>0</v>
      </c>
      <c r="F96" s="21" t="n">
        <v>0</v>
      </c>
      <c r="G96" s="30" t="s">
        <v>3432</v>
      </c>
    </row>
    <row r="97" customFormat="false" ht="15" hidden="false" customHeight="false" outlineLevel="0" collapsed="false">
      <c r="A97" s="28" t="n">
        <v>29241</v>
      </c>
      <c r="B97" s="28" t="n">
        <v>29247</v>
      </c>
      <c r="C97" s="21" t="n">
        <v>0</v>
      </c>
      <c r="D97" s="21" t="n">
        <v>0</v>
      </c>
      <c r="E97" s="21" t="n">
        <v>0</v>
      </c>
      <c r="F97" s="21" t="n">
        <v>0</v>
      </c>
      <c r="G97" s="30" t="s">
        <v>3432</v>
      </c>
    </row>
    <row r="98" customFormat="false" ht="15" hidden="false" customHeight="false" outlineLevel="0" collapsed="false">
      <c r="A98" s="28" t="n">
        <v>29248</v>
      </c>
      <c r="B98" s="28" t="n">
        <v>29254</v>
      </c>
      <c r="C98" s="21" t="n">
        <v>0</v>
      </c>
      <c r="D98" s="21" t="n">
        <v>0</v>
      </c>
      <c r="E98" s="21" t="n">
        <v>0</v>
      </c>
      <c r="F98" s="21" t="n">
        <v>0</v>
      </c>
      <c r="G98" s="30" t="s">
        <v>3432</v>
      </c>
    </row>
    <row r="99" customFormat="false" ht="15" hidden="false" customHeight="false" outlineLevel="0" collapsed="false">
      <c r="A99" s="28" t="n">
        <v>29255</v>
      </c>
      <c r="B99" s="28" t="n">
        <v>29261</v>
      </c>
      <c r="C99" s="21" t="n">
        <v>0</v>
      </c>
      <c r="D99" s="21" t="n">
        <v>0</v>
      </c>
      <c r="E99" s="21" t="n">
        <v>0</v>
      </c>
      <c r="F99" s="21" t="n">
        <v>0</v>
      </c>
      <c r="G99" s="30" t="s">
        <v>3432</v>
      </c>
    </row>
    <row r="100" customFormat="false" ht="15" hidden="false" customHeight="false" outlineLevel="0" collapsed="false">
      <c r="A100" s="28" t="n">
        <v>29262</v>
      </c>
      <c r="B100" s="28" t="n">
        <v>29268</v>
      </c>
      <c r="C100" s="21" t="n">
        <v>0</v>
      </c>
      <c r="D100" s="21" t="n">
        <v>0</v>
      </c>
      <c r="E100" s="21" t="n">
        <v>0</v>
      </c>
      <c r="F100" s="21" t="n">
        <v>0</v>
      </c>
      <c r="G100" s="30" t="s">
        <v>3432</v>
      </c>
    </row>
    <row r="101" customFormat="false" ht="15" hidden="false" customHeight="false" outlineLevel="0" collapsed="false">
      <c r="A101" s="28" t="n">
        <v>29269</v>
      </c>
      <c r="B101" s="28" t="n">
        <v>29275</v>
      </c>
      <c r="C101" s="21" t="n">
        <v>0</v>
      </c>
      <c r="D101" s="21" t="n">
        <v>0</v>
      </c>
      <c r="E101" s="21" t="n">
        <v>0</v>
      </c>
      <c r="F101" s="21" t="n">
        <v>0</v>
      </c>
      <c r="G101" s="30" t="s">
        <v>3432</v>
      </c>
    </row>
    <row r="102" customFormat="false" ht="15" hidden="false" customHeight="false" outlineLevel="0" collapsed="false">
      <c r="A102" s="28" t="n">
        <v>29276</v>
      </c>
      <c r="B102" s="28" t="n">
        <v>29282</v>
      </c>
      <c r="C102" s="21" t="n">
        <v>0</v>
      </c>
      <c r="D102" s="21" t="n">
        <v>0</v>
      </c>
      <c r="E102" s="21" t="n">
        <v>0</v>
      </c>
      <c r="F102" s="21" t="n">
        <v>0</v>
      </c>
      <c r="G102" s="30" t="s">
        <v>3432</v>
      </c>
    </row>
    <row r="103" customFormat="false" ht="15" hidden="false" customHeight="false" outlineLevel="0" collapsed="false">
      <c r="A103" s="28" t="n">
        <v>29283</v>
      </c>
      <c r="B103" s="28" t="n">
        <v>29289</v>
      </c>
      <c r="C103" s="21" t="n">
        <v>0</v>
      </c>
      <c r="D103" s="21" t="n">
        <v>0</v>
      </c>
      <c r="E103" s="21" t="n">
        <v>0</v>
      </c>
      <c r="F103" s="21" t="n">
        <v>0</v>
      </c>
      <c r="G103" s="30" t="s">
        <v>3432</v>
      </c>
    </row>
    <row r="104" customFormat="false" ht="15" hidden="false" customHeight="false" outlineLevel="0" collapsed="false">
      <c r="A104" s="28" t="n">
        <v>29290</v>
      </c>
      <c r="B104" s="28" t="n">
        <v>29296</v>
      </c>
      <c r="C104" s="21" t="n">
        <v>0</v>
      </c>
      <c r="D104" s="21" t="n">
        <v>0</v>
      </c>
      <c r="E104" s="21" t="n">
        <v>0</v>
      </c>
      <c r="F104" s="21" t="n">
        <v>0</v>
      </c>
      <c r="G104" s="30" t="s">
        <v>3432</v>
      </c>
    </row>
    <row r="105" customFormat="false" ht="15" hidden="false" customHeight="false" outlineLevel="0" collapsed="false">
      <c r="A105" s="28" t="n">
        <v>29297</v>
      </c>
      <c r="B105" s="28" t="n">
        <v>29303</v>
      </c>
      <c r="C105" s="21" t="n">
        <v>0</v>
      </c>
      <c r="D105" s="21" t="n">
        <v>0</v>
      </c>
      <c r="E105" s="21" t="n">
        <v>0</v>
      </c>
      <c r="F105" s="21" t="n">
        <v>0</v>
      </c>
      <c r="G105" s="30" t="s">
        <v>3432</v>
      </c>
    </row>
    <row r="106" customFormat="false" ht="15" hidden="false" customHeight="false" outlineLevel="0" collapsed="false">
      <c r="A106" s="28" t="n">
        <v>29304</v>
      </c>
      <c r="B106" s="28" t="n">
        <v>29310</v>
      </c>
      <c r="C106" s="21" t="n">
        <v>0</v>
      </c>
      <c r="D106" s="21" t="n">
        <v>0</v>
      </c>
      <c r="E106" s="21" t="n">
        <v>0</v>
      </c>
      <c r="F106" s="21" t="n">
        <v>0</v>
      </c>
      <c r="G106" s="30" t="s">
        <v>3432</v>
      </c>
    </row>
    <row r="107" customFormat="false" ht="15" hidden="false" customHeight="false" outlineLevel="0" collapsed="false">
      <c r="A107" s="28" t="n">
        <v>29311</v>
      </c>
      <c r="B107" s="28" t="n">
        <v>29317</v>
      </c>
      <c r="C107" s="21" t="n">
        <v>0</v>
      </c>
      <c r="D107" s="21" t="n">
        <v>0</v>
      </c>
      <c r="E107" s="21" t="n">
        <v>0</v>
      </c>
      <c r="F107" s="21" t="n">
        <v>0</v>
      </c>
      <c r="G107" s="30" t="s">
        <v>3432</v>
      </c>
    </row>
    <row r="108" customFormat="false" ht="15" hidden="false" customHeight="false" outlineLevel="0" collapsed="false">
      <c r="A108" s="28" t="n">
        <v>29318</v>
      </c>
      <c r="B108" s="28" t="n">
        <v>29324</v>
      </c>
      <c r="C108" s="21" t="n">
        <v>0</v>
      </c>
      <c r="D108" s="21" t="n">
        <v>0</v>
      </c>
      <c r="E108" s="21" t="n">
        <v>0</v>
      </c>
      <c r="F108" s="21" t="n">
        <v>0</v>
      </c>
      <c r="G108" s="30" t="s">
        <v>3432</v>
      </c>
    </row>
    <row r="109" customFormat="false" ht="15" hidden="false" customHeight="false" outlineLevel="0" collapsed="false">
      <c r="A109" s="28" t="n">
        <v>29325</v>
      </c>
      <c r="B109" s="28" t="n">
        <v>29331</v>
      </c>
      <c r="C109" s="21" t="n">
        <v>0</v>
      </c>
      <c r="D109" s="21" t="n">
        <v>0</v>
      </c>
      <c r="E109" s="21" t="n">
        <v>0</v>
      </c>
      <c r="F109" s="21" t="n">
        <v>0</v>
      </c>
      <c r="G109" s="30" t="s">
        <v>3432</v>
      </c>
    </row>
    <row r="110" customFormat="false" ht="15" hidden="false" customHeight="false" outlineLevel="0" collapsed="false">
      <c r="A110" s="28" t="n">
        <v>29332</v>
      </c>
      <c r="B110" s="28" t="n">
        <v>29338</v>
      </c>
      <c r="C110" s="21" t="n">
        <v>1</v>
      </c>
      <c r="D110" s="21" t="n">
        <v>0</v>
      </c>
      <c r="E110" s="21" t="n">
        <v>1</v>
      </c>
      <c r="F110" s="21" t="n">
        <v>4</v>
      </c>
      <c r="G110" s="29" t="s">
        <v>184</v>
      </c>
    </row>
    <row r="111" customFormat="false" ht="15" hidden="false" customHeight="false" outlineLevel="0" collapsed="false">
      <c r="A111" s="28" t="n">
        <v>29339</v>
      </c>
      <c r="B111" s="28" t="n">
        <v>29345</v>
      </c>
      <c r="C111" s="21" t="n">
        <v>0</v>
      </c>
      <c r="D111" s="21" t="n">
        <v>0</v>
      </c>
      <c r="E111" s="21" t="n">
        <v>0</v>
      </c>
      <c r="F111" s="21" t="n">
        <v>0</v>
      </c>
      <c r="G111" s="29" t="s">
        <v>184</v>
      </c>
    </row>
    <row r="112" customFormat="false" ht="15" hidden="false" customHeight="false" outlineLevel="0" collapsed="false">
      <c r="A112" s="28" t="n">
        <v>29346</v>
      </c>
      <c r="B112" s="28" t="n">
        <v>29352</v>
      </c>
      <c r="C112" s="21" t="n">
        <v>0</v>
      </c>
      <c r="D112" s="21" t="n">
        <v>0</v>
      </c>
      <c r="E112" s="21" t="n">
        <v>0</v>
      </c>
      <c r="F112" s="21" t="n">
        <v>0</v>
      </c>
      <c r="G112" s="30" t="s">
        <v>3432</v>
      </c>
    </row>
    <row r="113" customFormat="false" ht="15" hidden="false" customHeight="false" outlineLevel="0" collapsed="false">
      <c r="A113" s="28" t="n">
        <v>29353</v>
      </c>
      <c r="B113" s="28" t="n">
        <v>29359</v>
      </c>
      <c r="C113" s="21" t="n">
        <v>0</v>
      </c>
      <c r="D113" s="21" t="n">
        <v>0</v>
      </c>
      <c r="E113" s="21" t="n">
        <v>0</v>
      </c>
      <c r="F113" s="21" t="n">
        <v>0</v>
      </c>
      <c r="G113" s="30" t="s">
        <v>3432</v>
      </c>
    </row>
    <row r="114" customFormat="false" ht="15" hidden="false" customHeight="false" outlineLevel="0" collapsed="false">
      <c r="A114" s="28" t="n">
        <v>29360</v>
      </c>
      <c r="B114" s="28" t="n">
        <v>29366</v>
      </c>
      <c r="C114" s="21" t="n">
        <v>0</v>
      </c>
      <c r="D114" s="21" t="n">
        <v>0</v>
      </c>
      <c r="E114" s="21" t="n">
        <v>0</v>
      </c>
      <c r="F114" s="21" t="n">
        <v>0</v>
      </c>
      <c r="G114" s="30" t="s">
        <v>3432</v>
      </c>
    </row>
    <row r="115" customFormat="false" ht="15" hidden="false" customHeight="false" outlineLevel="0" collapsed="false">
      <c r="A115" s="28" t="n">
        <v>29367</v>
      </c>
      <c r="B115" s="28" t="n">
        <v>29373</v>
      </c>
      <c r="C115" s="21" t="n">
        <v>0</v>
      </c>
      <c r="D115" s="21" t="n">
        <v>0</v>
      </c>
      <c r="E115" s="21" t="n">
        <v>0</v>
      </c>
      <c r="F115" s="21" t="n">
        <v>0</v>
      </c>
      <c r="G115" s="30" t="s">
        <v>3432</v>
      </c>
    </row>
    <row r="116" customFormat="false" ht="15" hidden="false" customHeight="false" outlineLevel="0" collapsed="false">
      <c r="A116" s="28" t="n">
        <v>29374</v>
      </c>
      <c r="B116" s="28" t="n">
        <v>29380</v>
      </c>
      <c r="C116" s="21" t="n">
        <v>0</v>
      </c>
      <c r="D116" s="21" t="n">
        <v>0</v>
      </c>
      <c r="E116" s="21" t="n">
        <v>0</v>
      </c>
      <c r="F116" s="21" t="n">
        <v>0</v>
      </c>
      <c r="G116" s="30" t="s">
        <v>3432</v>
      </c>
    </row>
    <row r="117" customFormat="false" ht="15" hidden="false" customHeight="false" outlineLevel="0" collapsed="false">
      <c r="A117" s="28" t="n">
        <v>29381</v>
      </c>
      <c r="B117" s="28" t="n">
        <v>29387</v>
      </c>
      <c r="C117" s="21" t="n">
        <v>0</v>
      </c>
      <c r="D117" s="21" t="n">
        <v>0</v>
      </c>
      <c r="E117" s="21" t="n">
        <v>0</v>
      </c>
      <c r="F117" s="21" t="n">
        <v>0</v>
      </c>
      <c r="G117" s="30" t="s">
        <v>3432</v>
      </c>
    </row>
    <row r="118" customFormat="false" ht="15" hidden="false" customHeight="false" outlineLevel="0" collapsed="false">
      <c r="A118" s="28" t="n">
        <v>29388</v>
      </c>
      <c r="B118" s="28" t="n">
        <v>29394</v>
      </c>
      <c r="C118" s="21" t="n">
        <v>0</v>
      </c>
      <c r="D118" s="21" t="n">
        <v>0</v>
      </c>
      <c r="E118" s="21" t="n">
        <v>0</v>
      </c>
      <c r="F118" s="21" t="n">
        <v>0</v>
      </c>
      <c r="G118" s="30" t="s">
        <v>3432</v>
      </c>
    </row>
    <row r="119" customFormat="false" ht="15" hidden="false" customHeight="false" outlineLevel="0" collapsed="false">
      <c r="A119" s="28" t="n">
        <v>29395</v>
      </c>
      <c r="B119" s="28" t="n">
        <v>29401</v>
      </c>
      <c r="C119" s="21" t="n">
        <v>0</v>
      </c>
      <c r="D119" s="21" t="n">
        <v>0</v>
      </c>
      <c r="E119" s="21" t="n">
        <v>0</v>
      </c>
      <c r="F119" s="21" t="n">
        <v>0</v>
      </c>
      <c r="G119" s="30" t="s">
        <v>3432</v>
      </c>
    </row>
    <row r="120" customFormat="false" ht="15" hidden="false" customHeight="false" outlineLevel="0" collapsed="false">
      <c r="A120" s="28" t="n">
        <v>29402</v>
      </c>
      <c r="B120" s="28" t="n">
        <v>29408</v>
      </c>
      <c r="C120" s="21" t="n">
        <v>0</v>
      </c>
      <c r="D120" s="21" t="n">
        <v>0</v>
      </c>
      <c r="E120" s="21" t="n">
        <v>0</v>
      </c>
      <c r="F120" s="21" t="n">
        <v>0</v>
      </c>
      <c r="G120" s="30" t="s">
        <v>3432</v>
      </c>
    </row>
    <row r="121" customFormat="false" ht="15" hidden="false" customHeight="false" outlineLevel="0" collapsed="false">
      <c r="A121" s="28" t="n">
        <v>29409</v>
      </c>
      <c r="B121" s="28" t="n">
        <v>29415</v>
      </c>
      <c r="C121" s="21" t="n">
        <v>0</v>
      </c>
      <c r="D121" s="21" t="n">
        <v>0</v>
      </c>
      <c r="E121" s="21" t="n">
        <v>0</v>
      </c>
      <c r="F121" s="21" t="n">
        <v>0</v>
      </c>
      <c r="G121" s="30" t="s">
        <v>3432</v>
      </c>
    </row>
    <row r="122" customFormat="false" ht="15" hidden="false" customHeight="false" outlineLevel="0" collapsed="false">
      <c r="A122" s="28" t="n">
        <v>29416</v>
      </c>
      <c r="B122" s="28" t="n">
        <v>29422</v>
      </c>
      <c r="C122" s="21" t="n">
        <v>0</v>
      </c>
      <c r="D122" s="21" t="n">
        <v>0</v>
      </c>
      <c r="E122" s="21" t="n">
        <v>0</v>
      </c>
      <c r="F122" s="21" t="n">
        <v>0</v>
      </c>
      <c r="G122" s="30" t="s">
        <v>3432</v>
      </c>
    </row>
    <row r="123" customFormat="false" ht="15" hidden="false" customHeight="false" outlineLevel="0" collapsed="false">
      <c r="A123" s="28" t="n">
        <v>29423</v>
      </c>
      <c r="B123" s="28" t="n">
        <v>29429</v>
      </c>
      <c r="C123" s="21" t="n">
        <v>0</v>
      </c>
      <c r="D123" s="21" t="n">
        <v>0</v>
      </c>
      <c r="E123" s="21" t="n">
        <v>0</v>
      </c>
      <c r="F123" s="21" t="n">
        <v>0</v>
      </c>
      <c r="G123" s="30" t="s">
        <v>3432</v>
      </c>
    </row>
    <row r="124" customFormat="false" ht="15" hidden="false" customHeight="false" outlineLevel="0" collapsed="false">
      <c r="A124" s="28" t="n">
        <v>29430</v>
      </c>
      <c r="B124" s="28" t="n">
        <v>29436</v>
      </c>
      <c r="C124" s="21" t="n">
        <v>0</v>
      </c>
      <c r="D124" s="21" t="n">
        <v>0</v>
      </c>
      <c r="E124" s="21" t="n">
        <v>0</v>
      </c>
      <c r="F124" s="21" t="n">
        <v>0</v>
      </c>
      <c r="G124" s="30" t="s">
        <v>3432</v>
      </c>
    </row>
    <row r="125" customFormat="false" ht="15" hidden="false" customHeight="false" outlineLevel="0" collapsed="false">
      <c r="A125" s="28" t="n">
        <v>29437</v>
      </c>
      <c r="B125" s="28" t="n">
        <v>29443</v>
      </c>
      <c r="C125" s="21" t="n">
        <v>0</v>
      </c>
      <c r="D125" s="21" t="n">
        <v>0</v>
      </c>
      <c r="E125" s="21" t="n">
        <v>0</v>
      </c>
      <c r="F125" s="21" t="n">
        <v>0</v>
      </c>
      <c r="G125" s="30" t="s">
        <v>3432</v>
      </c>
    </row>
    <row r="126" customFormat="false" ht="15" hidden="false" customHeight="false" outlineLevel="0" collapsed="false">
      <c r="A126" s="28" t="n">
        <v>29444</v>
      </c>
      <c r="B126" s="28" t="n">
        <v>29450</v>
      </c>
      <c r="C126" s="21" t="n">
        <v>0</v>
      </c>
      <c r="D126" s="21" t="n">
        <v>0</v>
      </c>
      <c r="E126" s="21" t="n">
        <v>0</v>
      </c>
      <c r="F126" s="21" t="n">
        <v>0</v>
      </c>
      <c r="G126" s="30" t="s">
        <v>3432</v>
      </c>
    </row>
    <row r="127" customFormat="false" ht="15" hidden="false" customHeight="false" outlineLevel="0" collapsed="false">
      <c r="A127" s="28" t="n">
        <v>29451</v>
      </c>
      <c r="B127" s="28" t="n">
        <v>29457</v>
      </c>
      <c r="C127" s="21" t="n">
        <v>0</v>
      </c>
      <c r="D127" s="21" t="n">
        <v>0</v>
      </c>
      <c r="E127" s="21" t="n">
        <v>0</v>
      </c>
      <c r="F127" s="21" t="n">
        <v>0</v>
      </c>
      <c r="G127" s="30" t="s">
        <v>3432</v>
      </c>
    </row>
    <row r="128" customFormat="false" ht="15" hidden="false" customHeight="false" outlineLevel="0" collapsed="false">
      <c r="A128" s="28" t="n">
        <v>29458</v>
      </c>
      <c r="B128" s="28" t="n">
        <v>29464</v>
      </c>
      <c r="C128" s="21" t="n">
        <v>0</v>
      </c>
      <c r="D128" s="21" t="n">
        <v>0</v>
      </c>
      <c r="E128" s="21" t="n">
        <v>0</v>
      </c>
      <c r="F128" s="21" t="n">
        <v>0</v>
      </c>
      <c r="G128" s="30" t="s">
        <v>3432</v>
      </c>
    </row>
    <row r="129" customFormat="false" ht="15" hidden="false" customHeight="false" outlineLevel="0" collapsed="false">
      <c r="A129" s="28" t="n">
        <v>29465</v>
      </c>
      <c r="B129" s="28" t="n">
        <v>29471</v>
      </c>
      <c r="C129" s="21" t="n">
        <v>0</v>
      </c>
      <c r="D129" s="21" t="n">
        <v>0</v>
      </c>
      <c r="E129" s="21" t="n">
        <v>0</v>
      </c>
      <c r="F129" s="21" t="n">
        <v>0</v>
      </c>
      <c r="G129" s="30" t="s">
        <v>3432</v>
      </c>
    </row>
    <row r="130" customFormat="false" ht="15" hidden="false" customHeight="false" outlineLevel="0" collapsed="false">
      <c r="A130" s="28" t="n">
        <v>29472</v>
      </c>
      <c r="B130" s="28" t="n">
        <v>29478</v>
      </c>
      <c r="C130" s="21" t="n">
        <v>0</v>
      </c>
      <c r="D130" s="21" t="n">
        <v>0</v>
      </c>
      <c r="E130" s="21" t="n">
        <v>0</v>
      </c>
      <c r="F130" s="21" t="n">
        <v>0</v>
      </c>
      <c r="G130" s="30" t="s">
        <v>3432</v>
      </c>
    </row>
    <row r="131" customFormat="false" ht="15" hidden="false" customHeight="false" outlineLevel="0" collapsed="false">
      <c r="A131" s="28" t="n">
        <v>29479</v>
      </c>
      <c r="B131" s="28" t="n">
        <v>29485</v>
      </c>
      <c r="C131" s="21" t="n">
        <v>0</v>
      </c>
      <c r="D131" s="21" t="n">
        <v>0</v>
      </c>
      <c r="E131" s="21" t="n">
        <v>0</v>
      </c>
      <c r="F131" s="21" t="n">
        <v>0</v>
      </c>
      <c r="G131" s="30" t="s">
        <v>3432</v>
      </c>
    </row>
    <row r="132" customFormat="false" ht="15" hidden="false" customHeight="false" outlineLevel="0" collapsed="false">
      <c r="A132" s="28" t="n">
        <v>29486</v>
      </c>
      <c r="B132" s="28" t="n">
        <v>29492</v>
      </c>
      <c r="C132" s="21" t="n">
        <v>0</v>
      </c>
      <c r="D132" s="21" t="n">
        <v>0</v>
      </c>
      <c r="E132" s="21" t="n">
        <v>0</v>
      </c>
      <c r="F132" s="21" t="n">
        <v>0</v>
      </c>
      <c r="G132" s="30" t="s">
        <v>3432</v>
      </c>
    </row>
    <row r="133" customFormat="false" ht="15" hidden="false" customHeight="false" outlineLevel="0" collapsed="false">
      <c r="A133" s="28" t="n">
        <v>29493</v>
      </c>
      <c r="B133" s="28" t="n">
        <v>29499</v>
      </c>
      <c r="C133" s="21" t="n">
        <v>0</v>
      </c>
      <c r="D133" s="21" t="n">
        <v>0</v>
      </c>
      <c r="E133" s="21" t="n">
        <v>0</v>
      </c>
      <c r="F133" s="21" t="n">
        <v>0</v>
      </c>
      <c r="G133" s="30" t="s">
        <v>3432</v>
      </c>
    </row>
    <row r="134" customFormat="false" ht="15" hidden="false" customHeight="false" outlineLevel="0" collapsed="false">
      <c r="A134" s="28" t="n">
        <v>29500</v>
      </c>
      <c r="B134" s="28" t="n">
        <v>29506</v>
      </c>
      <c r="C134" s="21" t="n">
        <v>0</v>
      </c>
      <c r="D134" s="21" t="n">
        <v>0</v>
      </c>
      <c r="E134" s="21" t="n">
        <v>0</v>
      </c>
      <c r="F134" s="21" t="n">
        <v>0</v>
      </c>
      <c r="G134" s="30" t="s">
        <v>3432</v>
      </c>
    </row>
    <row r="135" customFormat="false" ht="15" hidden="false" customHeight="false" outlineLevel="0" collapsed="false">
      <c r="A135" s="28" t="n">
        <v>29507</v>
      </c>
      <c r="B135" s="28" t="n">
        <v>29513</v>
      </c>
      <c r="C135" s="21" t="n">
        <v>0</v>
      </c>
      <c r="D135" s="21" t="n">
        <v>0</v>
      </c>
      <c r="E135" s="21" t="n">
        <v>0</v>
      </c>
      <c r="F135" s="21" t="n">
        <v>0</v>
      </c>
      <c r="G135" s="30" t="s">
        <v>3432</v>
      </c>
    </row>
    <row r="136" customFormat="false" ht="15" hidden="false" customHeight="false" outlineLevel="0" collapsed="false">
      <c r="A136" s="28" t="n">
        <v>29514</v>
      </c>
      <c r="B136" s="28" t="n">
        <v>29520</v>
      </c>
      <c r="C136" s="21" t="n">
        <v>0</v>
      </c>
      <c r="D136" s="21" t="n">
        <v>0</v>
      </c>
      <c r="E136" s="21" t="n">
        <v>0</v>
      </c>
      <c r="F136" s="21" t="n">
        <v>0</v>
      </c>
      <c r="G136" s="30" t="s">
        <v>3432</v>
      </c>
    </row>
    <row r="137" customFormat="false" ht="15" hidden="false" customHeight="false" outlineLevel="0" collapsed="false">
      <c r="A137" s="28" t="n">
        <v>29521</v>
      </c>
      <c r="B137" s="28" t="n">
        <v>29527</v>
      </c>
      <c r="C137" s="21" t="n">
        <v>0</v>
      </c>
      <c r="D137" s="21" t="n">
        <v>0</v>
      </c>
      <c r="E137" s="21" t="n">
        <v>0</v>
      </c>
      <c r="F137" s="21" t="n">
        <v>0</v>
      </c>
      <c r="G137" s="30" t="s">
        <v>3432</v>
      </c>
    </row>
    <row r="138" customFormat="false" ht="15" hidden="false" customHeight="false" outlineLevel="0" collapsed="false">
      <c r="A138" s="28" t="n">
        <v>29528</v>
      </c>
      <c r="B138" s="28" t="n">
        <v>29534</v>
      </c>
      <c r="C138" s="21" t="n">
        <v>0</v>
      </c>
      <c r="D138" s="21" t="n">
        <v>0</v>
      </c>
      <c r="E138" s="21" t="n">
        <v>0</v>
      </c>
      <c r="F138" s="21" t="n">
        <v>0</v>
      </c>
      <c r="G138" s="30" t="s">
        <v>3432</v>
      </c>
    </row>
    <row r="139" customFormat="false" ht="15" hidden="false" customHeight="false" outlineLevel="0" collapsed="false">
      <c r="A139" s="28" t="n">
        <v>29535</v>
      </c>
      <c r="B139" s="28" t="n">
        <v>29541</v>
      </c>
      <c r="C139" s="21" t="n">
        <v>0</v>
      </c>
      <c r="D139" s="21" t="n">
        <v>0</v>
      </c>
      <c r="E139" s="21" t="n">
        <v>0</v>
      </c>
      <c r="F139" s="21" t="n">
        <v>0</v>
      </c>
      <c r="G139" s="30" t="s">
        <v>3432</v>
      </c>
    </row>
    <row r="140" customFormat="false" ht="15" hidden="false" customHeight="false" outlineLevel="0" collapsed="false">
      <c r="A140" s="28" t="n">
        <v>29542</v>
      </c>
      <c r="B140" s="28" t="n">
        <v>29548</v>
      </c>
      <c r="C140" s="21" t="n">
        <v>0</v>
      </c>
      <c r="D140" s="21" t="n">
        <v>0</v>
      </c>
      <c r="E140" s="21" t="n">
        <v>0</v>
      </c>
      <c r="F140" s="21" t="n">
        <v>0</v>
      </c>
      <c r="G140" s="30" t="s">
        <v>3432</v>
      </c>
    </row>
    <row r="141" customFormat="false" ht="15" hidden="false" customHeight="false" outlineLevel="0" collapsed="false">
      <c r="A141" s="28" t="n">
        <v>29549</v>
      </c>
      <c r="B141" s="28" t="n">
        <v>29555</v>
      </c>
      <c r="C141" s="21" t="n">
        <v>0</v>
      </c>
      <c r="D141" s="21" t="n">
        <v>0</v>
      </c>
      <c r="E141" s="21" t="n">
        <v>0</v>
      </c>
      <c r="F141" s="21" t="n">
        <v>0</v>
      </c>
      <c r="G141" s="30" t="s">
        <v>3432</v>
      </c>
    </row>
    <row r="142" customFormat="false" ht="15" hidden="false" customHeight="false" outlineLevel="0" collapsed="false">
      <c r="A142" s="28" t="n">
        <v>29556</v>
      </c>
      <c r="B142" s="28" t="n">
        <v>29562</v>
      </c>
      <c r="C142" s="21" t="n">
        <v>0</v>
      </c>
      <c r="D142" s="21" t="n">
        <v>0</v>
      </c>
      <c r="E142" s="21" t="n">
        <v>0</v>
      </c>
      <c r="F142" s="21" t="n">
        <v>0</v>
      </c>
      <c r="G142" s="30" t="s">
        <v>3432</v>
      </c>
    </row>
    <row r="143" customFormat="false" ht="15" hidden="false" customHeight="false" outlineLevel="0" collapsed="false">
      <c r="A143" s="28" t="n">
        <v>29563</v>
      </c>
      <c r="B143" s="28" t="n">
        <v>29569</v>
      </c>
      <c r="C143" s="21" t="n">
        <v>0</v>
      </c>
      <c r="D143" s="21" t="n">
        <v>0</v>
      </c>
      <c r="E143" s="21" t="n">
        <v>0</v>
      </c>
      <c r="F143" s="21" t="n">
        <v>0</v>
      </c>
      <c r="G143" s="30" t="s">
        <v>3432</v>
      </c>
    </row>
    <row r="144" customFormat="false" ht="15" hidden="false" customHeight="false" outlineLevel="0" collapsed="false">
      <c r="A144" s="28" t="n">
        <v>29570</v>
      </c>
      <c r="B144" s="28" t="n">
        <v>29576</v>
      </c>
      <c r="C144" s="21" t="n">
        <v>0</v>
      </c>
      <c r="D144" s="21" t="n">
        <v>0</v>
      </c>
      <c r="E144" s="21" t="n">
        <v>0</v>
      </c>
      <c r="F144" s="21" t="n">
        <v>0</v>
      </c>
      <c r="G144" s="30" t="s">
        <v>3432</v>
      </c>
    </row>
    <row r="145" customFormat="false" ht="15" hidden="false" customHeight="false" outlineLevel="0" collapsed="false">
      <c r="A145" s="28" t="n">
        <v>29577</v>
      </c>
      <c r="B145" s="28" t="n">
        <v>29583</v>
      </c>
      <c r="C145" s="21" t="n">
        <v>0</v>
      </c>
      <c r="D145" s="21" t="n">
        <v>0</v>
      </c>
      <c r="E145" s="21" t="n">
        <v>0</v>
      </c>
      <c r="F145" s="21" t="n">
        <v>0</v>
      </c>
      <c r="G145" s="30" t="s">
        <v>3432</v>
      </c>
    </row>
    <row r="146" customFormat="false" ht="15" hidden="false" customHeight="false" outlineLevel="0" collapsed="false">
      <c r="A146" s="28" t="n">
        <v>29584</v>
      </c>
      <c r="B146" s="28" t="n">
        <v>29590</v>
      </c>
      <c r="C146" s="21" t="n">
        <v>0</v>
      </c>
      <c r="D146" s="21" t="n">
        <v>0</v>
      </c>
      <c r="E146" s="21" t="n">
        <v>0</v>
      </c>
      <c r="F146" s="21" t="n">
        <v>0</v>
      </c>
      <c r="G146" s="30" t="s">
        <v>3432</v>
      </c>
    </row>
    <row r="147" customFormat="false" ht="15" hidden="false" customHeight="false" outlineLevel="0" collapsed="false">
      <c r="A147" s="28" t="n">
        <v>29591</v>
      </c>
      <c r="B147" s="28" t="n">
        <v>29597</v>
      </c>
      <c r="C147" s="21" t="n">
        <v>0</v>
      </c>
      <c r="D147" s="21" t="n">
        <v>0</v>
      </c>
      <c r="E147" s="21" t="n">
        <v>0</v>
      </c>
      <c r="F147" s="21" t="n">
        <v>0</v>
      </c>
      <c r="G147" s="30" t="s">
        <v>3432</v>
      </c>
    </row>
    <row r="148" customFormat="false" ht="15" hidden="false" customHeight="false" outlineLevel="0" collapsed="false">
      <c r="A148" s="28" t="n">
        <v>29598</v>
      </c>
      <c r="B148" s="28" t="n">
        <v>29604</v>
      </c>
      <c r="C148" s="21" t="n">
        <v>0</v>
      </c>
      <c r="D148" s="21" t="n">
        <v>0</v>
      </c>
      <c r="E148" s="21" t="n">
        <v>0</v>
      </c>
      <c r="F148" s="21" t="n">
        <v>0</v>
      </c>
      <c r="G148" s="30" t="s">
        <v>3432</v>
      </c>
    </row>
    <row r="149" customFormat="false" ht="15" hidden="false" customHeight="false" outlineLevel="0" collapsed="false">
      <c r="A149" s="28" t="n">
        <v>29605</v>
      </c>
      <c r="B149" s="28" t="n">
        <v>29611</v>
      </c>
      <c r="C149" s="21" t="n">
        <v>0</v>
      </c>
      <c r="D149" s="21" t="n">
        <v>0</v>
      </c>
      <c r="E149" s="21" t="n">
        <v>0</v>
      </c>
      <c r="F149" s="21" t="n">
        <v>0</v>
      </c>
      <c r="G149" s="30" t="s">
        <v>3432</v>
      </c>
    </row>
    <row r="150" customFormat="false" ht="15" hidden="false" customHeight="false" outlineLevel="0" collapsed="false">
      <c r="A150" s="28" t="n">
        <v>29612</v>
      </c>
      <c r="B150" s="28" t="n">
        <v>29618</v>
      </c>
      <c r="C150" s="21" t="n">
        <v>0</v>
      </c>
      <c r="D150" s="21" t="n">
        <v>0</v>
      </c>
      <c r="E150" s="21" t="n">
        <v>0</v>
      </c>
      <c r="F150" s="21" t="n">
        <v>0</v>
      </c>
      <c r="G150" s="30" t="s">
        <v>3432</v>
      </c>
    </row>
    <row r="151" customFormat="false" ht="15" hidden="false" customHeight="false" outlineLevel="0" collapsed="false">
      <c r="A151" s="28" t="n">
        <v>29619</v>
      </c>
      <c r="B151" s="28" t="n">
        <v>29625</v>
      </c>
      <c r="C151" s="21" t="n">
        <v>0</v>
      </c>
      <c r="D151" s="21" t="n">
        <v>0</v>
      </c>
      <c r="E151" s="21" t="n">
        <v>0</v>
      </c>
      <c r="F151" s="21" t="n">
        <v>0</v>
      </c>
      <c r="G151" s="30" t="s">
        <v>3432</v>
      </c>
    </row>
    <row r="152" customFormat="false" ht="15" hidden="false" customHeight="false" outlineLevel="0" collapsed="false">
      <c r="A152" s="28" t="n">
        <v>29626</v>
      </c>
      <c r="B152" s="28" t="n">
        <v>29632</v>
      </c>
      <c r="C152" s="21" t="n">
        <v>0</v>
      </c>
      <c r="D152" s="21" t="n">
        <v>0</v>
      </c>
      <c r="E152" s="21" t="n">
        <v>0</v>
      </c>
      <c r="F152" s="21" t="n">
        <v>0</v>
      </c>
      <c r="G152" s="30" t="s">
        <v>3432</v>
      </c>
    </row>
    <row r="153" customFormat="false" ht="15" hidden="false" customHeight="false" outlineLevel="0" collapsed="false">
      <c r="A153" s="28" t="n">
        <v>29633</v>
      </c>
      <c r="B153" s="28" t="n">
        <v>29639</v>
      </c>
      <c r="C153" s="21" t="n">
        <v>0</v>
      </c>
      <c r="D153" s="21" t="n">
        <v>0</v>
      </c>
      <c r="E153" s="21" t="n">
        <v>0</v>
      </c>
      <c r="F153" s="21" t="n">
        <v>0</v>
      </c>
      <c r="G153" s="30" t="s">
        <v>3432</v>
      </c>
    </row>
    <row r="154" customFormat="false" ht="15" hidden="false" customHeight="false" outlineLevel="0" collapsed="false">
      <c r="A154" s="28" t="n">
        <v>29640</v>
      </c>
      <c r="B154" s="28" t="n">
        <v>29646</v>
      </c>
      <c r="C154" s="21" t="n">
        <v>0</v>
      </c>
      <c r="D154" s="21" t="n">
        <v>0</v>
      </c>
      <c r="E154" s="21" t="n">
        <v>0</v>
      </c>
      <c r="F154" s="21" t="n">
        <v>0</v>
      </c>
      <c r="G154" s="30" t="s">
        <v>3432</v>
      </c>
    </row>
    <row r="155" customFormat="false" ht="15" hidden="false" customHeight="false" outlineLevel="0" collapsed="false">
      <c r="A155" s="28" t="n">
        <v>29647</v>
      </c>
      <c r="B155" s="28" t="n">
        <v>29653</v>
      </c>
      <c r="C155" s="21" t="n">
        <v>0</v>
      </c>
      <c r="D155" s="21" t="n">
        <v>0</v>
      </c>
      <c r="E155" s="21" t="n">
        <v>0</v>
      </c>
      <c r="F155" s="21" t="n">
        <v>0</v>
      </c>
      <c r="G155" s="30" t="s">
        <v>3432</v>
      </c>
    </row>
    <row r="156" customFormat="false" ht="15" hidden="false" customHeight="false" outlineLevel="0" collapsed="false">
      <c r="A156" s="28" t="n">
        <v>29654</v>
      </c>
      <c r="B156" s="28" t="n">
        <v>29660</v>
      </c>
      <c r="C156" s="21" t="n">
        <v>0</v>
      </c>
      <c r="D156" s="21" t="n">
        <v>0</v>
      </c>
      <c r="E156" s="21" t="n">
        <v>0</v>
      </c>
      <c r="F156" s="21" t="n">
        <v>0</v>
      </c>
      <c r="G156" s="30" t="s">
        <v>3432</v>
      </c>
    </row>
    <row r="157" customFormat="false" ht="15" hidden="false" customHeight="false" outlineLevel="0" collapsed="false">
      <c r="A157" s="28" t="n">
        <v>29661</v>
      </c>
      <c r="B157" s="28" t="n">
        <v>29667</v>
      </c>
      <c r="C157" s="21" t="n">
        <v>0</v>
      </c>
      <c r="D157" s="21" t="n">
        <v>0</v>
      </c>
      <c r="E157" s="21" t="n">
        <v>0</v>
      </c>
      <c r="F157" s="21" t="n">
        <v>0</v>
      </c>
      <c r="G157" s="30" t="s">
        <v>3432</v>
      </c>
    </row>
    <row r="158" customFormat="false" ht="15" hidden="false" customHeight="false" outlineLevel="0" collapsed="false">
      <c r="A158" s="28" t="n">
        <v>29668</v>
      </c>
      <c r="B158" s="28" t="n">
        <v>29674</v>
      </c>
      <c r="C158" s="21" t="n">
        <v>0</v>
      </c>
      <c r="D158" s="21" t="n">
        <v>0</v>
      </c>
      <c r="E158" s="21" t="n">
        <v>0</v>
      </c>
      <c r="F158" s="21" t="n">
        <v>0</v>
      </c>
      <c r="G158" s="30" t="s">
        <v>3432</v>
      </c>
    </row>
    <row r="159" customFormat="false" ht="15" hidden="false" customHeight="false" outlineLevel="0" collapsed="false">
      <c r="A159" s="28" t="n">
        <v>29675</v>
      </c>
      <c r="B159" s="28" t="n">
        <v>29681</v>
      </c>
      <c r="C159" s="21" t="n">
        <v>0</v>
      </c>
      <c r="D159" s="21" t="n">
        <v>0</v>
      </c>
      <c r="E159" s="21" t="n">
        <v>0</v>
      </c>
      <c r="F159" s="21" t="n">
        <v>0</v>
      </c>
      <c r="G159" s="30" t="s">
        <v>3432</v>
      </c>
    </row>
    <row r="160" customFormat="false" ht="15" hidden="false" customHeight="false" outlineLevel="0" collapsed="false">
      <c r="A160" s="28" t="n">
        <v>29682</v>
      </c>
      <c r="B160" s="28" t="n">
        <v>29688</v>
      </c>
      <c r="C160" s="21" t="n">
        <v>0</v>
      </c>
      <c r="D160" s="21" t="n">
        <v>0</v>
      </c>
      <c r="E160" s="21" t="n">
        <v>0</v>
      </c>
      <c r="F160" s="21" t="n">
        <v>0</v>
      </c>
      <c r="G160" s="30" t="s">
        <v>3432</v>
      </c>
    </row>
    <row r="161" customFormat="false" ht="15" hidden="false" customHeight="false" outlineLevel="0" collapsed="false">
      <c r="A161" s="28" t="n">
        <v>29689</v>
      </c>
      <c r="B161" s="28" t="n">
        <v>29695</v>
      </c>
      <c r="C161" s="21" t="n">
        <v>0</v>
      </c>
      <c r="D161" s="21" t="n">
        <v>0</v>
      </c>
      <c r="E161" s="21" t="n">
        <v>0</v>
      </c>
      <c r="F161" s="21" t="n">
        <v>0</v>
      </c>
      <c r="G161" s="30" t="s">
        <v>3432</v>
      </c>
    </row>
    <row r="162" customFormat="false" ht="15" hidden="false" customHeight="false" outlineLevel="0" collapsed="false">
      <c r="A162" s="28" t="n">
        <v>29696</v>
      </c>
      <c r="B162" s="28" t="n">
        <v>29702</v>
      </c>
      <c r="C162" s="21" t="n">
        <v>0</v>
      </c>
      <c r="D162" s="21" t="n">
        <v>0</v>
      </c>
      <c r="E162" s="21" t="n">
        <v>0</v>
      </c>
      <c r="F162" s="21" t="n">
        <v>0</v>
      </c>
      <c r="G162" s="30" t="s">
        <v>3432</v>
      </c>
    </row>
    <row r="163" customFormat="false" ht="15" hidden="false" customHeight="false" outlineLevel="0" collapsed="false">
      <c r="A163" s="28" t="n">
        <v>29703</v>
      </c>
      <c r="B163" s="28" t="n">
        <v>29709</v>
      </c>
      <c r="C163" s="21" t="n">
        <v>0</v>
      </c>
      <c r="D163" s="21" t="n">
        <v>0</v>
      </c>
      <c r="E163" s="21" t="n">
        <v>0</v>
      </c>
      <c r="F163" s="21" t="n">
        <v>0</v>
      </c>
      <c r="G163" s="30" t="s">
        <v>3432</v>
      </c>
    </row>
    <row r="164" customFormat="false" ht="15" hidden="false" customHeight="false" outlineLevel="0" collapsed="false">
      <c r="A164" s="28" t="n">
        <v>29710</v>
      </c>
      <c r="B164" s="28" t="n">
        <v>29716</v>
      </c>
      <c r="C164" s="21" t="n">
        <v>0</v>
      </c>
      <c r="D164" s="21" t="n">
        <v>0</v>
      </c>
      <c r="E164" s="21" t="n">
        <v>0</v>
      </c>
      <c r="F164" s="21" t="n">
        <v>0</v>
      </c>
      <c r="G164" s="30" t="s">
        <v>3432</v>
      </c>
    </row>
    <row r="165" customFormat="false" ht="15" hidden="false" customHeight="false" outlineLevel="0" collapsed="false">
      <c r="A165" s="28" t="n">
        <v>29717</v>
      </c>
      <c r="B165" s="28" t="n">
        <v>29723</v>
      </c>
      <c r="C165" s="21" t="n">
        <v>0</v>
      </c>
      <c r="D165" s="21" t="n">
        <v>0</v>
      </c>
      <c r="E165" s="21" t="n">
        <v>0</v>
      </c>
      <c r="F165" s="21" t="n">
        <v>0</v>
      </c>
      <c r="G165" s="30" t="s">
        <v>3432</v>
      </c>
    </row>
    <row r="166" customFormat="false" ht="15" hidden="false" customHeight="false" outlineLevel="0" collapsed="false">
      <c r="A166" s="28" t="n">
        <v>29724</v>
      </c>
      <c r="B166" s="28" t="n">
        <v>29730</v>
      </c>
      <c r="C166" s="21" t="n">
        <v>0</v>
      </c>
      <c r="D166" s="21" t="n">
        <v>0</v>
      </c>
      <c r="E166" s="21" t="n">
        <v>0</v>
      </c>
      <c r="F166" s="21" t="n">
        <v>0</v>
      </c>
      <c r="G166" s="30" t="s">
        <v>3432</v>
      </c>
    </row>
    <row r="167" customFormat="false" ht="15" hidden="false" customHeight="false" outlineLevel="0" collapsed="false">
      <c r="A167" s="28" t="n">
        <v>29731</v>
      </c>
      <c r="B167" s="28" t="n">
        <v>29737</v>
      </c>
      <c r="C167" s="21" t="n">
        <v>0</v>
      </c>
      <c r="D167" s="21" t="n">
        <v>0</v>
      </c>
      <c r="E167" s="21" t="n">
        <v>0</v>
      </c>
      <c r="F167" s="21" t="n">
        <v>0</v>
      </c>
      <c r="G167" s="30" t="s">
        <v>3432</v>
      </c>
    </row>
    <row r="168" customFormat="false" ht="15" hidden="false" customHeight="false" outlineLevel="0" collapsed="false">
      <c r="A168" s="28" t="n">
        <v>29738</v>
      </c>
      <c r="B168" s="28" t="n">
        <v>29744</v>
      </c>
      <c r="C168" s="21" t="n">
        <v>0</v>
      </c>
      <c r="D168" s="21" t="n">
        <v>0</v>
      </c>
      <c r="E168" s="21" t="n">
        <v>0</v>
      </c>
      <c r="F168" s="21" t="n">
        <v>0</v>
      </c>
      <c r="G168" s="30" t="s">
        <v>3432</v>
      </c>
    </row>
    <row r="169" customFormat="false" ht="15" hidden="false" customHeight="false" outlineLevel="0" collapsed="false">
      <c r="A169" s="28" t="n">
        <v>29745</v>
      </c>
      <c r="B169" s="28" t="n">
        <v>29751</v>
      </c>
      <c r="C169" s="21" t="n">
        <v>0</v>
      </c>
      <c r="D169" s="21" t="n">
        <v>0</v>
      </c>
      <c r="E169" s="21" t="n">
        <v>0</v>
      </c>
      <c r="F169" s="21" t="n">
        <v>0</v>
      </c>
      <c r="G169" s="30" t="s">
        <v>3432</v>
      </c>
    </row>
    <row r="170" customFormat="false" ht="15" hidden="false" customHeight="false" outlineLevel="0" collapsed="false">
      <c r="A170" s="28" t="n">
        <v>29752</v>
      </c>
      <c r="B170" s="28" t="n">
        <v>29758</v>
      </c>
      <c r="C170" s="21" t="n">
        <v>0</v>
      </c>
      <c r="D170" s="21" t="n">
        <v>0</v>
      </c>
      <c r="E170" s="21" t="n">
        <v>0</v>
      </c>
      <c r="F170" s="21" t="n">
        <v>0</v>
      </c>
      <c r="G170" s="30" t="s">
        <v>3432</v>
      </c>
    </row>
    <row r="171" customFormat="false" ht="15" hidden="false" customHeight="false" outlineLevel="0" collapsed="false">
      <c r="A171" s="28" t="n">
        <v>29759</v>
      </c>
      <c r="B171" s="28" t="n">
        <v>29765</v>
      </c>
      <c r="C171" s="21" t="n">
        <v>0</v>
      </c>
      <c r="D171" s="21" t="n">
        <v>0</v>
      </c>
      <c r="E171" s="21" t="n">
        <v>0</v>
      </c>
      <c r="F171" s="21" t="n">
        <v>0</v>
      </c>
      <c r="G171" s="30" t="s">
        <v>3432</v>
      </c>
    </row>
    <row r="172" customFormat="false" ht="15" hidden="false" customHeight="false" outlineLevel="0" collapsed="false">
      <c r="A172" s="28" t="n">
        <v>29766</v>
      </c>
      <c r="B172" s="28" t="n">
        <v>29772</v>
      </c>
      <c r="C172" s="21" t="n">
        <v>0</v>
      </c>
      <c r="D172" s="21" t="n">
        <v>0</v>
      </c>
      <c r="E172" s="21" t="n">
        <v>0</v>
      </c>
      <c r="F172" s="21" t="n">
        <v>0</v>
      </c>
      <c r="G172" s="30" t="s">
        <v>3432</v>
      </c>
    </row>
    <row r="173" customFormat="false" ht="15" hidden="false" customHeight="false" outlineLevel="0" collapsed="false">
      <c r="A173" s="28" t="n">
        <v>29773</v>
      </c>
      <c r="B173" s="28" t="n">
        <v>29779</v>
      </c>
      <c r="C173" s="21" t="n">
        <v>0</v>
      </c>
      <c r="D173" s="21" t="n">
        <v>0</v>
      </c>
      <c r="E173" s="21" t="n">
        <v>0</v>
      </c>
      <c r="F173" s="21" t="n">
        <v>0</v>
      </c>
      <c r="G173" s="30" t="s">
        <v>3432</v>
      </c>
    </row>
    <row r="174" customFormat="false" ht="15" hidden="false" customHeight="false" outlineLevel="0" collapsed="false">
      <c r="A174" s="28" t="n">
        <v>29780</v>
      </c>
      <c r="B174" s="28" t="n">
        <v>29786</v>
      </c>
      <c r="C174" s="21" t="n">
        <v>0</v>
      </c>
      <c r="D174" s="21" t="n">
        <v>0</v>
      </c>
      <c r="E174" s="21" t="n">
        <v>0</v>
      </c>
      <c r="F174" s="21" t="n">
        <v>0</v>
      </c>
      <c r="G174" s="30" t="s">
        <v>3432</v>
      </c>
    </row>
    <row r="175" customFormat="false" ht="15" hidden="false" customHeight="false" outlineLevel="0" collapsed="false">
      <c r="A175" s="28" t="n">
        <v>29787</v>
      </c>
      <c r="B175" s="28" t="n">
        <v>29793</v>
      </c>
      <c r="C175" s="21" t="n">
        <v>0</v>
      </c>
      <c r="D175" s="21" t="n">
        <v>0</v>
      </c>
      <c r="E175" s="21" t="n">
        <v>0</v>
      </c>
      <c r="F175" s="21" t="n">
        <v>0</v>
      </c>
      <c r="G175" s="30" t="s">
        <v>3432</v>
      </c>
    </row>
    <row r="176" customFormat="false" ht="15" hidden="false" customHeight="false" outlineLevel="0" collapsed="false">
      <c r="A176" s="28" t="n">
        <v>29794</v>
      </c>
      <c r="B176" s="28" t="n">
        <v>29800</v>
      </c>
      <c r="C176" s="21" t="n">
        <v>0</v>
      </c>
      <c r="D176" s="21" t="n">
        <v>0</v>
      </c>
      <c r="E176" s="21" t="n">
        <v>0</v>
      </c>
      <c r="F176" s="21" t="n">
        <v>0</v>
      </c>
      <c r="G176" s="30" t="s">
        <v>3432</v>
      </c>
    </row>
    <row r="177" customFormat="false" ht="15" hidden="false" customHeight="false" outlineLevel="0" collapsed="false">
      <c r="A177" s="28" t="n">
        <v>29801</v>
      </c>
      <c r="B177" s="28" t="n">
        <v>29807</v>
      </c>
      <c r="C177" s="21" t="n">
        <v>0</v>
      </c>
      <c r="D177" s="21" t="n">
        <v>0</v>
      </c>
      <c r="E177" s="21" t="n">
        <v>0</v>
      </c>
      <c r="F177" s="21" t="n">
        <v>0</v>
      </c>
      <c r="G177" s="30" t="s">
        <v>3432</v>
      </c>
    </row>
    <row r="178" customFormat="false" ht="15" hidden="false" customHeight="false" outlineLevel="0" collapsed="false">
      <c r="A178" s="28" t="n">
        <v>29808</v>
      </c>
      <c r="B178" s="28" t="n">
        <v>29814</v>
      </c>
      <c r="C178" s="21" t="n">
        <v>0</v>
      </c>
      <c r="D178" s="21" t="n">
        <v>0</v>
      </c>
      <c r="E178" s="21" t="n">
        <v>0</v>
      </c>
      <c r="F178" s="21" t="n">
        <v>0</v>
      </c>
      <c r="G178" s="30" t="s">
        <v>3432</v>
      </c>
    </row>
    <row r="179" customFormat="false" ht="15" hidden="false" customHeight="false" outlineLevel="0" collapsed="false">
      <c r="A179" s="28" t="n">
        <v>29815</v>
      </c>
      <c r="B179" s="28" t="n">
        <v>29821</v>
      </c>
      <c r="C179" s="21" t="n">
        <v>0</v>
      </c>
      <c r="D179" s="21" t="n">
        <v>0</v>
      </c>
      <c r="E179" s="21" t="n">
        <v>0</v>
      </c>
      <c r="F179" s="21" t="n">
        <v>0</v>
      </c>
      <c r="G179" s="30" t="s">
        <v>3432</v>
      </c>
    </row>
    <row r="180" customFormat="false" ht="15" hidden="false" customHeight="false" outlineLevel="0" collapsed="false">
      <c r="A180" s="28" t="n">
        <v>29822</v>
      </c>
      <c r="B180" s="28" t="n">
        <v>29828</v>
      </c>
      <c r="C180" s="21" t="n">
        <v>0</v>
      </c>
      <c r="D180" s="21" t="n">
        <v>0</v>
      </c>
      <c r="E180" s="21" t="n">
        <v>0</v>
      </c>
      <c r="F180" s="21" t="n">
        <v>0</v>
      </c>
      <c r="G180" s="30" t="s">
        <v>3432</v>
      </c>
    </row>
    <row r="181" customFormat="false" ht="15" hidden="false" customHeight="false" outlineLevel="0" collapsed="false">
      <c r="A181" s="28" t="n">
        <v>29829</v>
      </c>
      <c r="B181" s="28" t="n">
        <v>29835</v>
      </c>
      <c r="C181" s="21" t="n">
        <v>0</v>
      </c>
      <c r="D181" s="21" t="n">
        <v>0</v>
      </c>
      <c r="E181" s="21" t="n">
        <v>0</v>
      </c>
      <c r="F181" s="21" t="n">
        <v>0</v>
      </c>
      <c r="G181" s="30" t="s">
        <v>3432</v>
      </c>
    </row>
    <row r="182" customFormat="false" ht="15" hidden="false" customHeight="false" outlineLevel="0" collapsed="false">
      <c r="A182" s="28" t="n">
        <v>29836</v>
      </c>
      <c r="B182" s="28" t="n">
        <v>29842</v>
      </c>
      <c r="C182" s="21" t="n">
        <v>0</v>
      </c>
      <c r="D182" s="21" t="n">
        <v>0</v>
      </c>
      <c r="E182" s="21" t="n">
        <v>0</v>
      </c>
      <c r="F182" s="21" t="n">
        <v>0</v>
      </c>
      <c r="G182" s="30" t="s">
        <v>3432</v>
      </c>
    </row>
    <row r="183" customFormat="false" ht="15" hidden="false" customHeight="false" outlineLevel="0" collapsed="false">
      <c r="A183" s="28" t="n">
        <v>29843</v>
      </c>
      <c r="B183" s="28" t="n">
        <v>29849</v>
      </c>
      <c r="C183" s="21" t="n">
        <v>0</v>
      </c>
      <c r="D183" s="21" t="n">
        <v>0</v>
      </c>
      <c r="E183" s="21" t="n">
        <v>0</v>
      </c>
      <c r="F183" s="21" t="n">
        <v>0</v>
      </c>
      <c r="G183" s="30" t="s">
        <v>3432</v>
      </c>
    </row>
    <row r="184" customFormat="false" ht="15" hidden="false" customHeight="false" outlineLevel="0" collapsed="false">
      <c r="A184" s="28" t="n">
        <v>29850</v>
      </c>
      <c r="B184" s="28" t="n">
        <v>29856</v>
      </c>
      <c r="C184" s="21" t="n">
        <v>0</v>
      </c>
      <c r="D184" s="21" t="n">
        <v>0</v>
      </c>
      <c r="E184" s="21" t="n">
        <v>0</v>
      </c>
      <c r="F184" s="21" t="n">
        <v>0</v>
      </c>
      <c r="G184" s="30" t="s">
        <v>3432</v>
      </c>
    </row>
    <row r="185" customFormat="false" ht="15" hidden="false" customHeight="false" outlineLevel="0" collapsed="false">
      <c r="A185" s="28" t="n">
        <v>29857</v>
      </c>
      <c r="B185" s="28" t="n">
        <v>29863</v>
      </c>
      <c r="C185" s="21" t="n">
        <v>0</v>
      </c>
      <c r="D185" s="21" t="n">
        <v>0</v>
      </c>
      <c r="E185" s="21" t="n">
        <v>0</v>
      </c>
      <c r="F185" s="21" t="n">
        <v>0</v>
      </c>
      <c r="G185" s="30" t="s">
        <v>3432</v>
      </c>
    </row>
    <row r="186" customFormat="false" ht="15" hidden="false" customHeight="false" outlineLevel="0" collapsed="false">
      <c r="A186" s="28" t="n">
        <v>29864</v>
      </c>
      <c r="B186" s="28" t="n">
        <v>29870</v>
      </c>
      <c r="C186" s="21" t="n">
        <v>0</v>
      </c>
      <c r="D186" s="21" t="n">
        <v>0</v>
      </c>
      <c r="E186" s="21" t="n">
        <v>0</v>
      </c>
      <c r="F186" s="21" t="n">
        <v>0</v>
      </c>
      <c r="G186" s="30" t="s">
        <v>3432</v>
      </c>
    </row>
    <row r="187" customFormat="false" ht="15" hidden="false" customHeight="false" outlineLevel="0" collapsed="false">
      <c r="A187" s="28" t="n">
        <v>29871</v>
      </c>
      <c r="B187" s="28" t="n">
        <v>29877</v>
      </c>
      <c r="C187" s="21" t="n">
        <v>0</v>
      </c>
      <c r="D187" s="21" t="n">
        <v>0</v>
      </c>
      <c r="E187" s="21" t="n">
        <v>0</v>
      </c>
      <c r="F187" s="21" t="n">
        <v>0</v>
      </c>
      <c r="G187" s="30" t="s">
        <v>3432</v>
      </c>
    </row>
    <row r="188" customFormat="false" ht="15" hidden="false" customHeight="false" outlineLevel="0" collapsed="false">
      <c r="A188" s="28" t="n">
        <v>29878</v>
      </c>
      <c r="B188" s="28" t="n">
        <v>29884</v>
      </c>
      <c r="C188" s="21" t="n">
        <v>0</v>
      </c>
      <c r="D188" s="21" t="n">
        <v>0</v>
      </c>
      <c r="E188" s="21" t="n">
        <v>0</v>
      </c>
      <c r="F188" s="21" t="n">
        <v>0</v>
      </c>
      <c r="G188" s="30" t="s">
        <v>3432</v>
      </c>
    </row>
    <row r="189" customFormat="false" ht="15" hidden="false" customHeight="false" outlineLevel="0" collapsed="false">
      <c r="A189" s="28" t="n">
        <v>29885</v>
      </c>
      <c r="B189" s="28" t="n">
        <v>29891</v>
      </c>
      <c r="C189" s="21" t="n">
        <v>0</v>
      </c>
      <c r="D189" s="21" t="n">
        <v>0</v>
      </c>
      <c r="E189" s="21" t="n">
        <v>0</v>
      </c>
      <c r="F189" s="21" t="n">
        <v>0</v>
      </c>
      <c r="G189" s="30" t="s">
        <v>3432</v>
      </c>
    </row>
    <row r="190" customFormat="false" ht="15" hidden="false" customHeight="false" outlineLevel="0" collapsed="false">
      <c r="A190" s="28" t="n">
        <v>29892</v>
      </c>
      <c r="B190" s="28" t="n">
        <v>29898</v>
      </c>
      <c r="C190" s="21" t="n">
        <v>0</v>
      </c>
      <c r="D190" s="21" t="n">
        <v>0</v>
      </c>
      <c r="E190" s="21" t="n">
        <v>0</v>
      </c>
      <c r="F190" s="21" t="n">
        <v>0</v>
      </c>
      <c r="G190" s="30" t="s">
        <v>3432</v>
      </c>
    </row>
    <row r="191" customFormat="false" ht="15" hidden="false" customHeight="false" outlineLevel="0" collapsed="false">
      <c r="A191" s="28" t="n">
        <v>29899</v>
      </c>
      <c r="B191" s="28" t="n">
        <v>29905</v>
      </c>
      <c r="C191" s="21" t="n">
        <v>0</v>
      </c>
      <c r="D191" s="21" t="n">
        <v>0</v>
      </c>
      <c r="E191" s="21" t="n">
        <v>0</v>
      </c>
      <c r="F191" s="21" t="n">
        <v>0</v>
      </c>
      <c r="G191" s="30" t="s">
        <v>3432</v>
      </c>
    </row>
    <row r="192" customFormat="false" ht="15" hidden="false" customHeight="false" outlineLevel="0" collapsed="false">
      <c r="A192" s="28" t="n">
        <v>29906</v>
      </c>
      <c r="B192" s="28" t="n">
        <v>29912</v>
      </c>
      <c r="C192" s="21" t="n">
        <v>0</v>
      </c>
      <c r="D192" s="21" t="n">
        <v>0</v>
      </c>
      <c r="E192" s="21" t="n">
        <v>0</v>
      </c>
      <c r="F192" s="21" t="n">
        <v>0</v>
      </c>
      <c r="G192" s="30" t="s">
        <v>3432</v>
      </c>
    </row>
    <row r="193" customFormat="false" ht="15" hidden="false" customHeight="false" outlineLevel="0" collapsed="false">
      <c r="A193" s="28" t="n">
        <v>29913</v>
      </c>
      <c r="B193" s="28" t="n">
        <v>29919</v>
      </c>
      <c r="C193" s="21" t="n">
        <v>0</v>
      </c>
      <c r="D193" s="21" t="n">
        <v>0</v>
      </c>
      <c r="E193" s="21" t="n">
        <v>0</v>
      </c>
      <c r="F193" s="21" t="n">
        <v>0</v>
      </c>
      <c r="G193" s="30" t="s">
        <v>3432</v>
      </c>
    </row>
    <row r="194" customFormat="false" ht="15" hidden="false" customHeight="false" outlineLevel="0" collapsed="false">
      <c r="A194" s="28" t="n">
        <v>29920</v>
      </c>
      <c r="B194" s="28" t="n">
        <v>29926</v>
      </c>
      <c r="C194" s="21" t="n">
        <v>0</v>
      </c>
      <c r="D194" s="21" t="n">
        <v>0</v>
      </c>
      <c r="E194" s="21" t="n">
        <v>0</v>
      </c>
      <c r="F194" s="21" t="n">
        <v>0</v>
      </c>
      <c r="G194" s="30" t="s">
        <v>3432</v>
      </c>
    </row>
    <row r="195" customFormat="false" ht="15" hidden="false" customHeight="false" outlineLevel="0" collapsed="false">
      <c r="A195" s="28" t="n">
        <v>29927</v>
      </c>
      <c r="B195" s="28" t="n">
        <v>29933</v>
      </c>
      <c r="C195" s="21" t="n">
        <v>0</v>
      </c>
      <c r="D195" s="21" t="n">
        <v>0</v>
      </c>
      <c r="E195" s="21" t="n">
        <v>0</v>
      </c>
      <c r="F195" s="21" t="n">
        <v>0</v>
      </c>
      <c r="G195" s="30" t="s">
        <v>3432</v>
      </c>
    </row>
    <row r="196" customFormat="false" ht="15" hidden="false" customHeight="false" outlineLevel="0" collapsed="false">
      <c r="A196" s="28" t="n">
        <v>29934</v>
      </c>
      <c r="B196" s="28" t="n">
        <v>29940</v>
      </c>
      <c r="C196" s="21" t="n">
        <v>0</v>
      </c>
      <c r="D196" s="21" t="n">
        <v>0</v>
      </c>
      <c r="E196" s="21" t="n">
        <v>0</v>
      </c>
      <c r="F196" s="21" t="n">
        <v>0</v>
      </c>
      <c r="G196" s="30" t="s">
        <v>3432</v>
      </c>
    </row>
    <row r="197" customFormat="false" ht="15" hidden="false" customHeight="false" outlineLevel="0" collapsed="false">
      <c r="A197" s="28" t="n">
        <v>29941</v>
      </c>
      <c r="B197" s="28" t="n">
        <v>29947</v>
      </c>
      <c r="C197" s="21" t="n">
        <v>0</v>
      </c>
      <c r="D197" s="21" t="n">
        <v>0</v>
      </c>
      <c r="E197" s="21" t="n">
        <v>0</v>
      </c>
      <c r="F197" s="21" t="n">
        <v>0</v>
      </c>
      <c r="G197" s="30" t="s">
        <v>3432</v>
      </c>
    </row>
    <row r="198" customFormat="false" ht="15" hidden="false" customHeight="false" outlineLevel="0" collapsed="false">
      <c r="A198" s="28" t="n">
        <v>29948</v>
      </c>
      <c r="B198" s="28" t="n">
        <v>29954</v>
      </c>
      <c r="C198" s="21" t="n">
        <v>0</v>
      </c>
      <c r="D198" s="21" t="n">
        <v>0</v>
      </c>
      <c r="E198" s="21" t="n">
        <v>0</v>
      </c>
      <c r="F198" s="21" t="n">
        <v>0</v>
      </c>
      <c r="G198" s="30" t="s">
        <v>3432</v>
      </c>
    </row>
    <row r="199" customFormat="false" ht="15" hidden="false" customHeight="false" outlineLevel="0" collapsed="false">
      <c r="A199" s="28" t="n">
        <v>29955</v>
      </c>
      <c r="B199" s="28" t="n">
        <v>29961</v>
      </c>
      <c r="C199" s="21" t="n">
        <v>0</v>
      </c>
      <c r="D199" s="21" t="n">
        <v>0</v>
      </c>
      <c r="E199" s="21" t="n">
        <v>0</v>
      </c>
      <c r="F199" s="21" t="n">
        <v>0</v>
      </c>
      <c r="G199" s="30" t="s">
        <v>3432</v>
      </c>
    </row>
    <row r="200" customFormat="false" ht="15" hidden="false" customHeight="false" outlineLevel="0" collapsed="false">
      <c r="A200" s="28" t="n">
        <v>29962</v>
      </c>
      <c r="B200" s="28" t="n">
        <v>29968</v>
      </c>
      <c r="C200" s="21" t="n">
        <v>0</v>
      </c>
      <c r="D200" s="21" t="n">
        <v>0</v>
      </c>
      <c r="E200" s="21" t="n">
        <v>0</v>
      </c>
      <c r="F200" s="21" t="n">
        <v>0</v>
      </c>
      <c r="G200" s="30" t="s">
        <v>3432</v>
      </c>
    </row>
    <row r="201" customFormat="false" ht="15" hidden="false" customHeight="false" outlineLevel="0" collapsed="false">
      <c r="A201" s="28" t="n">
        <v>29969</v>
      </c>
      <c r="B201" s="28" t="n">
        <v>29975</v>
      </c>
      <c r="C201" s="21" t="n">
        <v>0</v>
      </c>
      <c r="D201" s="21" t="n">
        <v>0</v>
      </c>
      <c r="E201" s="21" t="n">
        <v>0</v>
      </c>
      <c r="F201" s="21" t="n">
        <v>0</v>
      </c>
      <c r="G201" s="30" t="s">
        <v>3432</v>
      </c>
    </row>
    <row r="202" customFormat="false" ht="15" hidden="false" customHeight="false" outlineLevel="0" collapsed="false">
      <c r="A202" s="28" t="n">
        <v>29976</v>
      </c>
      <c r="B202" s="28" t="n">
        <v>29982</v>
      </c>
      <c r="C202" s="21" t="n">
        <v>0</v>
      </c>
      <c r="D202" s="21" t="n">
        <v>0</v>
      </c>
      <c r="E202" s="21" t="n">
        <v>0</v>
      </c>
      <c r="F202" s="21" t="n">
        <v>0</v>
      </c>
      <c r="G202" s="30" t="s">
        <v>3432</v>
      </c>
    </row>
    <row r="203" customFormat="false" ht="15" hidden="false" customHeight="false" outlineLevel="0" collapsed="false">
      <c r="A203" s="28" t="n">
        <v>29983</v>
      </c>
      <c r="B203" s="28" t="n">
        <v>29989</v>
      </c>
      <c r="C203" s="21" t="n">
        <v>0</v>
      </c>
      <c r="D203" s="21" t="n">
        <v>0</v>
      </c>
      <c r="E203" s="21" t="n">
        <v>0</v>
      </c>
      <c r="F203" s="21" t="n">
        <v>0</v>
      </c>
      <c r="G203" s="30" t="s">
        <v>3432</v>
      </c>
    </row>
    <row r="204" customFormat="false" ht="15" hidden="false" customHeight="false" outlineLevel="0" collapsed="false">
      <c r="A204" s="28" t="n">
        <v>29990</v>
      </c>
      <c r="B204" s="28" t="n">
        <v>29996</v>
      </c>
      <c r="C204" s="21" t="n">
        <v>0</v>
      </c>
      <c r="D204" s="21" t="n">
        <v>0</v>
      </c>
      <c r="E204" s="21" t="n">
        <v>0</v>
      </c>
      <c r="F204" s="21" t="n">
        <v>0</v>
      </c>
      <c r="G204" s="30" t="s">
        <v>3432</v>
      </c>
    </row>
    <row r="205" customFormat="false" ht="15" hidden="false" customHeight="false" outlineLevel="0" collapsed="false">
      <c r="A205" s="28" t="n">
        <v>29997</v>
      </c>
      <c r="B205" s="28" t="n">
        <v>30003</v>
      </c>
      <c r="C205" s="21" t="n">
        <v>0</v>
      </c>
      <c r="D205" s="21" t="n">
        <v>0</v>
      </c>
      <c r="E205" s="21" t="n">
        <v>0</v>
      </c>
      <c r="F205" s="21" t="n">
        <v>0</v>
      </c>
      <c r="G205" s="30" t="s">
        <v>3432</v>
      </c>
    </row>
    <row r="206" customFormat="false" ht="15" hidden="false" customHeight="false" outlineLevel="0" collapsed="false">
      <c r="A206" s="28" t="n">
        <v>30004</v>
      </c>
      <c r="B206" s="28" t="n">
        <v>30010</v>
      </c>
      <c r="C206" s="21" t="n">
        <v>0</v>
      </c>
      <c r="D206" s="21" t="n">
        <v>0</v>
      </c>
      <c r="E206" s="21" t="n">
        <v>0</v>
      </c>
      <c r="F206" s="21" t="n">
        <v>0</v>
      </c>
      <c r="G206" s="30" t="s">
        <v>3432</v>
      </c>
    </row>
    <row r="207" customFormat="false" ht="15" hidden="false" customHeight="false" outlineLevel="0" collapsed="false">
      <c r="A207" s="28" t="n">
        <v>30011</v>
      </c>
      <c r="B207" s="28" t="n">
        <v>30017</v>
      </c>
      <c r="C207" s="21" t="n">
        <v>0</v>
      </c>
      <c r="D207" s="21" t="n">
        <v>0</v>
      </c>
      <c r="E207" s="21" t="n">
        <v>0</v>
      </c>
      <c r="F207" s="21" t="n">
        <v>0</v>
      </c>
      <c r="G207" s="30" t="s">
        <v>3432</v>
      </c>
    </row>
    <row r="208" customFormat="false" ht="15" hidden="false" customHeight="false" outlineLevel="0" collapsed="false">
      <c r="A208" s="28" t="n">
        <v>30018</v>
      </c>
      <c r="B208" s="28" t="n">
        <v>30024</v>
      </c>
      <c r="C208" s="21" t="n">
        <v>0</v>
      </c>
      <c r="D208" s="21" t="n">
        <v>0</v>
      </c>
      <c r="E208" s="21" t="n">
        <v>0</v>
      </c>
      <c r="F208" s="21" t="n">
        <v>0</v>
      </c>
      <c r="G208" s="30" t="s">
        <v>3432</v>
      </c>
    </row>
    <row r="209" customFormat="false" ht="15" hidden="false" customHeight="false" outlineLevel="0" collapsed="false">
      <c r="A209" s="28" t="n">
        <v>30025</v>
      </c>
      <c r="B209" s="28" t="n">
        <v>30031</v>
      </c>
      <c r="C209" s="21" t="n">
        <v>0</v>
      </c>
      <c r="D209" s="21" t="n">
        <v>0</v>
      </c>
      <c r="E209" s="21" t="n">
        <v>0</v>
      </c>
      <c r="F209" s="21" t="n">
        <v>0</v>
      </c>
      <c r="G209" s="30" t="s">
        <v>3432</v>
      </c>
    </row>
    <row r="210" customFormat="false" ht="15" hidden="false" customHeight="false" outlineLevel="0" collapsed="false">
      <c r="A210" s="28" t="n">
        <v>30032</v>
      </c>
      <c r="B210" s="28" t="n">
        <v>30038</v>
      </c>
      <c r="C210" s="21" t="n">
        <v>0</v>
      </c>
      <c r="D210" s="21" t="n">
        <v>0</v>
      </c>
      <c r="E210" s="21" t="n">
        <v>0</v>
      </c>
      <c r="F210" s="21" t="n">
        <v>0</v>
      </c>
      <c r="G210" s="30" t="s">
        <v>3432</v>
      </c>
    </row>
    <row r="211" customFormat="false" ht="15" hidden="false" customHeight="false" outlineLevel="0" collapsed="false">
      <c r="A211" s="28" t="n">
        <v>30039</v>
      </c>
      <c r="B211" s="28" t="n">
        <v>30045</v>
      </c>
      <c r="C211" s="21" t="n">
        <v>0</v>
      </c>
      <c r="D211" s="21" t="n">
        <v>0</v>
      </c>
      <c r="E211" s="21" t="n">
        <v>0</v>
      </c>
      <c r="F211" s="21" t="n">
        <v>0</v>
      </c>
      <c r="G211" s="30" t="s">
        <v>3432</v>
      </c>
    </row>
    <row r="212" customFormat="false" ht="15" hidden="false" customHeight="false" outlineLevel="0" collapsed="false">
      <c r="A212" s="28" t="n">
        <v>30046</v>
      </c>
      <c r="B212" s="28" t="n">
        <v>30052</v>
      </c>
      <c r="C212" s="21" t="n">
        <v>0</v>
      </c>
      <c r="D212" s="21" t="n">
        <v>0</v>
      </c>
      <c r="E212" s="21" t="n">
        <v>0</v>
      </c>
      <c r="F212" s="21" t="n">
        <v>0</v>
      </c>
      <c r="G212" s="30" t="s">
        <v>3432</v>
      </c>
    </row>
    <row r="213" customFormat="false" ht="15" hidden="false" customHeight="false" outlineLevel="0" collapsed="false">
      <c r="A213" s="28" t="n">
        <v>30053</v>
      </c>
      <c r="B213" s="28" t="n">
        <v>30059</v>
      </c>
      <c r="C213" s="21" t="n">
        <v>0</v>
      </c>
      <c r="D213" s="21" t="n">
        <v>0</v>
      </c>
      <c r="E213" s="21" t="n">
        <v>0</v>
      </c>
      <c r="F213" s="21" t="n">
        <v>0</v>
      </c>
      <c r="G213" s="30" t="s">
        <v>3432</v>
      </c>
    </row>
    <row r="214" customFormat="false" ht="15" hidden="false" customHeight="false" outlineLevel="0" collapsed="false">
      <c r="A214" s="28" t="n">
        <v>30060</v>
      </c>
      <c r="B214" s="28" t="n">
        <v>30066</v>
      </c>
      <c r="C214" s="21" t="n">
        <v>0</v>
      </c>
      <c r="D214" s="21" t="n">
        <v>0</v>
      </c>
      <c r="E214" s="21" t="n">
        <v>0</v>
      </c>
      <c r="F214" s="21" t="n">
        <v>0</v>
      </c>
      <c r="G214" s="30" t="s">
        <v>3432</v>
      </c>
    </row>
    <row r="215" customFormat="false" ht="15" hidden="false" customHeight="false" outlineLevel="0" collapsed="false">
      <c r="A215" s="28" t="n">
        <v>30067</v>
      </c>
      <c r="B215" s="28" t="n">
        <v>30073</v>
      </c>
      <c r="C215" s="21" t="n">
        <v>0</v>
      </c>
      <c r="D215" s="21" t="n">
        <v>0</v>
      </c>
      <c r="E215" s="21" t="n">
        <v>0</v>
      </c>
      <c r="F215" s="21" t="n">
        <v>0</v>
      </c>
      <c r="G215" s="30" t="s">
        <v>3432</v>
      </c>
    </row>
    <row r="216" customFormat="false" ht="15" hidden="false" customHeight="false" outlineLevel="0" collapsed="false">
      <c r="A216" s="28" t="n">
        <v>30074</v>
      </c>
      <c r="B216" s="28" t="n">
        <v>30080</v>
      </c>
      <c r="C216" s="21" t="n">
        <v>0</v>
      </c>
      <c r="D216" s="21" t="n">
        <v>0</v>
      </c>
      <c r="E216" s="21" t="n">
        <v>0</v>
      </c>
      <c r="F216" s="21" t="n">
        <v>0</v>
      </c>
      <c r="G216" s="30" t="s">
        <v>3432</v>
      </c>
    </row>
    <row r="217" customFormat="false" ht="15" hidden="false" customHeight="false" outlineLevel="0" collapsed="false">
      <c r="A217" s="28" t="n">
        <v>30081</v>
      </c>
      <c r="B217" s="28" t="n">
        <v>30087</v>
      </c>
      <c r="C217" s="21" t="n">
        <v>0</v>
      </c>
      <c r="D217" s="21" t="n">
        <v>0</v>
      </c>
      <c r="E217" s="21" t="n">
        <v>0</v>
      </c>
      <c r="F217" s="21" t="n">
        <v>0</v>
      </c>
      <c r="G217" s="30" t="s">
        <v>3432</v>
      </c>
    </row>
    <row r="218" customFormat="false" ht="15" hidden="false" customHeight="false" outlineLevel="0" collapsed="false">
      <c r="A218" s="28" t="n">
        <v>30088</v>
      </c>
      <c r="B218" s="28" t="n">
        <v>30094</v>
      </c>
      <c r="C218" s="21" t="n">
        <v>0</v>
      </c>
      <c r="D218" s="21" t="n">
        <v>0</v>
      </c>
      <c r="E218" s="21" t="n">
        <v>0</v>
      </c>
      <c r="F218" s="21" t="n">
        <v>0</v>
      </c>
      <c r="G218" s="30" t="s">
        <v>3432</v>
      </c>
    </row>
    <row r="219" customFormat="false" ht="15" hidden="false" customHeight="false" outlineLevel="0" collapsed="false">
      <c r="A219" s="28" t="n">
        <v>30095</v>
      </c>
      <c r="B219" s="28" t="n">
        <v>30101</v>
      </c>
      <c r="C219" s="21" t="n">
        <v>0</v>
      </c>
      <c r="D219" s="21" t="n">
        <v>0</v>
      </c>
      <c r="E219" s="21" t="n">
        <v>0</v>
      </c>
      <c r="F219" s="21" t="n">
        <v>0</v>
      </c>
      <c r="G219" s="30" t="s">
        <v>3432</v>
      </c>
    </row>
    <row r="220" customFormat="false" ht="15" hidden="false" customHeight="false" outlineLevel="0" collapsed="false">
      <c r="A220" s="28" t="n">
        <v>30102</v>
      </c>
      <c r="B220" s="28" t="n">
        <v>30108</v>
      </c>
      <c r="C220" s="21" t="n">
        <v>0</v>
      </c>
      <c r="D220" s="21" t="n">
        <v>0</v>
      </c>
      <c r="E220" s="21" t="n">
        <v>0</v>
      </c>
      <c r="F220" s="21" t="n">
        <v>0</v>
      </c>
      <c r="G220" s="30" t="s">
        <v>3432</v>
      </c>
    </row>
    <row r="221" customFormat="false" ht="15" hidden="false" customHeight="false" outlineLevel="0" collapsed="false">
      <c r="A221" s="28" t="n">
        <v>30109</v>
      </c>
      <c r="B221" s="28" t="n">
        <v>30115</v>
      </c>
      <c r="C221" s="21" t="n">
        <v>0</v>
      </c>
      <c r="D221" s="21" t="n">
        <v>0</v>
      </c>
      <c r="E221" s="21" t="n">
        <v>0</v>
      </c>
      <c r="F221" s="21" t="n">
        <v>0</v>
      </c>
      <c r="G221" s="30" t="s">
        <v>3432</v>
      </c>
    </row>
    <row r="222" customFormat="false" ht="15" hidden="false" customHeight="false" outlineLevel="0" collapsed="false">
      <c r="A222" s="28" t="n">
        <v>30116</v>
      </c>
      <c r="B222" s="28" t="n">
        <v>30122</v>
      </c>
      <c r="C222" s="21" t="n">
        <v>0</v>
      </c>
      <c r="D222" s="21" t="n">
        <v>0</v>
      </c>
      <c r="E222" s="21" t="n">
        <v>0</v>
      </c>
      <c r="F222" s="21" t="n">
        <v>0</v>
      </c>
      <c r="G222" s="30" t="s">
        <v>3432</v>
      </c>
    </row>
    <row r="223" customFormat="false" ht="15" hidden="false" customHeight="false" outlineLevel="0" collapsed="false">
      <c r="A223" s="28" t="n">
        <v>30123</v>
      </c>
      <c r="B223" s="28" t="n">
        <v>30129</v>
      </c>
      <c r="C223" s="21" t="n">
        <v>0</v>
      </c>
      <c r="D223" s="21" t="n">
        <v>0</v>
      </c>
      <c r="E223" s="21" t="n">
        <v>0</v>
      </c>
      <c r="F223" s="21" t="n">
        <v>0</v>
      </c>
      <c r="G223" s="30" t="s">
        <v>3432</v>
      </c>
    </row>
    <row r="224" customFormat="false" ht="15" hidden="false" customHeight="false" outlineLevel="0" collapsed="false">
      <c r="A224" s="28" t="n">
        <v>30130</v>
      </c>
      <c r="B224" s="28" t="n">
        <v>30136</v>
      </c>
      <c r="C224" s="21" t="n">
        <v>0</v>
      </c>
      <c r="D224" s="21" t="n">
        <v>0</v>
      </c>
      <c r="E224" s="21" t="n">
        <v>0</v>
      </c>
      <c r="F224" s="21" t="n">
        <v>0</v>
      </c>
      <c r="G224" s="30" t="s">
        <v>3432</v>
      </c>
    </row>
    <row r="225" customFormat="false" ht="15" hidden="false" customHeight="false" outlineLevel="0" collapsed="false">
      <c r="A225" s="28" t="n">
        <v>30137</v>
      </c>
      <c r="B225" s="28" t="n">
        <v>30143</v>
      </c>
      <c r="C225" s="21" t="n">
        <v>0</v>
      </c>
      <c r="D225" s="21" t="n">
        <v>0</v>
      </c>
      <c r="E225" s="21" t="n">
        <v>0</v>
      </c>
      <c r="F225" s="21" t="n">
        <v>0</v>
      </c>
      <c r="G225" s="30" t="s">
        <v>3432</v>
      </c>
    </row>
    <row r="226" customFormat="false" ht="15" hidden="false" customHeight="false" outlineLevel="0" collapsed="false">
      <c r="A226" s="28" t="n">
        <v>30144</v>
      </c>
      <c r="B226" s="28" t="n">
        <v>30150</v>
      </c>
      <c r="C226" s="21" t="n">
        <v>0</v>
      </c>
      <c r="D226" s="21" t="n">
        <v>0</v>
      </c>
      <c r="E226" s="21" t="n">
        <v>0</v>
      </c>
      <c r="F226" s="21" t="n">
        <v>0</v>
      </c>
      <c r="G226" s="30" t="s">
        <v>3432</v>
      </c>
    </row>
    <row r="227" customFormat="false" ht="15" hidden="false" customHeight="false" outlineLevel="0" collapsed="false">
      <c r="A227" s="28" t="n">
        <v>30151</v>
      </c>
      <c r="B227" s="28" t="n">
        <v>30157</v>
      </c>
      <c r="C227" s="21" t="n">
        <v>0</v>
      </c>
      <c r="D227" s="21" t="n">
        <v>0</v>
      </c>
      <c r="E227" s="21" t="n">
        <v>0</v>
      </c>
      <c r="F227" s="21" t="n">
        <v>0</v>
      </c>
      <c r="G227" s="30" t="s">
        <v>3432</v>
      </c>
    </row>
    <row r="228" customFormat="false" ht="15" hidden="false" customHeight="false" outlineLevel="0" collapsed="false">
      <c r="A228" s="28" t="n">
        <v>30158</v>
      </c>
      <c r="B228" s="28" t="n">
        <v>30164</v>
      </c>
      <c r="C228" s="21" t="n">
        <v>0</v>
      </c>
      <c r="D228" s="21" t="n">
        <v>0</v>
      </c>
      <c r="E228" s="21" t="n">
        <v>0</v>
      </c>
      <c r="F228" s="21" t="n">
        <v>0</v>
      </c>
      <c r="G228" s="30" t="s">
        <v>3432</v>
      </c>
    </row>
    <row r="229" customFormat="false" ht="15" hidden="false" customHeight="false" outlineLevel="0" collapsed="false">
      <c r="A229" s="28" t="n">
        <v>30165</v>
      </c>
      <c r="B229" s="28" t="n">
        <v>30171</v>
      </c>
      <c r="C229" s="21" t="n">
        <v>0</v>
      </c>
      <c r="D229" s="21" t="n">
        <v>0</v>
      </c>
      <c r="E229" s="21" t="n">
        <v>0</v>
      </c>
      <c r="F229" s="21" t="n">
        <v>0</v>
      </c>
      <c r="G229" s="30" t="s">
        <v>3432</v>
      </c>
    </row>
    <row r="230" customFormat="false" ht="15" hidden="false" customHeight="false" outlineLevel="0" collapsed="false">
      <c r="A230" s="28" t="n">
        <v>30172</v>
      </c>
      <c r="B230" s="28" t="n">
        <v>30178</v>
      </c>
      <c r="C230" s="21" t="n">
        <v>0</v>
      </c>
      <c r="D230" s="21" t="n">
        <v>0</v>
      </c>
      <c r="E230" s="21" t="n">
        <v>0</v>
      </c>
      <c r="F230" s="21" t="n">
        <v>0</v>
      </c>
      <c r="G230" s="30" t="s">
        <v>3432</v>
      </c>
    </row>
    <row r="231" customFormat="false" ht="15" hidden="false" customHeight="false" outlineLevel="0" collapsed="false">
      <c r="A231" s="28" t="n">
        <v>30179</v>
      </c>
      <c r="B231" s="28" t="n">
        <v>30185</v>
      </c>
      <c r="C231" s="21" t="n">
        <v>0</v>
      </c>
      <c r="D231" s="21" t="n">
        <v>0</v>
      </c>
      <c r="E231" s="21" t="n">
        <v>0</v>
      </c>
      <c r="F231" s="21" t="n">
        <v>0</v>
      </c>
      <c r="G231" s="30" t="s">
        <v>3432</v>
      </c>
    </row>
    <row r="232" customFormat="false" ht="15" hidden="false" customHeight="false" outlineLevel="0" collapsed="false">
      <c r="A232" s="28" t="n">
        <v>30186</v>
      </c>
      <c r="B232" s="28" t="n">
        <v>30192</v>
      </c>
      <c r="C232" s="21" t="n">
        <v>0</v>
      </c>
      <c r="D232" s="21" t="n">
        <v>0</v>
      </c>
      <c r="E232" s="21" t="n">
        <v>0</v>
      </c>
      <c r="F232" s="21" t="n">
        <v>0</v>
      </c>
      <c r="G232" s="30" t="s">
        <v>3432</v>
      </c>
    </row>
    <row r="233" customFormat="false" ht="15" hidden="false" customHeight="false" outlineLevel="0" collapsed="false">
      <c r="A233" s="28" t="n">
        <v>30193</v>
      </c>
      <c r="B233" s="28" t="n">
        <v>30199</v>
      </c>
      <c r="C233" s="21" t="n">
        <v>0</v>
      </c>
      <c r="D233" s="21" t="n">
        <v>0</v>
      </c>
      <c r="E233" s="21" t="n">
        <v>0</v>
      </c>
      <c r="F233" s="21" t="n">
        <v>0</v>
      </c>
      <c r="G233" s="30" t="s">
        <v>3432</v>
      </c>
    </row>
    <row r="234" customFormat="false" ht="15" hidden="false" customHeight="false" outlineLevel="0" collapsed="false">
      <c r="A234" s="28" t="n">
        <v>30200</v>
      </c>
      <c r="B234" s="28" t="n">
        <v>30206</v>
      </c>
      <c r="C234" s="21" t="n">
        <v>0</v>
      </c>
      <c r="D234" s="21" t="n">
        <v>0</v>
      </c>
      <c r="E234" s="21" t="n">
        <v>0</v>
      </c>
      <c r="F234" s="21" t="n">
        <v>0</v>
      </c>
      <c r="G234" s="30" t="s">
        <v>3432</v>
      </c>
    </row>
    <row r="235" customFormat="false" ht="15" hidden="false" customHeight="false" outlineLevel="0" collapsed="false">
      <c r="A235" s="28" t="n">
        <v>30207</v>
      </c>
      <c r="B235" s="28" t="n">
        <v>30213</v>
      </c>
      <c r="C235" s="21" t="n">
        <v>0</v>
      </c>
      <c r="D235" s="21" t="n">
        <v>0</v>
      </c>
      <c r="E235" s="21" t="n">
        <v>0</v>
      </c>
      <c r="F235" s="21" t="n">
        <v>0</v>
      </c>
      <c r="G235" s="30" t="s">
        <v>3432</v>
      </c>
    </row>
    <row r="236" customFormat="false" ht="15" hidden="false" customHeight="false" outlineLevel="0" collapsed="false">
      <c r="A236" s="28" t="n">
        <v>30214</v>
      </c>
      <c r="B236" s="28" t="n">
        <v>30220</v>
      </c>
      <c r="C236" s="21" t="n">
        <v>0</v>
      </c>
      <c r="D236" s="21" t="n">
        <v>0</v>
      </c>
      <c r="E236" s="21" t="n">
        <v>0</v>
      </c>
      <c r="F236" s="21" t="n">
        <v>0</v>
      </c>
      <c r="G236" s="30" t="s">
        <v>3432</v>
      </c>
    </row>
    <row r="237" customFormat="false" ht="15" hidden="false" customHeight="false" outlineLevel="0" collapsed="false">
      <c r="A237" s="28" t="n">
        <v>30221</v>
      </c>
      <c r="B237" s="28" t="n">
        <v>30227</v>
      </c>
      <c r="C237" s="21" t="n">
        <v>0</v>
      </c>
      <c r="D237" s="21" t="n">
        <v>0</v>
      </c>
      <c r="E237" s="21" t="n">
        <v>0</v>
      </c>
      <c r="F237" s="21" t="n">
        <v>0</v>
      </c>
      <c r="G237" s="30" t="s">
        <v>3432</v>
      </c>
    </row>
    <row r="238" customFormat="false" ht="15" hidden="false" customHeight="false" outlineLevel="0" collapsed="false">
      <c r="A238" s="28" t="n">
        <v>30228</v>
      </c>
      <c r="B238" s="28" t="n">
        <v>30234</v>
      </c>
      <c r="C238" s="21" t="n">
        <v>0</v>
      </c>
      <c r="D238" s="21" t="n">
        <v>0</v>
      </c>
      <c r="E238" s="21" t="n">
        <v>0</v>
      </c>
      <c r="F238" s="21" t="n">
        <v>0</v>
      </c>
      <c r="G238" s="30" t="s">
        <v>3432</v>
      </c>
    </row>
    <row r="239" customFormat="false" ht="15" hidden="false" customHeight="false" outlineLevel="0" collapsed="false">
      <c r="A239" s="28" t="n">
        <v>30235</v>
      </c>
      <c r="B239" s="28" t="n">
        <v>30241</v>
      </c>
      <c r="C239" s="21" t="n">
        <v>0</v>
      </c>
      <c r="D239" s="21" t="n">
        <v>0</v>
      </c>
      <c r="E239" s="21" t="n">
        <v>0</v>
      </c>
      <c r="F239" s="21" t="n">
        <v>0</v>
      </c>
      <c r="G239" s="30" t="s">
        <v>3432</v>
      </c>
    </row>
    <row r="240" customFormat="false" ht="15" hidden="false" customHeight="false" outlineLevel="0" collapsed="false">
      <c r="A240" s="28" t="n">
        <v>30242</v>
      </c>
      <c r="B240" s="28" t="n">
        <v>30248</v>
      </c>
      <c r="C240" s="21" t="n">
        <v>0</v>
      </c>
      <c r="D240" s="21" t="n">
        <v>0</v>
      </c>
      <c r="E240" s="21" t="n">
        <v>0</v>
      </c>
      <c r="F240" s="21" t="n">
        <v>0</v>
      </c>
      <c r="G240" s="30" t="s">
        <v>3432</v>
      </c>
    </row>
    <row r="241" customFormat="false" ht="15" hidden="false" customHeight="false" outlineLevel="0" collapsed="false">
      <c r="A241" s="28" t="n">
        <v>30249</v>
      </c>
      <c r="B241" s="28" t="n">
        <v>30255</v>
      </c>
      <c r="C241" s="21" t="n">
        <v>0</v>
      </c>
      <c r="D241" s="21" t="n">
        <v>0</v>
      </c>
      <c r="E241" s="21" t="n">
        <v>0</v>
      </c>
      <c r="F241" s="21" t="n">
        <v>0</v>
      </c>
      <c r="G241" s="30" t="s">
        <v>3432</v>
      </c>
    </row>
    <row r="242" customFormat="false" ht="15" hidden="false" customHeight="false" outlineLevel="0" collapsed="false">
      <c r="A242" s="28" t="n">
        <v>30256</v>
      </c>
      <c r="B242" s="28" t="n">
        <v>30262</v>
      </c>
      <c r="C242" s="21" t="n">
        <v>0</v>
      </c>
      <c r="D242" s="21" t="n">
        <v>0</v>
      </c>
      <c r="E242" s="21" t="n">
        <v>0</v>
      </c>
      <c r="F242" s="21" t="n">
        <v>0</v>
      </c>
      <c r="G242" s="30" t="s">
        <v>3432</v>
      </c>
    </row>
    <row r="243" customFormat="false" ht="15" hidden="false" customHeight="false" outlineLevel="0" collapsed="false">
      <c r="A243" s="28" t="n">
        <v>30263</v>
      </c>
      <c r="B243" s="28" t="n">
        <v>30269</v>
      </c>
      <c r="C243" s="21" t="n">
        <v>0</v>
      </c>
      <c r="D243" s="21" t="n">
        <v>0</v>
      </c>
      <c r="E243" s="21" t="n">
        <v>0</v>
      </c>
      <c r="F243" s="21" t="n">
        <v>0</v>
      </c>
      <c r="G243" s="30" t="s">
        <v>3432</v>
      </c>
    </row>
    <row r="244" customFormat="false" ht="15" hidden="false" customHeight="false" outlineLevel="0" collapsed="false">
      <c r="A244" s="28" t="n">
        <v>30270</v>
      </c>
      <c r="B244" s="28" t="n">
        <v>30276</v>
      </c>
      <c r="C244" s="21" t="n">
        <v>0</v>
      </c>
      <c r="D244" s="21" t="n">
        <v>0</v>
      </c>
      <c r="E244" s="21" t="n">
        <v>0</v>
      </c>
      <c r="F244" s="21" t="n">
        <v>0</v>
      </c>
      <c r="G244" s="30" t="s">
        <v>3432</v>
      </c>
    </row>
    <row r="245" customFormat="false" ht="15" hidden="false" customHeight="false" outlineLevel="0" collapsed="false">
      <c r="A245" s="28" t="n">
        <v>30277</v>
      </c>
      <c r="B245" s="28" t="n">
        <v>30283</v>
      </c>
      <c r="C245" s="21" t="n">
        <v>0</v>
      </c>
      <c r="D245" s="21" t="n">
        <v>0</v>
      </c>
      <c r="E245" s="21" t="n">
        <v>0</v>
      </c>
      <c r="F245" s="21" t="n">
        <v>0</v>
      </c>
      <c r="G245" s="30" t="s">
        <v>3432</v>
      </c>
    </row>
    <row r="246" customFormat="false" ht="15" hidden="false" customHeight="false" outlineLevel="0" collapsed="false">
      <c r="A246" s="28" t="n">
        <v>30284</v>
      </c>
      <c r="B246" s="28" t="n">
        <v>30290</v>
      </c>
      <c r="C246" s="21" t="n">
        <v>0</v>
      </c>
      <c r="D246" s="21" t="n">
        <v>0</v>
      </c>
      <c r="E246" s="21" t="n">
        <v>0</v>
      </c>
      <c r="F246" s="21" t="n">
        <v>0</v>
      </c>
      <c r="G246" s="30" t="s">
        <v>3432</v>
      </c>
    </row>
    <row r="247" customFormat="false" ht="15" hidden="false" customHeight="false" outlineLevel="0" collapsed="false">
      <c r="A247" s="28" t="n">
        <v>30291</v>
      </c>
      <c r="B247" s="28" t="n">
        <v>30297</v>
      </c>
      <c r="C247" s="21" t="n">
        <v>0</v>
      </c>
      <c r="D247" s="21" t="n">
        <v>0</v>
      </c>
      <c r="E247" s="21" t="n">
        <v>0</v>
      </c>
      <c r="F247" s="21" t="n">
        <v>0</v>
      </c>
      <c r="G247" s="30" t="s">
        <v>3432</v>
      </c>
    </row>
    <row r="248" customFormat="false" ht="15" hidden="false" customHeight="false" outlineLevel="0" collapsed="false">
      <c r="A248" s="28" t="n">
        <v>30298</v>
      </c>
      <c r="B248" s="28" t="n">
        <v>30304</v>
      </c>
      <c r="C248" s="21" t="n">
        <v>0</v>
      </c>
      <c r="D248" s="21" t="n">
        <v>0</v>
      </c>
      <c r="E248" s="21" t="n">
        <v>0</v>
      </c>
      <c r="F248" s="21" t="n">
        <v>0</v>
      </c>
      <c r="G248" s="30" t="s">
        <v>3432</v>
      </c>
    </row>
    <row r="249" customFormat="false" ht="15" hidden="false" customHeight="false" outlineLevel="0" collapsed="false">
      <c r="A249" s="28" t="n">
        <v>30305</v>
      </c>
      <c r="B249" s="28" t="n">
        <v>30311</v>
      </c>
      <c r="C249" s="21" t="n">
        <v>0</v>
      </c>
      <c r="D249" s="21" t="n">
        <v>0</v>
      </c>
      <c r="E249" s="21" t="n">
        <v>0</v>
      </c>
      <c r="F249" s="21" t="n">
        <v>0</v>
      </c>
      <c r="G249" s="30" t="s">
        <v>3432</v>
      </c>
    </row>
    <row r="250" customFormat="false" ht="15" hidden="false" customHeight="false" outlineLevel="0" collapsed="false">
      <c r="A250" s="28" t="n">
        <v>30312</v>
      </c>
      <c r="B250" s="28" t="n">
        <v>30318</v>
      </c>
      <c r="C250" s="21" t="n">
        <v>0</v>
      </c>
      <c r="D250" s="21" t="n">
        <v>0</v>
      </c>
      <c r="E250" s="21" t="n">
        <v>0</v>
      </c>
      <c r="F250" s="21" t="n">
        <v>0</v>
      </c>
      <c r="G250" s="30" t="s">
        <v>3432</v>
      </c>
    </row>
    <row r="251" customFormat="false" ht="15" hidden="false" customHeight="false" outlineLevel="0" collapsed="false">
      <c r="A251" s="28" t="n">
        <v>30319</v>
      </c>
      <c r="B251" s="28" t="n">
        <v>30325</v>
      </c>
      <c r="C251" s="21" t="n">
        <v>0</v>
      </c>
      <c r="D251" s="21" t="n">
        <v>0</v>
      </c>
      <c r="E251" s="21" t="n">
        <v>0</v>
      </c>
      <c r="F251" s="21" t="n">
        <v>0</v>
      </c>
      <c r="G251" s="30" t="s">
        <v>3432</v>
      </c>
    </row>
    <row r="252" customFormat="false" ht="15" hidden="false" customHeight="false" outlineLevel="0" collapsed="false">
      <c r="A252" s="28" t="n">
        <v>30326</v>
      </c>
      <c r="B252" s="28" t="n">
        <v>30332</v>
      </c>
      <c r="C252" s="21" t="n">
        <v>0</v>
      </c>
      <c r="D252" s="21" t="n">
        <v>0</v>
      </c>
      <c r="E252" s="21" t="n">
        <v>0</v>
      </c>
      <c r="F252" s="21" t="n">
        <v>0</v>
      </c>
      <c r="G252" s="30" t="s">
        <v>3432</v>
      </c>
    </row>
    <row r="253" customFormat="false" ht="15" hidden="false" customHeight="false" outlineLevel="0" collapsed="false">
      <c r="A253" s="28" t="n">
        <v>30333</v>
      </c>
      <c r="B253" s="28" t="n">
        <v>30339</v>
      </c>
      <c r="C253" s="21" t="n">
        <v>0</v>
      </c>
      <c r="D253" s="21" t="n">
        <v>0</v>
      </c>
      <c r="E253" s="21" t="n">
        <v>0</v>
      </c>
      <c r="F253" s="21" t="n">
        <v>0</v>
      </c>
      <c r="G253" s="30" t="s">
        <v>3432</v>
      </c>
    </row>
    <row r="254" customFormat="false" ht="15" hidden="false" customHeight="false" outlineLevel="0" collapsed="false">
      <c r="A254" s="28" t="n">
        <v>30340</v>
      </c>
      <c r="B254" s="28" t="n">
        <v>30346</v>
      </c>
      <c r="C254" s="21" t="n">
        <v>0</v>
      </c>
      <c r="D254" s="21" t="n">
        <v>0</v>
      </c>
      <c r="E254" s="21" t="n">
        <v>0</v>
      </c>
      <c r="F254" s="21" t="n">
        <v>0</v>
      </c>
      <c r="G254" s="30" t="s">
        <v>3432</v>
      </c>
    </row>
    <row r="255" customFormat="false" ht="15" hidden="false" customHeight="false" outlineLevel="0" collapsed="false">
      <c r="A255" s="28" t="n">
        <v>30347</v>
      </c>
      <c r="B255" s="28" t="n">
        <v>30353</v>
      </c>
      <c r="C255" s="21" t="n">
        <v>0</v>
      </c>
      <c r="D255" s="21" t="n">
        <v>0</v>
      </c>
      <c r="E255" s="21" t="n">
        <v>0</v>
      </c>
      <c r="F255" s="21" t="n">
        <v>0</v>
      </c>
      <c r="G255" s="30" t="s">
        <v>3432</v>
      </c>
    </row>
    <row r="256" customFormat="false" ht="15" hidden="false" customHeight="false" outlineLevel="0" collapsed="false">
      <c r="A256" s="28" t="n">
        <v>30354</v>
      </c>
      <c r="B256" s="28" t="n">
        <v>30360</v>
      </c>
      <c r="C256" s="21" t="n">
        <v>0</v>
      </c>
      <c r="D256" s="21" t="n">
        <v>0</v>
      </c>
      <c r="E256" s="21" t="n">
        <v>0</v>
      </c>
      <c r="F256" s="21" t="n">
        <v>0</v>
      </c>
      <c r="G256" s="30" t="s">
        <v>3432</v>
      </c>
    </row>
    <row r="257" customFormat="false" ht="15" hidden="false" customHeight="false" outlineLevel="0" collapsed="false">
      <c r="A257" s="28" t="n">
        <v>30361</v>
      </c>
      <c r="B257" s="28" t="n">
        <v>30367</v>
      </c>
      <c r="C257" s="21" t="n">
        <v>0</v>
      </c>
      <c r="D257" s="21" t="n">
        <v>0</v>
      </c>
      <c r="E257" s="21" t="n">
        <v>0</v>
      </c>
      <c r="F257" s="21" t="n">
        <v>0</v>
      </c>
      <c r="G257" s="30" t="s">
        <v>3432</v>
      </c>
    </row>
    <row r="258" customFormat="false" ht="15" hidden="false" customHeight="false" outlineLevel="0" collapsed="false">
      <c r="A258" s="28" t="n">
        <v>30368</v>
      </c>
      <c r="B258" s="28" t="n">
        <v>30374</v>
      </c>
      <c r="C258" s="21" t="n">
        <v>0</v>
      </c>
      <c r="D258" s="21" t="n">
        <v>0</v>
      </c>
      <c r="E258" s="21" t="n">
        <v>0</v>
      </c>
      <c r="F258" s="21" t="n">
        <v>0</v>
      </c>
      <c r="G258" s="30" t="s">
        <v>3432</v>
      </c>
    </row>
    <row r="259" customFormat="false" ht="15" hidden="false" customHeight="false" outlineLevel="0" collapsed="false">
      <c r="A259" s="28" t="n">
        <v>30375</v>
      </c>
      <c r="B259" s="28" t="n">
        <v>30381</v>
      </c>
      <c r="C259" s="21" t="n">
        <v>0</v>
      </c>
      <c r="D259" s="21" t="n">
        <v>0</v>
      </c>
      <c r="E259" s="21" t="n">
        <v>0</v>
      </c>
      <c r="F259" s="21" t="n">
        <v>0</v>
      </c>
      <c r="G259" s="30" t="s">
        <v>3432</v>
      </c>
    </row>
    <row r="260" customFormat="false" ht="15" hidden="false" customHeight="false" outlineLevel="0" collapsed="false">
      <c r="A260" s="28" t="n">
        <v>30382</v>
      </c>
      <c r="B260" s="28" t="n">
        <v>30388</v>
      </c>
      <c r="C260" s="21" t="n">
        <v>0</v>
      </c>
      <c r="D260" s="21" t="n">
        <v>0</v>
      </c>
      <c r="E260" s="21" t="n">
        <v>0</v>
      </c>
      <c r="F260" s="21" t="n">
        <v>0</v>
      </c>
      <c r="G260" s="30" t="s">
        <v>3432</v>
      </c>
    </row>
    <row r="261" customFormat="false" ht="15" hidden="false" customHeight="false" outlineLevel="0" collapsed="false">
      <c r="A261" s="28" t="n">
        <v>30389</v>
      </c>
      <c r="B261" s="28" t="n">
        <v>30395</v>
      </c>
      <c r="C261" s="21" t="n">
        <v>0</v>
      </c>
      <c r="D261" s="21" t="n">
        <v>0</v>
      </c>
      <c r="E261" s="21" t="n">
        <v>0</v>
      </c>
      <c r="F261" s="21" t="n">
        <v>0</v>
      </c>
      <c r="G261" s="30" t="s">
        <v>3432</v>
      </c>
    </row>
    <row r="262" customFormat="false" ht="15" hidden="false" customHeight="false" outlineLevel="0" collapsed="false">
      <c r="A262" s="28" t="n">
        <v>30396</v>
      </c>
      <c r="B262" s="28" t="n">
        <v>30402</v>
      </c>
      <c r="C262" s="21" t="n">
        <v>0</v>
      </c>
      <c r="D262" s="21" t="n">
        <v>0</v>
      </c>
      <c r="E262" s="21" t="n">
        <v>0</v>
      </c>
      <c r="F262" s="21" t="n">
        <v>0</v>
      </c>
      <c r="G262" s="30" t="s">
        <v>3432</v>
      </c>
    </row>
    <row r="263" customFormat="false" ht="15" hidden="false" customHeight="false" outlineLevel="0" collapsed="false">
      <c r="A263" s="28" t="n">
        <v>30403</v>
      </c>
      <c r="B263" s="28" t="n">
        <v>30409</v>
      </c>
      <c r="C263" s="21" t="n">
        <v>0</v>
      </c>
      <c r="D263" s="21" t="n">
        <v>0</v>
      </c>
      <c r="E263" s="21" t="n">
        <v>0</v>
      </c>
      <c r="F263" s="21" t="n">
        <v>0</v>
      </c>
      <c r="G263" s="30" t="s">
        <v>3432</v>
      </c>
    </row>
    <row r="264" customFormat="false" ht="15" hidden="false" customHeight="false" outlineLevel="0" collapsed="false">
      <c r="A264" s="28" t="n">
        <v>30410</v>
      </c>
      <c r="B264" s="28" t="n">
        <v>30416</v>
      </c>
      <c r="C264" s="21" t="n">
        <v>0</v>
      </c>
      <c r="D264" s="21" t="n">
        <v>0</v>
      </c>
      <c r="E264" s="21" t="n">
        <v>0</v>
      </c>
      <c r="F264" s="21" t="n">
        <v>0</v>
      </c>
      <c r="G264" s="30" t="s">
        <v>3432</v>
      </c>
    </row>
    <row r="265" customFormat="false" ht="15" hidden="false" customHeight="false" outlineLevel="0" collapsed="false">
      <c r="A265" s="28" t="n">
        <v>30417</v>
      </c>
      <c r="B265" s="28" t="n">
        <v>30423</v>
      </c>
      <c r="C265" s="21" t="n">
        <v>0</v>
      </c>
      <c r="D265" s="21" t="n">
        <v>0</v>
      </c>
      <c r="E265" s="21" t="n">
        <v>0</v>
      </c>
      <c r="F265" s="21" t="n">
        <v>0</v>
      </c>
      <c r="G265" s="30" t="s">
        <v>3432</v>
      </c>
    </row>
    <row r="266" customFormat="false" ht="15" hidden="false" customHeight="false" outlineLevel="0" collapsed="false">
      <c r="A266" s="28" t="n">
        <v>30424</v>
      </c>
      <c r="B266" s="28" t="n">
        <v>30430</v>
      </c>
      <c r="C266" s="21" t="n">
        <v>0</v>
      </c>
      <c r="D266" s="21" t="n">
        <v>0</v>
      </c>
      <c r="E266" s="21" t="n">
        <v>0</v>
      </c>
      <c r="F266" s="21" t="n">
        <v>0</v>
      </c>
      <c r="G266" s="30" t="s">
        <v>3432</v>
      </c>
    </row>
    <row r="267" customFormat="false" ht="15" hidden="false" customHeight="false" outlineLevel="0" collapsed="false">
      <c r="A267" s="28" t="n">
        <v>30431</v>
      </c>
      <c r="B267" s="28" t="n">
        <v>30437</v>
      </c>
      <c r="C267" s="21" t="n">
        <v>0</v>
      </c>
      <c r="D267" s="21" t="n">
        <v>0</v>
      </c>
      <c r="E267" s="21" t="n">
        <v>0</v>
      </c>
      <c r="F267" s="21" t="n">
        <v>0</v>
      </c>
      <c r="G267" s="30" t="s">
        <v>3432</v>
      </c>
    </row>
    <row r="268" customFormat="false" ht="15" hidden="false" customHeight="false" outlineLevel="0" collapsed="false">
      <c r="A268" s="28" t="n">
        <v>30438</v>
      </c>
      <c r="B268" s="28" t="n">
        <v>30444</v>
      </c>
      <c r="C268" s="21" t="n">
        <v>0</v>
      </c>
      <c r="D268" s="21" t="n">
        <v>0</v>
      </c>
      <c r="E268" s="21" t="n">
        <v>0</v>
      </c>
      <c r="F268" s="21" t="n">
        <v>0</v>
      </c>
      <c r="G268" s="30" t="s">
        <v>3432</v>
      </c>
    </row>
    <row r="269" customFormat="false" ht="15" hidden="false" customHeight="false" outlineLevel="0" collapsed="false">
      <c r="A269" s="28" t="n">
        <v>30445</v>
      </c>
      <c r="B269" s="28" t="n">
        <v>30451</v>
      </c>
      <c r="C269" s="21" t="n">
        <v>0</v>
      </c>
      <c r="D269" s="21" t="n">
        <v>0</v>
      </c>
      <c r="E269" s="21" t="n">
        <v>0</v>
      </c>
      <c r="F269" s="21" t="n">
        <v>0</v>
      </c>
      <c r="G269" s="30" t="s">
        <v>3432</v>
      </c>
    </row>
    <row r="270" customFormat="false" ht="15" hidden="false" customHeight="false" outlineLevel="0" collapsed="false">
      <c r="A270" s="28" t="n">
        <v>30452</v>
      </c>
      <c r="B270" s="28" t="n">
        <v>30458</v>
      </c>
      <c r="C270" s="21" t="n">
        <v>0</v>
      </c>
      <c r="D270" s="21" t="n">
        <v>0</v>
      </c>
      <c r="E270" s="21" t="n">
        <v>0</v>
      </c>
      <c r="F270" s="21" t="n">
        <v>0</v>
      </c>
      <c r="G270" s="30" t="s">
        <v>3432</v>
      </c>
    </row>
    <row r="271" customFormat="false" ht="15" hidden="false" customHeight="false" outlineLevel="0" collapsed="false">
      <c r="A271" s="28" t="n">
        <v>30459</v>
      </c>
      <c r="B271" s="28" t="n">
        <v>30465</v>
      </c>
      <c r="C271" s="21" t="n">
        <v>0</v>
      </c>
      <c r="D271" s="21" t="n">
        <v>0</v>
      </c>
      <c r="E271" s="21" t="n">
        <v>0</v>
      </c>
      <c r="F271" s="21" t="n">
        <v>0</v>
      </c>
      <c r="G271" s="30" t="s">
        <v>3432</v>
      </c>
    </row>
    <row r="272" customFormat="false" ht="15" hidden="false" customHeight="false" outlineLevel="0" collapsed="false">
      <c r="A272" s="28" t="n">
        <v>30466</v>
      </c>
      <c r="B272" s="28" t="n">
        <v>30472</v>
      </c>
      <c r="C272" s="21" t="n">
        <v>0</v>
      </c>
      <c r="D272" s="21" t="n">
        <v>0</v>
      </c>
      <c r="E272" s="21" t="n">
        <v>0</v>
      </c>
      <c r="F272" s="21" t="n">
        <v>0</v>
      </c>
      <c r="G272" s="30" t="s">
        <v>3432</v>
      </c>
    </row>
    <row r="273" customFormat="false" ht="15" hidden="false" customHeight="false" outlineLevel="0" collapsed="false">
      <c r="A273" s="28" t="n">
        <v>30473</v>
      </c>
      <c r="B273" s="28" t="n">
        <v>30479</v>
      </c>
      <c r="C273" s="21" t="n">
        <v>0</v>
      </c>
      <c r="D273" s="21" t="n">
        <v>0</v>
      </c>
      <c r="E273" s="21" t="n">
        <v>0</v>
      </c>
      <c r="F273" s="21" t="n">
        <v>0</v>
      </c>
      <c r="G273" s="30" t="s">
        <v>3432</v>
      </c>
    </row>
    <row r="274" customFormat="false" ht="15" hidden="false" customHeight="false" outlineLevel="0" collapsed="false">
      <c r="A274" s="28" t="n">
        <v>30480</v>
      </c>
      <c r="B274" s="28" t="n">
        <v>30486</v>
      </c>
      <c r="C274" s="21" t="n">
        <v>0</v>
      </c>
      <c r="D274" s="21" t="n">
        <v>0</v>
      </c>
      <c r="E274" s="21" t="n">
        <v>0</v>
      </c>
      <c r="F274" s="21" t="n">
        <v>0</v>
      </c>
      <c r="G274" s="30" t="s">
        <v>3432</v>
      </c>
    </row>
    <row r="275" customFormat="false" ht="15" hidden="false" customHeight="false" outlineLevel="0" collapsed="false">
      <c r="A275" s="28" t="n">
        <v>30487</v>
      </c>
      <c r="B275" s="28" t="n">
        <v>30493</v>
      </c>
      <c r="C275" s="21" t="n">
        <v>0</v>
      </c>
      <c r="D275" s="21" t="n">
        <v>0</v>
      </c>
      <c r="E275" s="21" t="n">
        <v>0</v>
      </c>
      <c r="F275" s="21" t="n">
        <v>0</v>
      </c>
      <c r="G275" s="30" t="s">
        <v>3432</v>
      </c>
    </row>
    <row r="276" customFormat="false" ht="15" hidden="false" customHeight="false" outlineLevel="0" collapsed="false">
      <c r="A276" s="28" t="n">
        <v>30494</v>
      </c>
      <c r="B276" s="28" t="n">
        <v>30500</v>
      </c>
      <c r="C276" s="21" t="n">
        <v>0</v>
      </c>
      <c r="D276" s="21" t="n">
        <v>0</v>
      </c>
      <c r="E276" s="21" t="n">
        <v>0</v>
      </c>
      <c r="F276" s="21" t="n">
        <v>0</v>
      </c>
      <c r="G276" s="30" t="s">
        <v>3432</v>
      </c>
    </row>
    <row r="277" customFormat="false" ht="15" hidden="false" customHeight="false" outlineLevel="0" collapsed="false">
      <c r="A277" s="28" t="n">
        <v>30501</v>
      </c>
      <c r="B277" s="28" t="n">
        <v>30507</v>
      </c>
      <c r="C277" s="21" t="n">
        <v>0</v>
      </c>
      <c r="D277" s="21" t="n">
        <v>0</v>
      </c>
      <c r="E277" s="21" t="n">
        <v>0</v>
      </c>
      <c r="F277" s="21" t="n">
        <v>0</v>
      </c>
      <c r="G277" s="30" t="s">
        <v>3432</v>
      </c>
    </row>
    <row r="278" customFormat="false" ht="15" hidden="false" customHeight="false" outlineLevel="0" collapsed="false">
      <c r="A278" s="28" t="n">
        <v>30508</v>
      </c>
      <c r="B278" s="28" t="n">
        <v>30514</v>
      </c>
      <c r="C278" s="21" t="n">
        <v>0</v>
      </c>
      <c r="D278" s="21" t="n">
        <v>0</v>
      </c>
      <c r="E278" s="21" t="n">
        <v>0</v>
      </c>
      <c r="F278" s="21" t="n">
        <v>0</v>
      </c>
      <c r="G278" s="30" t="s">
        <v>3432</v>
      </c>
    </row>
    <row r="279" customFormat="false" ht="15" hidden="false" customHeight="false" outlineLevel="0" collapsed="false">
      <c r="A279" s="28" t="n">
        <v>30515</v>
      </c>
      <c r="B279" s="28" t="n">
        <v>30521</v>
      </c>
      <c r="C279" s="21" t="n">
        <v>0</v>
      </c>
      <c r="D279" s="21" t="n">
        <v>0</v>
      </c>
      <c r="E279" s="21" t="n">
        <v>0</v>
      </c>
      <c r="F279" s="21" t="n">
        <v>0</v>
      </c>
      <c r="G279" s="30" t="s">
        <v>3432</v>
      </c>
    </row>
    <row r="280" customFormat="false" ht="15" hidden="false" customHeight="false" outlineLevel="0" collapsed="false">
      <c r="A280" s="28" t="n">
        <v>30522</v>
      </c>
      <c r="B280" s="28" t="n">
        <v>30528</v>
      </c>
      <c r="C280" s="21" t="n">
        <v>0</v>
      </c>
      <c r="D280" s="21" t="n">
        <v>0</v>
      </c>
      <c r="E280" s="21" t="n">
        <v>0</v>
      </c>
      <c r="F280" s="21" t="n">
        <v>0</v>
      </c>
      <c r="G280" s="30" t="s">
        <v>3432</v>
      </c>
    </row>
    <row r="281" customFormat="false" ht="15" hidden="false" customHeight="false" outlineLevel="0" collapsed="false">
      <c r="A281" s="28" t="n">
        <v>30529</v>
      </c>
      <c r="B281" s="28" t="n">
        <v>30535</v>
      </c>
      <c r="C281" s="21" t="n">
        <v>0</v>
      </c>
      <c r="D281" s="21" t="n">
        <v>0</v>
      </c>
      <c r="E281" s="21" t="n">
        <v>0</v>
      </c>
      <c r="F281" s="21" t="n">
        <v>0</v>
      </c>
      <c r="G281" s="30" t="s">
        <v>3432</v>
      </c>
    </row>
    <row r="282" customFormat="false" ht="15" hidden="false" customHeight="false" outlineLevel="0" collapsed="false">
      <c r="A282" s="28" t="n">
        <v>30536</v>
      </c>
      <c r="B282" s="28" t="n">
        <v>30542</v>
      </c>
      <c r="C282" s="21" t="n">
        <v>0</v>
      </c>
      <c r="D282" s="21" t="n">
        <v>0</v>
      </c>
      <c r="E282" s="21" t="n">
        <v>0</v>
      </c>
      <c r="F282" s="21" t="n">
        <v>0</v>
      </c>
      <c r="G282" s="30" t="s">
        <v>3432</v>
      </c>
    </row>
    <row r="283" customFormat="false" ht="15" hidden="false" customHeight="false" outlineLevel="0" collapsed="false">
      <c r="A283" s="28" t="n">
        <v>30543</v>
      </c>
      <c r="B283" s="28" t="n">
        <v>30549</v>
      </c>
      <c r="C283" s="21" t="n">
        <v>0</v>
      </c>
      <c r="D283" s="21" t="n">
        <v>0</v>
      </c>
      <c r="E283" s="21" t="n">
        <v>0</v>
      </c>
      <c r="F283" s="21" t="n">
        <v>0</v>
      </c>
      <c r="G283" s="30" t="s">
        <v>3432</v>
      </c>
    </row>
    <row r="284" customFormat="false" ht="15" hidden="false" customHeight="false" outlineLevel="0" collapsed="false">
      <c r="A284" s="28" t="n">
        <v>30550</v>
      </c>
      <c r="B284" s="28" t="n">
        <v>30556</v>
      </c>
      <c r="C284" s="21" t="n">
        <v>0</v>
      </c>
      <c r="D284" s="21" t="n">
        <v>0</v>
      </c>
      <c r="E284" s="21" t="n">
        <v>0</v>
      </c>
      <c r="F284" s="21" t="n">
        <v>0</v>
      </c>
      <c r="G284" s="30" t="s">
        <v>3432</v>
      </c>
    </row>
    <row r="285" customFormat="false" ht="15" hidden="false" customHeight="false" outlineLevel="0" collapsed="false">
      <c r="A285" s="28" t="n">
        <v>30557</v>
      </c>
      <c r="B285" s="28" t="n">
        <v>30563</v>
      </c>
      <c r="C285" s="21" t="n">
        <v>0</v>
      </c>
      <c r="D285" s="21" t="n">
        <v>0</v>
      </c>
      <c r="E285" s="21" t="n">
        <v>0</v>
      </c>
      <c r="F285" s="21" t="n">
        <v>0</v>
      </c>
      <c r="G285" s="30" t="s">
        <v>3432</v>
      </c>
    </row>
    <row r="286" customFormat="false" ht="15" hidden="false" customHeight="false" outlineLevel="0" collapsed="false">
      <c r="A286" s="28" t="n">
        <v>30564</v>
      </c>
      <c r="B286" s="28" t="n">
        <v>30570</v>
      </c>
      <c r="C286" s="21" t="n">
        <v>0</v>
      </c>
      <c r="D286" s="21" t="n">
        <v>0</v>
      </c>
      <c r="E286" s="21" t="n">
        <v>0</v>
      </c>
      <c r="F286" s="21" t="n">
        <v>0</v>
      </c>
      <c r="G286" s="30" t="s">
        <v>3432</v>
      </c>
    </row>
    <row r="287" customFormat="false" ht="15" hidden="false" customHeight="false" outlineLevel="0" collapsed="false">
      <c r="A287" s="28" t="n">
        <v>30571</v>
      </c>
      <c r="B287" s="28" t="n">
        <v>30577</v>
      </c>
      <c r="C287" s="21" t="n">
        <v>0</v>
      </c>
      <c r="D287" s="21" t="n">
        <v>0</v>
      </c>
      <c r="E287" s="21" t="n">
        <v>0</v>
      </c>
      <c r="F287" s="21" t="n">
        <v>0</v>
      </c>
      <c r="G287" s="30" t="s">
        <v>3432</v>
      </c>
    </row>
    <row r="288" customFormat="false" ht="15" hidden="false" customHeight="false" outlineLevel="0" collapsed="false">
      <c r="A288" s="28" t="n">
        <v>30578</v>
      </c>
      <c r="B288" s="28" t="n">
        <v>30584</v>
      </c>
      <c r="C288" s="21" t="n">
        <v>0</v>
      </c>
      <c r="D288" s="21" t="n">
        <v>0</v>
      </c>
      <c r="E288" s="21" t="n">
        <v>0</v>
      </c>
      <c r="F288" s="21" t="n">
        <v>0</v>
      </c>
      <c r="G288" s="30" t="s">
        <v>3432</v>
      </c>
    </row>
    <row r="289" customFormat="false" ht="15" hidden="false" customHeight="false" outlineLevel="0" collapsed="false">
      <c r="A289" s="28" t="n">
        <v>30585</v>
      </c>
      <c r="B289" s="28" t="n">
        <v>30591</v>
      </c>
      <c r="C289" s="21" t="n">
        <v>0</v>
      </c>
      <c r="D289" s="21" t="n">
        <v>0</v>
      </c>
      <c r="E289" s="21" t="n">
        <v>0</v>
      </c>
      <c r="F289" s="21" t="n">
        <v>0</v>
      </c>
      <c r="G289" s="30" t="s">
        <v>3432</v>
      </c>
    </row>
    <row r="290" customFormat="false" ht="15" hidden="false" customHeight="false" outlineLevel="0" collapsed="false">
      <c r="A290" s="28" t="n">
        <v>30592</v>
      </c>
      <c r="B290" s="28" t="n">
        <v>30598</v>
      </c>
      <c r="C290" s="21" t="n">
        <v>0</v>
      </c>
      <c r="D290" s="21" t="n">
        <v>0</v>
      </c>
      <c r="E290" s="21" t="n">
        <v>0</v>
      </c>
      <c r="F290" s="21" t="n">
        <v>0</v>
      </c>
      <c r="G290" s="30" t="s">
        <v>3432</v>
      </c>
    </row>
    <row r="291" customFormat="false" ht="15" hidden="false" customHeight="false" outlineLevel="0" collapsed="false">
      <c r="A291" s="28" t="n">
        <v>30599</v>
      </c>
      <c r="B291" s="28" t="n">
        <v>30605</v>
      </c>
      <c r="C291" s="21" t="n">
        <v>0</v>
      </c>
      <c r="D291" s="21" t="n">
        <v>0</v>
      </c>
      <c r="E291" s="21" t="n">
        <v>0</v>
      </c>
      <c r="F291" s="21" t="n">
        <v>0</v>
      </c>
      <c r="G291" s="30" t="s">
        <v>3432</v>
      </c>
    </row>
    <row r="292" customFormat="false" ht="15" hidden="false" customHeight="false" outlineLevel="0" collapsed="false">
      <c r="A292" s="28" t="n">
        <v>30606</v>
      </c>
      <c r="B292" s="28" t="n">
        <v>30612</v>
      </c>
      <c r="C292" s="21" t="n">
        <v>1</v>
      </c>
      <c r="D292" s="21" t="n">
        <v>0</v>
      </c>
      <c r="E292" s="21" t="n">
        <v>1</v>
      </c>
      <c r="F292" s="21" t="n">
        <v>4</v>
      </c>
      <c r="G292" s="29" t="s">
        <v>184</v>
      </c>
    </row>
    <row r="293" customFormat="false" ht="15" hidden="false" customHeight="false" outlineLevel="0" collapsed="false">
      <c r="A293" s="28" t="n">
        <v>30613</v>
      </c>
      <c r="B293" s="28" t="n">
        <v>30619</v>
      </c>
      <c r="C293" s="21" t="n">
        <v>0</v>
      </c>
      <c r="D293" s="21" t="n">
        <v>0</v>
      </c>
      <c r="E293" s="21" t="n">
        <v>0</v>
      </c>
      <c r="F293" s="21" t="n">
        <v>0</v>
      </c>
      <c r="G293" s="29" t="s">
        <v>184</v>
      </c>
    </row>
    <row r="294" customFormat="false" ht="15" hidden="false" customHeight="false" outlineLevel="0" collapsed="false">
      <c r="A294" s="28" t="n">
        <v>30620</v>
      </c>
      <c r="B294" s="28" t="n">
        <v>30626</v>
      </c>
      <c r="C294" s="21" t="n">
        <v>0</v>
      </c>
      <c r="D294" s="21" t="n">
        <v>0</v>
      </c>
      <c r="E294" s="21" t="n">
        <v>0</v>
      </c>
      <c r="F294" s="21" t="n">
        <v>0</v>
      </c>
      <c r="G294" s="30" t="s">
        <v>3432</v>
      </c>
    </row>
    <row r="295" customFormat="false" ht="15" hidden="false" customHeight="false" outlineLevel="0" collapsed="false">
      <c r="A295" s="28" t="n">
        <v>30627</v>
      </c>
      <c r="B295" s="28" t="n">
        <v>30633</v>
      </c>
      <c r="C295" s="21" t="n">
        <v>0</v>
      </c>
      <c r="D295" s="21" t="n">
        <v>0</v>
      </c>
      <c r="E295" s="21" t="n">
        <v>0</v>
      </c>
      <c r="F295" s="21" t="n">
        <v>0</v>
      </c>
      <c r="G295" s="30" t="s">
        <v>3432</v>
      </c>
    </row>
    <row r="296" customFormat="false" ht="15" hidden="false" customHeight="false" outlineLevel="0" collapsed="false">
      <c r="A296" s="28" t="n">
        <v>30634</v>
      </c>
      <c r="B296" s="28" t="n">
        <v>30640</v>
      </c>
      <c r="C296" s="21" t="n">
        <v>0</v>
      </c>
      <c r="D296" s="21" t="n">
        <v>0</v>
      </c>
      <c r="E296" s="21" t="n">
        <v>0</v>
      </c>
      <c r="F296" s="21" t="n">
        <v>0</v>
      </c>
      <c r="G296" s="30" t="s">
        <v>3432</v>
      </c>
    </row>
    <row r="297" customFormat="false" ht="15" hidden="false" customHeight="false" outlineLevel="0" collapsed="false">
      <c r="A297" s="28" t="n">
        <v>30641</v>
      </c>
      <c r="B297" s="28" t="n">
        <v>30647</v>
      </c>
      <c r="C297" s="21" t="n">
        <v>0</v>
      </c>
      <c r="D297" s="21" t="n">
        <v>0</v>
      </c>
      <c r="E297" s="21" t="n">
        <v>0</v>
      </c>
      <c r="F297" s="21" t="n">
        <v>0</v>
      </c>
      <c r="G297" s="30" t="s">
        <v>3432</v>
      </c>
    </row>
    <row r="298" customFormat="false" ht="15" hidden="false" customHeight="false" outlineLevel="0" collapsed="false">
      <c r="A298" s="28" t="n">
        <v>30648</v>
      </c>
      <c r="B298" s="28" t="n">
        <v>30654</v>
      </c>
      <c r="C298" s="21" t="n">
        <v>0</v>
      </c>
      <c r="D298" s="21" t="n">
        <v>0</v>
      </c>
      <c r="E298" s="21" t="n">
        <v>0</v>
      </c>
      <c r="F298" s="21" t="n">
        <v>0</v>
      </c>
      <c r="G298" s="30" t="s">
        <v>3432</v>
      </c>
    </row>
    <row r="299" customFormat="false" ht="15" hidden="false" customHeight="false" outlineLevel="0" collapsed="false">
      <c r="A299" s="28" t="n">
        <v>30655</v>
      </c>
      <c r="B299" s="28" t="n">
        <v>30661</v>
      </c>
      <c r="C299" s="21" t="n">
        <v>0</v>
      </c>
      <c r="D299" s="21" t="n">
        <v>0</v>
      </c>
      <c r="E299" s="21" t="n">
        <v>0</v>
      </c>
      <c r="F299" s="21" t="n">
        <v>0</v>
      </c>
      <c r="G299" s="30" t="s">
        <v>3432</v>
      </c>
    </row>
    <row r="300" customFormat="false" ht="15" hidden="false" customHeight="false" outlineLevel="0" collapsed="false">
      <c r="A300" s="28" t="n">
        <v>30662</v>
      </c>
      <c r="B300" s="28" t="n">
        <v>30668</v>
      </c>
      <c r="C300" s="21" t="n">
        <v>0</v>
      </c>
      <c r="D300" s="21" t="n">
        <v>0</v>
      </c>
      <c r="E300" s="21" t="n">
        <v>0</v>
      </c>
      <c r="F300" s="21" t="n">
        <v>0</v>
      </c>
      <c r="G300" s="30" t="s">
        <v>3432</v>
      </c>
    </row>
    <row r="301" customFormat="false" ht="15" hidden="false" customHeight="false" outlineLevel="0" collapsed="false">
      <c r="A301" s="28" t="n">
        <v>30669</v>
      </c>
      <c r="B301" s="28" t="n">
        <v>30675</v>
      </c>
      <c r="C301" s="21" t="n">
        <v>0</v>
      </c>
      <c r="D301" s="21" t="n">
        <v>0</v>
      </c>
      <c r="E301" s="21" t="n">
        <v>0</v>
      </c>
      <c r="F301" s="21" t="n">
        <v>0</v>
      </c>
      <c r="G301" s="30" t="s">
        <v>3432</v>
      </c>
    </row>
    <row r="302" customFormat="false" ht="15" hidden="false" customHeight="false" outlineLevel="0" collapsed="false">
      <c r="A302" s="28" t="n">
        <v>30676</v>
      </c>
      <c r="B302" s="28" t="n">
        <v>30682</v>
      </c>
      <c r="C302" s="21" t="n">
        <v>0</v>
      </c>
      <c r="D302" s="21" t="n">
        <v>0</v>
      </c>
      <c r="E302" s="21" t="n">
        <v>0</v>
      </c>
      <c r="F302" s="21" t="n">
        <v>0</v>
      </c>
      <c r="G302" s="30" t="s">
        <v>3432</v>
      </c>
    </row>
    <row r="303" customFormat="false" ht="15" hidden="false" customHeight="false" outlineLevel="0" collapsed="false">
      <c r="A303" s="28" t="n">
        <v>30683</v>
      </c>
      <c r="B303" s="28" t="n">
        <v>30689</v>
      </c>
      <c r="C303" s="21" t="n">
        <v>0</v>
      </c>
      <c r="D303" s="21" t="n">
        <v>0</v>
      </c>
      <c r="E303" s="21" t="n">
        <v>0</v>
      </c>
      <c r="F303" s="21" t="n">
        <v>0</v>
      </c>
      <c r="G303" s="30" t="s">
        <v>3432</v>
      </c>
    </row>
    <row r="304" customFormat="false" ht="15" hidden="false" customHeight="false" outlineLevel="0" collapsed="false">
      <c r="A304" s="28" t="n">
        <v>30690</v>
      </c>
      <c r="B304" s="28" t="n">
        <v>30696</v>
      </c>
      <c r="C304" s="21" t="n">
        <v>0</v>
      </c>
      <c r="D304" s="21" t="n">
        <v>0</v>
      </c>
      <c r="E304" s="21" t="n">
        <v>0</v>
      </c>
      <c r="F304" s="21" t="n">
        <v>0</v>
      </c>
      <c r="G304" s="30" t="s">
        <v>3432</v>
      </c>
    </row>
    <row r="305" customFormat="false" ht="15" hidden="false" customHeight="false" outlineLevel="0" collapsed="false">
      <c r="A305" s="28" t="n">
        <v>30697</v>
      </c>
      <c r="B305" s="28" t="n">
        <v>30703</v>
      </c>
      <c r="C305" s="21" t="n">
        <v>0</v>
      </c>
      <c r="D305" s="21" t="n">
        <v>0</v>
      </c>
      <c r="E305" s="21" t="n">
        <v>0</v>
      </c>
      <c r="F305" s="21" t="n">
        <v>0</v>
      </c>
      <c r="G305" s="30" t="s">
        <v>3432</v>
      </c>
    </row>
    <row r="306" customFormat="false" ht="15" hidden="false" customHeight="false" outlineLevel="0" collapsed="false">
      <c r="A306" s="28" t="n">
        <v>30704</v>
      </c>
      <c r="B306" s="28" t="n">
        <v>30710</v>
      </c>
      <c r="C306" s="21" t="n">
        <v>0</v>
      </c>
      <c r="D306" s="21" t="n">
        <v>0</v>
      </c>
      <c r="E306" s="21" t="n">
        <v>0</v>
      </c>
      <c r="F306" s="21" t="n">
        <v>0</v>
      </c>
      <c r="G306" s="30" t="s">
        <v>3432</v>
      </c>
    </row>
    <row r="307" customFormat="false" ht="15" hidden="false" customHeight="false" outlineLevel="0" collapsed="false">
      <c r="A307" s="28" t="n">
        <v>30711</v>
      </c>
      <c r="B307" s="28" t="n">
        <v>30717</v>
      </c>
      <c r="C307" s="21" t="n">
        <v>0</v>
      </c>
      <c r="D307" s="21" t="n">
        <v>0</v>
      </c>
      <c r="E307" s="21" t="n">
        <v>0</v>
      </c>
      <c r="F307" s="21" t="n">
        <v>0</v>
      </c>
      <c r="G307" s="30" t="s">
        <v>3432</v>
      </c>
    </row>
    <row r="308" customFormat="false" ht="15" hidden="false" customHeight="false" outlineLevel="0" collapsed="false">
      <c r="A308" s="28" t="n">
        <v>30718</v>
      </c>
      <c r="B308" s="28" t="n">
        <v>30724</v>
      </c>
      <c r="C308" s="21" t="n">
        <v>0</v>
      </c>
      <c r="D308" s="21" t="n">
        <v>0</v>
      </c>
      <c r="E308" s="21" t="n">
        <v>0</v>
      </c>
      <c r="F308" s="21" t="n">
        <v>0</v>
      </c>
      <c r="G308" s="30" t="s">
        <v>3432</v>
      </c>
    </row>
    <row r="309" customFormat="false" ht="15" hidden="false" customHeight="false" outlineLevel="0" collapsed="false">
      <c r="A309" s="28" t="n">
        <v>30725</v>
      </c>
      <c r="B309" s="28" t="n">
        <v>30731</v>
      </c>
      <c r="C309" s="21" t="n">
        <v>0</v>
      </c>
      <c r="D309" s="21" t="n">
        <v>0</v>
      </c>
      <c r="E309" s="21" t="n">
        <v>0</v>
      </c>
      <c r="F309" s="21" t="n">
        <v>0</v>
      </c>
      <c r="G309" s="30" t="s">
        <v>3432</v>
      </c>
    </row>
    <row r="310" customFormat="false" ht="15" hidden="false" customHeight="false" outlineLevel="0" collapsed="false">
      <c r="A310" s="28" t="n">
        <v>30732</v>
      </c>
      <c r="B310" s="28" t="n">
        <v>30738</v>
      </c>
      <c r="C310" s="21" t="n">
        <v>0</v>
      </c>
      <c r="D310" s="21" t="n">
        <v>0</v>
      </c>
      <c r="E310" s="21" t="n">
        <v>0</v>
      </c>
      <c r="F310" s="21" t="n">
        <v>0</v>
      </c>
      <c r="G310" s="30" t="s">
        <v>3432</v>
      </c>
    </row>
    <row r="311" customFormat="false" ht="15" hidden="false" customHeight="false" outlineLevel="0" collapsed="false">
      <c r="A311" s="28" t="n">
        <v>30739</v>
      </c>
      <c r="B311" s="28" t="n">
        <v>30745</v>
      </c>
      <c r="C311" s="21" t="n">
        <v>0</v>
      </c>
      <c r="D311" s="21" t="n">
        <v>0</v>
      </c>
      <c r="E311" s="21" t="n">
        <v>0</v>
      </c>
      <c r="F311" s="21" t="n">
        <v>0</v>
      </c>
      <c r="G311" s="30" t="s">
        <v>3432</v>
      </c>
    </row>
    <row r="312" customFormat="false" ht="15" hidden="false" customHeight="false" outlineLevel="0" collapsed="false">
      <c r="A312" s="28" t="n">
        <v>30746</v>
      </c>
      <c r="B312" s="28" t="n">
        <v>30752</v>
      </c>
      <c r="C312" s="21" t="n">
        <v>0</v>
      </c>
      <c r="D312" s="21" t="n">
        <v>0</v>
      </c>
      <c r="E312" s="21" t="n">
        <v>0</v>
      </c>
      <c r="F312" s="21" t="n">
        <v>0</v>
      </c>
      <c r="G312" s="30" t="s">
        <v>3432</v>
      </c>
    </row>
    <row r="313" customFormat="false" ht="15" hidden="false" customHeight="false" outlineLevel="0" collapsed="false">
      <c r="A313" s="28" t="n">
        <v>30753</v>
      </c>
      <c r="B313" s="28" t="n">
        <v>30759</v>
      </c>
      <c r="C313" s="21" t="n">
        <v>0</v>
      </c>
      <c r="D313" s="21" t="n">
        <v>0</v>
      </c>
      <c r="E313" s="21" t="n">
        <v>0</v>
      </c>
      <c r="F313" s="21" t="n">
        <v>0</v>
      </c>
      <c r="G313" s="30" t="s">
        <v>3432</v>
      </c>
    </row>
    <row r="314" customFormat="false" ht="15" hidden="false" customHeight="false" outlineLevel="0" collapsed="false">
      <c r="A314" s="28" t="n">
        <v>30760</v>
      </c>
      <c r="B314" s="28" t="n">
        <v>30766</v>
      </c>
      <c r="C314" s="21" t="n">
        <v>0</v>
      </c>
      <c r="D314" s="21" t="n">
        <v>0</v>
      </c>
      <c r="E314" s="21" t="n">
        <v>0</v>
      </c>
      <c r="F314" s="21" t="n">
        <v>0</v>
      </c>
      <c r="G314" s="30" t="s">
        <v>3432</v>
      </c>
    </row>
    <row r="315" customFormat="false" ht="15" hidden="false" customHeight="false" outlineLevel="0" collapsed="false">
      <c r="A315" s="28" t="n">
        <v>30767</v>
      </c>
      <c r="B315" s="28" t="n">
        <v>30773</v>
      </c>
      <c r="C315" s="21" t="n">
        <v>0</v>
      </c>
      <c r="D315" s="21" t="n">
        <v>0</v>
      </c>
      <c r="E315" s="21" t="n">
        <v>0</v>
      </c>
      <c r="F315" s="21" t="n">
        <v>0</v>
      </c>
      <c r="G315" s="30" t="s">
        <v>3432</v>
      </c>
    </row>
    <row r="316" customFormat="false" ht="15" hidden="false" customHeight="false" outlineLevel="0" collapsed="false">
      <c r="A316" s="28" t="n">
        <v>30774</v>
      </c>
      <c r="B316" s="28" t="n">
        <v>30780</v>
      </c>
      <c r="C316" s="21" t="n">
        <v>0</v>
      </c>
      <c r="D316" s="21" t="n">
        <v>0</v>
      </c>
      <c r="E316" s="21" t="n">
        <v>0</v>
      </c>
      <c r="F316" s="21" t="n">
        <v>0</v>
      </c>
      <c r="G316" s="30" t="s">
        <v>3432</v>
      </c>
    </row>
    <row r="317" customFormat="false" ht="15" hidden="false" customHeight="false" outlineLevel="0" collapsed="false">
      <c r="A317" s="28" t="n">
        <v>30781</v>
      </c>
      <c r="B317" s="28" t="n">
        <v>30787</v>
      </c>
      <c r="C317" s="21" t="n">
        <v>0</v>
      </c>
      <c r="D317" s="21" t="n">
        <v>0</v>
      </c>
      <c r="E317" s="21" t="n">
        <v>0</v>
      </c>
      <c r="F317" s="21" t="n">
        <v>0</v>
      </c>
      <c r="G317" s="30" t="s">
        <v>3432</v>
      </c>
    </row>
    <row r="318" customFormat="false" ht="15" hidden="false" customHeight="false" outlineLevel="0" collapsed="false">
      <c r="A318" s="28" t="n">
        <v>30788</v>
      </c>
      <c r="B318" s="28" t="n">
        <v>30794</v>
      </c>
      <c r="C318" s="21" t="n">
        <v>0</v>
      </c>
      <c r="D318" s="21" t="n">
        <v>0</v>
      </c>
      <c r="E318" s="21" t="n">
        <v>0</v>
      </c>
      <c r="F318" s="21" t="n">
        <v>0</v>
      </c>
      <c r="G318" s="30" t="s">
        <v>3432</v>
      </c>
    </row>
    <row r="319" customFormat="false" ht="15" hidden="false" customHeight="false" outlineLevel="0" collapsed="false">
      <c r="A319" s="28" t="n">
        <v>30795</v>
      </c>
      <c r="B319" s="28" t="n">
        <v>30801</v>
      </c>
      <c r="C319" s="21" t="n">
        <v>0</v>
      </c>
      <c r="D319" s="21" t="n">
        <v>0</v>
      </c>
      <c r="E319" s="21" t="n">
        <v>0</v>
      </c>
      <c r="F319" s="21" t="n">
        <v>0</v>
      </c>
      <c r="G319" s="30" t="s">
        <v>3432</v>
      </c>
    </row>
    <row r="320" customFormat="false" ht="15" hidden="false" customHeight="false" outlineLevel="0" collapsed="false">
      <c r="A320" s="28" t="n">
        <v>30802</v>
      </c>
      <c r="B320" s="28" t="n">
        <v>30808</v>
      </c>
      <c r="C320" s="21" t="n">
        <v>0</v>
      </c>
      <c r="D320" s="21" t="n">
        <v>0</v>
      </c>
      <c r="E320" s="21" t="n">
        <v>0</v>
      </c>
      <c r="F320" s="21" t="n">
        <v>0</v>
      </c>
      <c r="G320" s="30" t="s">
        <v>3432</v>
      </c>
    </row>
    <row r="321" customFormat="false" ht="15" hidden="false" customHeight="false" outlineLevel="0" collapsed="false">
      <c r="A321" s="28" t="n">
        <v>30809</v>
      </c>
      <c r="B321" s="28" t="n">
        <v>30815</v>
      </c>
      <c r="C321" s="21" t="n">
        <v>0</v>
      </c>
      <c r="D321" s="21" t="n">
        <v>0</v>
      </c>
      <c r="E321" s="21" t="n">
        <v>0</v>
      </c>
      <c r="F321" s="21" t="n">
        <v>0</v>
      </c>
      <c r="G321" s="30" t="s">
        <v>3432</v>
      </c>
    </row>
    <row r="322" customFormat="false" ht="15" hidden="false" customHeight="false" outlineLevel="0" collapsed="false">
      <c r="A322" s="28" t="n">
        <v>30816</v>
      </c>
      <c r="B322" s="28" t="n">
        <v>30822</v>
      </c>
      <c r="C322" s="21" t="n">
        <v>0</v>
      </c>
      <c r="D322" s="21" t="n">
        <v>0</v>
      </c>
      <c r="E322" s="21" t="n">
        <v>0</v>
      </c>
      <c r="F322" s="21" t="n">
        <v>0</v>
      </c>
      <c r="G322" s="30" t="s">
        <v>3432</v>
      </c>
    </row>
    <row r="323" customFormat="false" ht="15" hidden="false" customHeight="false" outlineLevel="0" collapsed="false">
      <c r="A323" s="28" t="n">
        <v>30823</v>
      </c>
      <c r="B323" s="28" t="n">
        <v>30829</v>
      </c>
      <c r="C323" s="21" t="n">
        <v>0</v>
      </c>
      <c r="D323" s="21" t="n">
        <v>0</v>
      </c>
      <c r="E323" s="21" t="n">
        <v>0</v>
      </c>
      <c r="F323" s="21" t="n">
        <v>0</v>
      </c>
      <c r="G323" s="30" t="s">
        <v>3432</v>
      </c>
    </row>
    <row r="324" customFormat="false" ht="15" hidden="false" customHeight="false" outlineLevel="0" collapsed="false">
      <c r="A324" s="28" t="n">
        <v>30830</v>
      </c>
      <c r="B324" s="28" t="n">
        <v>30836</v>
      </c>
      <c r="C324" s="21" t="n">
        <v>0</v>
      </c>
      <c r="D324" s="21" t="n">
        <v>0</v>
      </c>
      <c r="E324" s="21" t="n">
        <v>0</v>
      </c>
      <c r="F324" s="21" t="n">
        <v>0</v>
      </c>
      <c r="G324" s="30" t="s">
        <v>3432</v>
      </c>
    </row>
    <row r="325" customFormat="false" ht="15" hidden="false" customHeight="false" outlineLevel="0" collapsed="false">
      <c r="A325" s="28" t="n">
        <v>30837</v>
      </c>
      <c r="B325" s="28" t="n">
        <v>30843</v>
      </c>
      <c r="C325" s="21" t="n">
        <v>0</v>
      </c>
      <c r="D325" s="21" t="n">
        <v>0</v>
      </c>
      <c r="E325" s="21" t="n">
        <v>0</v>
      </c>
      <c r="F325" s="21" t="n">
        <v>0</v>
      </c>
      <c r="G325" s="30" t="s">
        <v>3432</v>
      </c>
    </row>
    <row r="326" customFormat="false" ht="15" hidden="false" customHeight="false" outlineLevel="0" collapsed="false">
      <c r="A326" s="28" t="n">
        <v>30844</v>
      </c>
      <c r="B326" s="28" t="n">
        <v>30850</v>
      </c>
      <c r="C326" s="21" t="n">
        <v>0</v>
      </c>
      <c r="D326" s="21" t="n">
        <v>0</v>
      </c>
      <c r="E326" s="21" t="n">
        <v>0</v>
      </c>
      <c r="F326" s="21" t="n">
        <v>0</v>
      </c>
      <c r="G326" s="30" t="s">
        <v>3432</v>
      </c>
    </row>
    <row r="327" customFormat="false" ht="15" hidden="false" customHeight="false" outlineLevel="0" collapsed="false">
      <c r="A327" s="28" t="n">
        <v>30851</v>
      </c>
      <c r="B327" s="28" t="n">
        <v>30857</v>
      </c>
      <c r="C327" s="21" t="n">
        <v>0</v>
      </c>
      <c r="D327" s="21" t="n">
        <v>0</v>
      </c>
      <c r="E327" s="21" t="n">
        <v>0</v>
      </c>
      <c r="F327" s="21" t="n">
        <v>0</v>
      </c>
      <c r="G327" s="30" t="s">
        <v>3432</v>
      </c>
    </row>
    <row r="328" customFormat="false" ht="15" hidden="false" customHeight="false" outlineLevel="0" collapsed="false">
      <c r="A328" s="28" t="n">
        <v>30858</v>
      </c>
      <c r="B328" s="28" t="n">
        <v>30864</v>
      </c>
      <c r="C328" s="21" t="n">
        <v>0</v>
      </c>
      <c r="D328" s="21" t="n">
        <v>0</v>
      </c>
      <c r="E328" s="21" t="n">
        <v>0</v>
      </c>
      <c r="F328" s="21" t="n">
        <v>0</v>
      </c>
      <c r="G328" s="30" t="s">
        <v>3432</v>
      </c>
    </row>
    <row r="329" customFormat="false" ht="15" hidden="false" customHeight="false" outlineLevel="0" collapsed="false">
      <c r="A329" s="28" t="n">
        <v>30865</v>
      </c>
      <c r="B329" s="28" t="n">
        <v>30871</v>
      </c>
      <c r="C329" s="21" t="n">
        <v>0</v>
      </c>
      <c r="D329" s="21" t="n">
        <v>0</v>
      </c>
      <c r="E329" s="21" t="n">
        <v>0</v>
      </c>
      <c r="F329" s="21" t="n">
        <v>0</v>
      </c>
      <c r="G329" s="30" t="s">
        <v>3432</v>
      </c>
    </row>
    <row r="330" customFormat="false" ht="15" hidden="false" customHeight="false" outlineLevel="0" collapsed="false">
      <c r="A330" s="28" t="n">
        <v>30872</v>
      </c>
      <c r="B330" s="28" t="n">
        <v>30878</v>
      </c>
      <c r="C330" s="21" t="n">
        <v>0</v>
      </c>
      <c r="D330" s="21" t="n">
        <v>0</v>
      </c>
      <c r="E330" s="21" t="n">
        <v>0</v>
      </c>
      <c r="F330" s="21" t="n">
        <v>0</v>
      </c>
      <c r="G330" s="30" t="s">
        <v>3432</v>
      </c>
    </row>
    <row r="331" customFormat="false" ht="15" hidden="false" customHeight="false" outlineLevel="0" collapsed="false">
      <c r="A331" s="28" t="n">
        <v>30879</v>
      </c>
      <c r="B331" s="28" t="n">
        <v>30885</v>
      </c>
      <c r="C331" s="21" t="n">
        <v>0</v>
      </c>
      <c r="D331" s="21" t="n">
        <v>0</v>
      </c>
      <c r="E331" s="21" t="n">
        <v>0</v>
      </c>
      <c r="F331" s="21" t="n">
        <v>0</v>
      </c>
      <c r="G331" s="30" t="s">
        <v>3432</v>
      </c>
    </row>
    <row r="332" customFormat="false" ht="15" hidden="false" customHeight="false" outlineLevel="0" collapsed="false">
      <c r="A332" s="28" t="n">
        <v>30886</v>
      </c>
      <c r="B332" s="28" t="n">
        <v>30892</v>
      </c>
      <c r="C332" s="21" t="n">
        <v>0</v>
      </c>
      <c r="D332" s="21" t="n">
        <v>0</v>
      </c>
      <c r="E332" s="21" t="n">
        <v>0</v>
      </c>
      <c r="F332" s="21" t="n">
        <v>0</v>
      </c>
      <c r="G332" s="30" t="s">
        <v>3432</v>
      </c>
    </row>
    <row r="333" customFormat="false" ht="15" hidden="false" customHeight="false" outlineLevel="0" collapsed="false">
      <c r="A333" s="28" t="n">
        <v>30893</v>
      </c>
      <c r="B333" s="28" t="n">
        <v>30899</v>
      </c>
      <c r="C333" s="21" t="n">
        <v>0</v>
      </c>
      <c r="D333" s="21" t="n">
        <v>0</v>
      </c>
      <c r="E333" s="21" t="n">
        <v>0</v>
      </c>
      <c r="F333" s="21" t="n">
        <v>0</v>
      </c>
      <c r="G333" s="30" t="s">
        <v>3432</v>
      </c>
    </row>
    <row r="334" customFormat="false" ht="15" hidden="false" customHeight="false" outlineLevel="0" collapsed="false">
      <c r="A334" s="28" t="n">
        <v>30900</v>
      </c>
      <c r="B334" s="28" t="n">
        <v>30906</v>
      </c>
      <c r="C334" s="21" t="n">
        <v>0</v>
      </c>
      <c r="D334" s="21" t="n">
        <v>0</v>
      </c>
      <c r="E334" s="21" t="n">
        <v>0</v>
      </c>
      <c r="F334" s="21" t="n">
        <v>0</v>
      </c>
      <c r="G334" s="30" t="s">
        <v>3432</v>
      </c>
    </row>
    <row r="335" customFormat="false" ht="15" hidden="false" customHeight="false" outlineLevel="0" collapsed="false">
      <c r="A335" s="28" t="n">
        <v>30907</v>
      </c>
      <c r="B335" s="28" t="n">
        <v>30913</v>
      </c>
      <c r="C335" s="21" t="n">
        <v>0</v>
      </c>
      <c r="D335" s="21" t="n">
        <v>0</v>
      </c>
      <c r="E335" s="21" t="n">
        <v>0</v>
      </c>
      <c r="F335" s="21" t="n">
        <v>0</v>
      </c>
      <c r="G335" s="30" t="s">
        <v>3432</v>
      </c>
    </row>
    <row r="336" customFormat="false" ht="15" hidden="false" customHeight="false" outlineLevel="0" collapsed="false">
      <c r="A336" s="28" t="n">
        <v>30914</v>
      </c>
      <c r="B336" s="28" t="n">
        <v>30920</v>
      </c>
      <c r="C336" s="21" t="n">
        <v>0</v>
      </c>
      <c r="D336" s="21" t="n">
        <v>0</v>
      </c>
      <c r="E336" s="21" t="n">
        <v>0</v>
      </c>
      <c r="F336" s="21" t="n">
        <v>0</v>
      </c>
      <c r="G336" s="30" t="s">
        <v>3432</v>
      </c>
    </row>
    <row r="337" customFormat="false" ht="15" hidden="false" customHeight="false" outlineLevel="0" collapsed="false">
      <c r="A337" s="28" t="n">
        <v>30921</v>
      </c>
      <c r="B337" s="28" t="n">
        <v>30927</v>
      </c>
      <c r="C337" s="21" t="n">
        <v>0</v>
      </c>
      <c r="D337" s="21" t="n">
        <v>0</v>
      </c>
      <c r="E337" s="21" t="n">
        <v>0</v>
      </c>
      <c r="F337" s="21" t="n">
        <v>0</v>
      </c>
      <c r="G337" s="30" t="s">
        <v>3432</v>
      </c>
    </row>
    <row r="338" customFormat="false" ht="15" hidden="false" customHeight="false" outlineLevel="0" collapsed="false">
      <c r="A338" s="28" t="n">
        <v>30928</v>
      </c>
      <c r="B338" s="28" t="n">
        <v>30934</v>
      </c>
      <c r="C338" s="21" t="n">
        <v>0</v>
      </c>
      <c r="D338" s="21" t="n">
        <v>0</v>
      </c>
      <c r="E338" s="21" t="n">
        <v>0</v>
      </c>
      <c r="F338" s="21" t="n">
        <v>0</v>
      </c>
      <c r="G338" s="30" t="s">
        <v>3432</v>
      </c>
    </row>
    <row r="339" customFormat="false" ht="15" hidden="false" customHeight="false" outlineLevel="0" collapsed="false">
      <c r="A339" s="28" t="n">
        <v>30935</v>
      </c>
      <c r="B339" s="28" t="n">
        <v>30941</v>
      </c>
      <c r="C339" s="21" t="n">
        <v>0</v>
      </c>
      <c r="D339" s="21" t="n">
        <v>0</v>
      </c>
      <c r="E339" s="21" t="n">
        <v>0</v>
      </c>
      <c r="F339" s="21" t="n">
        <v>0</v>
      </c>
      <c r="G339" s="30" t="s">
        <v>3432</v>
      </c>
    </row>
    <row r="340" customFormat="false" ht="15" hidden="false" customHeight="false" outlineLevel="0" collapsed="false">
      <c r="A340" s="28" t="n">
        <v>30942</v>
      </c>
      <c r="B340" s="28" t="n">
        <v>30948</v>
      </c>
      <c r="C340" s="21" t="n">
        <v>0</v>
      </c>
      <c r="D340" s="21" t="n">
        <v>0</v>
      </c>
      <c r="E340" s="21" t="n">
        <v>0</v>
      </c>
      <c r="F340" s="21" t="n">
        <v>0</v>
      </c>
      <c r="G340" s="30" t="s">
        <v>3432</v>
      </c>
    </row>
    <row r="341" customFormat="false" ht="15" hidden="false" customHeight="false" outlineLevel="0" collapsed="false">
      <c r="A341" s="28" t="n">
        <v>30949</v>
      </c>
      <c r="B341" s="28" t="n">
        <v>30955</v>
      </c>
      <c r="C341" s="21" t="n">
        <v>0</v>
      </c>
      <c r="D341" s="21" t="n">
        <v>0</v>
      </c>
      <c r="E341" s="21" t="n">
        <v>0</v>
      </c>
      <c r="F341" s="21" t="n">
        <v>0</v>
      </c>
      <c r="G341" s="30" t="s">
        <v>3432</v>
      </c>
    </row>
    <row r="342" customFormat="false" ht="15" hidden="false" customHeight="false" outlineLevel="0" collapsed="false">
      <c r="A342" s="28" t="n">
        <v>30956</v>
      </c>
      <c r="B342" s="28" t="n">
        <v>30962</v>
      </c>
      <c r="C342" s="21" t="n">
        <v>0</v>
      </c>
      <c r="D342" s="21" t="n">
        <v>0</v>
      </c>
      <c r="E342" s="21" t="n">
        <v>0</v>
      </c>
      <c r="F342" s="21" t="n">
        <v>0</v>
      </c>
      <c r="G342" s="30" t="s">
        <v>3432</v>
      </c>
    </row>
    <row r="343" customFormat="false" ht="15" hidden="false" customHeight="false" outlineLevel="0" collapsed="false">
      <c r="A343" s="28" t="n">
        <v>30963</v>
      </c>
      <c r="B343" s="28" t="n">
        <v>30969</v>
      </c>
      <c r="C343" s="21" t="n">
        <v>0</v>
      </c>
      <c r="D343" s="21" t="n">
        <v>0</v>
      </c>
      <c r="E343" s="21" t="n">
        <v>0</v>
      </c>
      <c r="F343" s="21" t="n">
        <v>0</v>
      </c>
      <c r="G343" s="30" t="s">
        <v>3432</v>
      </c>
    </row>
    <row r="344" customFormat="false" ht="15" hidden="false" customHeight="false" outlineLevel="0" collapsed="false">
      <c r="A344" s="28" t="n">
        <v>30970</v>
      </c>
      <c r="B344" s="28" t="n">
        <v>30976</v>
      </c>
      <c r="C344" s="21" t="n">
        <v>0</v>
      </c>
      <c r="D344" s="21" t="n">
        <v>0</v>
      </c>
      <c r="E344" s="21" t="n">
        <v>0</v>
      </c>
      <c r="F344" s="21" t="n">
        <v>0</v>
      </c>
      <c r="G344" s="30" t="s">
        <v>3432</v>
      </c>
    </row>
    <row r="345" customFormat="false" ht="15" hidden="false" customHeight="false" outlineLevel="0" collapsed="false">
      <c r="A345" s="28" t="n">
        <v>30977</v>
      </c>
      <c r="B345" s="28" t="n">
        <v>30983</v>
      </c>
      <c r="C345" s="21" t="n">
        <v>0</v>
      </c>
      <c r="D345" s="21" t="n">
        <v>0</v>
      </c>
      <c r="E345" s="21" t="n">
        <v>0</v>
      </c>
      <c r="F345" s="21" t="n">
        <v>0</v>
      </c>
      <c r="G345" s="30" t="s">
        <v>3432</v>
      </c>
    </row>
    <row r="346" customFormat="false" ht="15" hidden="false" customHeight="false" outlineLevel="0" collapsed="false">
      <c r="A346" s="28" t="n">
        <v>30984</v>
      </c>
      <c r="B346" s="28" t="n">
        <v>30990</v>
      </c>
      <c r="C346" s="21" t="n">
        <v>0</v>
      </c>
      <c r="D346" s="21" t="n">
        <v>0</v>
      </c>
      <c r="E346" s="21" t="n">
        <v>0</v>
      </c>
      <c r="F346" s="21" t="n">
        <v>0</v>
      </c>
      <c r="G346" s="30" t="s">
        <v>3432</v>
      </c>
    </row>
    <row r="347" customFormat="false" ht="15" hidden="false" customHeight="false" outlineLevel="0" collapsed="false">
      <c r="A347" s="28" t="n">
        <v>30991</v>
      </c>
      <c r="B347" s="28" t="n">
        <v>30997</v>
      </c>
      <c r="C347" s="21" t="n">
        <v>0</v>
      </c>
      <c r="D347" s="21" t="n">
        <v>0</v>
      </c>
      <c r="E347" s="21" t="n">
        <v>0</v>
      </c>
      <c r="F347" s="21" t="n">
        <v>0</v>
      </c>
      <c r="G347" s="30" t="s">
        <v>3432</v>
      </c>
    </row>
    <row r="348" customFormat="false" ht="15" hidden="false" customHeight="false" outlineLevel="0" collapsed="false">
      <c r="A348" s="28" t="n">
        <v>30998</v>
      </c>
      <c r="B348" s="28" t="n">
        <v>31004</v>
      </c>
      <c r="C348" s="21" t="n">
        <v>0</v>
      </c>
      <c r="D348" s="21" t="n">
        <v>0</v>
      </c>
      <c r="E348" s="21" t="n">
        <v>0</v>
      </c>
      <c r="F348" s="21" t="n">
        <v>0</v>
      </c>
      <c r="G348" s="30" t="s">
        <v>3432</v>
      </c>
    </row>
    <row r="349" customFormat="false" ht="15" hidden="false" customHeight="false" outlineLevel="0" collapsed="false">
      <c r="A349" s="28" t="n">
        <v>31005</v>
      </c>
      <c r="B349" s="28" t="n">
        <v>31011</v>
      </c>
      <c r="C349" s="21" t="n">
        <v>0</v>
      </c>
      <c r="D349" s="21" t="n">
        <v>0</v>
      </c>
      <c r="E349" s="21" t="n">
        <v>0</v>
      </c>
      <c r="F349" s="21" t="n">
        <v>0</v>
      </c>
      <c r="G349" s="30" t="s">
        <v>3432</v>
      </c>
    </row>
    <row r="350" customFormat="false" ht="15" hidden="false" customHeight="false" outlineLevel="0" collapsed="false">
      <c r="A350" s="28" t="n">
        <v>31012</v>
      </c>
      <c r="B350" s="28" t="n">
        <v>31018</v>
      </c>
      <c r="C350" s="21" t="n">
        <v>0</v>
      </c>
      <c r="D350" s="21" t="n">
        <v>0</v>
      </c>
      <c r="E350" s="21" t="n">
        <v>0</v>
      </c>
      <c r="F350" s="21" t="n">
        <v>0</v>
      </c>
      <c r="G350" s="30" t="s">
        <v>3432</v>
      </c>
    </row>
    <row r="351" customFormat="false" ht="15" hidden="false" customHeight="false" outlineLevel="0" collapsed="false">
      <c r="A351" s="28" t="n">
        <v>31019</v>
      </c>
      <c r="B351" s="28" t="n">
        <v>31025</v>
      </c>
      <c r="C351" s="21" t="n">
        <v>0</v>
      </c>
      <c r="D351" s="21" t="n">
        <v>0</v>
      </c>
      <c r="E351" s="21" t="n">
        <v>0</v>
      </c>
      <c r="F351" s="21" t="n">
        <v>0</v>
      </c>
      <c r="G351" s="30" t="s">
        <v>3432</v>
      </c>
    </row>
    <row r="352" customFormat="false" ht="15" hidden="false" customHeight="false" outlineLevel="0" collapsed="false">
      <c r="A352" s="28" t="n">
        <v>31026</v>
      </c>
      <c r="B352" s="28" t="n">
        <v>31032</v>
      </c>
      <c r="C352" s="21" t="n">
        <v>0</v>
      </c>
      <c r="D352" s="21" t="n">
        <v>0</v>
      </c>
      <c r="E352" s="21" t="n">
        <v>0</v>
      </c>
      <c r="F352" s="21" t="n">
        <v>0</v>
      </c>
      <c r="G352" s="30" t="s">
        <v>3432</v>
      </c>
    </row>
    <row r="353" customFormat="false" ht="15" hidden="false" customHeight="false" outlineLevel="0" collapsed="false">
      <c r="A353" s="28" t="n">
        <v>31033</v>
      </c>
      <c r="B353" s="28" t="n">
        <v>31039</v>
      </c>
      <c r="C353" s="21" t="n">
        <v>0</v>
      </c>
      <c r="D353" s="21" t="n">
        <v>0</v>
      </c>
      <c r="E353" s="21" t="n">
        <v>0</v>
      </c>
      <c r="F353" s="21" t="n">
        <v>0</v>
      </c>
      <c r="G353" s="30" t="s">
        <v>3432</v>
      </c>
    </row>
    <row r="354" customFormat="false" ht="15" hidden="false" customHeight="false" outlineLevel="0" collapsed="false">
      <c r="A354" s="28" t="n">
        <v>31040</v>
      </c>
      <c r="B354" s="28" t="n">
        <v>31046</v>
      </c>
      <c r="C354" s="21" t="n">
        <v>0</v>
      </c>
      <c r="D354" s="21" t="n">
        <v>0</v>
      </c>
      <c r="E354" s="21" t="n">
        <v>0</v>
      </c>
      <c r="F354" s="21" t="n">
        <v>0</v>
      </c>
      <c r="G354" s="30" t="s">
        <v>3432</v>
      </c>
    </row>
    <row r="355" customFormat="false" ht="15" hidden="false" customHeight="false" outlineLevel="0" collapsed="false">
      <c r="A355" s="28" t="n">
        <v>31047</v>
      </c>
      <c r="B355" s="28" t="n">
        <v>31053</v>
      </c>
      <c r="C355" s="21" t="n">
        <v>0</v>
      </c>
      <c r="D355" s="21" t="n">
        <v>0</v>
      </c>
      <c r="E355" s="21" t="n">
        <v>0</v>
      </c>
      <c r="F355" s="21" t="n">
        <v>0</v>
      </c>
      <c r="G355" s="30" t="s">
        <v>3432</v>
      </c>
    </row>
    <row r="356" customFormat="false" ht="15" hidden="false" customHeight="false" outlineLevel="0" collapsed="false">
      <c r="A356" s="28" t="n">
        <v>31054</v>
      </c>
      <c r="B356" s="28" t="n">
        <v>31060</v>
      </c>
      <c r="C356" s="21" t="n">
        <v>0</v>
      </c>
      <c r="D356" s="21" t="n">
        <v>0</v>
      </c>
      <c r="E356" s="21" t="n">
        <v>0</v>
      </c>
      <c r="F356" s="21" t="n">
        <v>0</v>
      </c>
      <c r="G356" s="30" t="s">
        <v>3432</v>
      </c>
    </row>
    <row r="357" customFormat="false" ht="15" hidden="false" customHeight="false" outlineLevel="0" collapsed="false">
      <c r="A357" s="28" t="n">
        <v>31061</v>
      </c>
      <c r="B357" s="28" t="n">
        <v>31067</v>
      </c>
      <c r="C357" s="21" t="n">
        <v>0</v>
      </c>
      <c r="D357" s="21" t="n">
        <v>0</v>
      </c>
      <c r="E357" s="21" t="n">
        <v>0</v>
      </c>
      <c r="F357" s="21" t="n">
        <v>0</v>
      </c>
      <c r="G357" s="30" t="s">
        <v>3432</v>
      </c>
    </row>
    <row r="358" customFormat="false" ht="15" hidden="false" customHeight="false" outlineLevel="0" collapsed="false">
      <c r="A358" s="28" t="n">
        <v>31068</v>
      </c>
      <c r="B358" s="28" t="n">
        <v>31074</v>
      </c>
      <c r="C358" s="21" t="n">
        <v>0</v>
      </c>
      <c r="D358" s="21" t="n">
        <v>0</v>
      </c>
      <c r="E358" s="21" t="n">
        <v>0</v>
      </c>
      <c r="F358" s="21" t="n">
        <v>0</v>
      </c>
      <c r="G358" s="30" t="s">
        <v>3432</v>
      </c>
    </row>
    <row r="359" customFormat="false" ht="15" hidden="false" customHeight="false" outlineLevel="0" collapsed="false">
      <c r="A359" s="28" t="n">
        <v>31075</v>
      </c>
      <c r="B359" s="28" t="n">
        <v>31081</v>
      </c>
      <c r="C359" s="21" t="n">
        <v>0</v>
      </c>
      <c r="D359" s="21" t="n">
        <v>0</v>
      </c>
      <c r="E359" s="21" t="n">
        <v>0</v>
      </c>
      <c r="F359" s="21" t="n">
        <v>0</v>
      </c>
      <c r="G359" s="30" t="s">
        <v>3432</v>
      </c>
    </row>
    <row r="360" customFormat="false" ht="15" hidden="false" customHeight="false" outlineLevel="0" collapsed="false">
      <c r="A360" s="28" t="n">
        <v>31082</v>
      </c>
      <c r="B360" s="28" t="n">
        <v>31088</v>
      </c>
      <c r="C360" s="21" t="n">
        <v>0</v>
      </c>
      <c r="D360" s="21" t="n">
        <v>0</v>
      </c>
      <c r="E360" s="21" t="n">
        <v>0</v>
      </c>
      <c r="F360" s="21" t="n">
        <v>0</v>
      </c>
      <c r="G360" s="30" t="s">
        <v>3432</v>
      </c>
    </row>
    <row r="361" customFormat="false" ht="15" hidden="false" customHeight="false" outlineLevel="0" collapsed="false">
      <c r="A361" s="28" t="n">
        <v>31089</v>
      </c>
      <c r="B361" s="28" t="n">
        <v>31095</v>
      </c>
      <c r="C361" s="21" t="n">
        <v>0</v>
      </c>
      <c r="D361" s="21" t="n">
        <v>0</v>
      </c>
      <c r="E361" s="21" t="n">
        <v>0</v>
      </c>
      <c r="F361" s="21" t="n">
        <v>0</v>
      </c>
      <c r="G361" s="30" t="s">
        <v>3432</v>
      </c>
    </row>
    <row r="362" customFormat="false" ht="15" hidden="false" customHeight="false" outlineLevel="0" collapsed="false">
      <c r="A362" s="28" t="n">
        <v>31096</v>
      </c>
      <c r="B362" s="28" t="n">
        <v>31102</v>
      </c>
      <c r="C362" s="21" t="n">
        <v>0</v>
      </c>
      <c r="D362" s="21" t="n">
        <v>0</v>
      </c>
      <c r="E362" s="21" t="n">
        <v>0</v>
      </c>
      <c r="F362" s="21" t="n">
        <v>0</v>
      </c>
      <c r="G362" s="30" t="s">
        <v>3432</v>
      </c>
    </row>
    <row r="363" customFormat="false" ht="15" hidden="false" customHeight="false" outlineLevel="0" collapsed="false">
      <c r="A363" s="28" t="n">
        <v>31103</v>
      </c>
      <c r="B363" s="28" t="n">
        <v>31109</v>
      </c>
      <c r="C363" s="21" t="n">
        <v>0</v>
      </c>
      <c r="D363" s="21" t="n">
        <v>0</v>
      </c>
      <c r="E363" s="21" t="n">
        <v>0</v>
      </c>
      <c r="F363" s="21" t="n">
        <v>0</v>
      </c>
      <c r="G363" s="30" t="s">
        <v>3432</v>
      </c>
    </row>
    <row r="364" customFormat="false" ht="15" hidden="false" customHeight="false" outlineLevel="0" collapsed="false">
      <c r="A364" s="28" t="n">
        <v>31110</v>
      </c>
      <c r="B364" s="28" t="n">
        <v>31116</v>
      </c>
      <c r="C364" s="21" t="n">
        <v>0</v>
      </c>
      <c r="D364" s="21" t="n">
        <v>0</v>
      </c>
      <c r="E364" s="21" t="n">
        <v>0</v>
      </c>
      <c r="F364" s="21" t="n">
        <v>0</v>
      </c>
      <c r="G364" s="30" t="s">
        <v>3432</v>
      </c>
    </row>
    <row r="365" customFormat="false" ht="15" hidden="false" customHeight="false" outlineLevel="0" collapsed="false">
      <c r="A365" s="28" t="n">
        <v>31117</v>
      </c>
      <c r="B365" s="28" t="n">
        <v>31123</v>
      </c>
      <c r="C365" s="21" t="n">
        <v>0</v>
      </c>
      <c r="D365" s="21" t="n">
        <v>0</v>
      </c>
      <c r="E365" s="21" t="n">
        <v>0</v>
      </c>
      <c r="F365" s="21" t="n">
        <v>0</v>
      </c>
      <c r="G365" s="30" t="s">
        <v>3432</v>
      </c>
    </row>
    <row r="366" customFormat="false" ht="15" hidden="false" customHeight="false" outlineLevel="0" collapsed="false">
      <c r="A366" s="28" t="n">
        <v>31124</v>
      </c>
      <c r="B366" s="28" t="n">
        <v>31130</v>
      </c>
      <c r="C366" s="21" t="n">
        <v>0</v>
      </c>
      <c r="D366" s="21" t="n">
        <v>0</v>
      </c>
      <c r="E366" s="21" t="n">
        <v>0</v>
      </c>
      <c r="F366" s="21" t="n">
        <v>0</v>
      </c>
      <c r="G366" s="30" t="s">
        <v>3432</v>
      </c>
    </row>
    <row r="367" customFormat="false" ht="15" hidden="false" customHeight="false" outlineLevel="0" collapsed="false">
      <c r="A367" s="28" t="n">
        <v>31131</v>
      </c>
      <c r="B367" s="28" t="n">
        <v>31137</v>
      </c>
      <c r="C367" s="21" t="n">
        <v>0</v>
      </c>
      <c r="D367" s="21" t="n">
        <v>0</v>
      </c>
      <c r="E367" s="21" t="n">
        <v>0</v>
      </c>
      <c r="F367" s="21" t="n">
        <v>0</v>
      </c>
      <c r="G367" s="30" t="s">
        <v>3432</v>
      </c>
    </row>
    <row r="368" customFormat="false" ht="15" hidden="false" customHeight="false" outlineLevel="0" collapsed="false">
      <c r="A368" s="28" t="n">
        <v>31138</v>
      </c>
      <c r="B368" s="28" t="n">
        <v>31144</v>
      </c>
      <c r="C368" s="21" t="n">
        <v>0</v>
      </c>
      <c r="D368" s="21" t="n">
        <v>0</v>
      </c>
      <c r="E368" s="21" t="n">
        <v>0</v>
      </c>
      <c r="F368" s="21" t="n">
        <v>0</v>
      </c>
      <c r="G368" s="30" t="s">
        <v>3432</v>
      </c>
    </row>
    <row r="369" customFormat="false" ht="15" hidden="false" customHeight="false" outlineLevel="0" collapsed="false">
      <c r="A369" s="28" t="n">
        <v>31145</v>
      </c>
      <c r="B369" s="28" t="n">
        <v>31151</v>
      </c>
      <c r="C369" s="21" t="n">
        <v>0</v>
      </c>
      <c r="D369" s="21" t="n">
        <v>0</v>
      </c>
      <c r="E369" s="21" t="n">
        <v>0</v>
      </c>
      <c r="F369" s="21" t="n">
        <v>0</v>
      </c>
      <c r="G369" s="30" t="s">
        <v>3432</v>
      </c>
    </row>
    <row r="370" customFormat="false" ht="15" hidden="false" customHeight="false" outlineLevel="0" collapsed="false">
      <c r="A370" s="28" t="n">
        <v>31152</v>
      </c>
      <c r="B370" s="28" t="n">
        <v>31158</v>
      </c>
      <c r="C370" s="21" t="n">
        <v>0</v>
      </c>
      <c r="D370" s="21" t="n">
        <v>0</v>
      </c>
      <c r="E370" s="21" t="n">
        <v>0</v>
      </c>
      <c r="F370" s="21" t="n">
        <v>0</v>
      </c>
      <c r="G370" s="30" t="s">
        <v>3432</v>
      </c>
    </row>
    <row r="371" customFormat="false" ht="15" hidden="false" customHeight="false" outlineLevel="0" collapsed="false">
      <c r="A371" s="28" t="n">
        <v>31159</v>
      </c>
      <c r="B371" s="28" t="n">
        <v>31165</v>
      </c>
      <c r="C371" s="21" t="n">
        <v>0</v>
      </c>
      <c r="D371" s="21" t="n">
        <v>0</v>
      </c>
      <c r="E371" s="21" t="n">
        <v>0</v>
      </c>
      <c r="F371" s="21" t="n">
        <v>0</v>
      </c>
      <c r="G371" s="30" t="s">
        <v>3432</v>
      </c>
    </row>
    <row r="372" customFormat="false" ht="15" hidden="false" customHeight="false" outlineLevel="0" collapsed="false">
      <c r="A372" s="28" t="n">
        <v>31166</v>
      </c>
      <c r="B372" s="28" t="n">
        <v>31172</v>
      </c>
      <c r="C372" s="21" t="n">
        <v>0</v>
      </c>
      <c r="D372" s="21" t="n">
        <v>0</v>
      </c>
      <c r="E372" s="21" t="n">
        <v>0</v>
      </c>
      <c r="F372" s="21" t="n">
        <v>0</v>
      </c>
      <c r="G372" s="30" t="s">
        <v>3432</v>
      </c>
    </row>
    <row r="373" customFormat="false" ht="15" hidden="false" customHeight="false" outlineLevel="0" collapsed="false">
      <c r="A373" s="28" t="n">
        <v>31173</v>
      </c>
      <c r="B373" s="28" t="n">
        <v>31179</v>
      </c>
      <c r="C373" s="21" t="n">
        <v>0</v>
      </c>
      <c r="D373" s="21" t="n">
        <v>0</v>
      </c>
      <c r="E373" s="21" t="n">
        <v>0</v>
      </c>
      <c r="F373" s="21" t="n">
        <v>0</v>
      </c>
      <c r="G373" s="30" t="s">
        <v>3432</v>
      </c>
    </row>
    <row r="374" customFormat="false" ht="15" hidden="false" customHeight="false" outlineLevel="0" collapsed="false">
      <c r="A374" s="28" t="n">
        <v>31180</v>
      </c>
      <c r="B374" s="28" t="n">
        <v>31186</v>
      </c>
      <c r="C374" s="21" t="n">
        <v>0</v>
      </c>
      <c r="D374" s="21" t="n">
        <v>0</v>
      </c>
      <c r="E374" s="21" t="n">
        <v>0</v>
      </c>
      <c r="F374" s="21" t="n">
        <v>0</v>
      </c>
      <c r="G374" s="30" t="s">
        <v>3432</v>
      </c>
    </row>
    <row r="375" customFormat="false" ht="15" hidden="false" customHeight="false" outlineLevel="0" collapsed="false">
      <c r="A375" s="28" t="n">
        <v>31187</v>
      </c>
      <c r="B375" s="28" t="n">
        <v>31193</v>
      </c>
      <c r="C375" s="21" t="n">
        <v>0</v>
      </c>
      <c r="D375" s="21" t="n">
        <v>0</v>
      </c>
      <c r="E375" s="21" t="n">
        <v>0</v>
      </c>
      <c r="F375" s="21" t="n">
        <v>0</v>
      </c>
      <c r="G375" s="30" t="s">
        <v>3432</v>
      </c>
    </row>
    <row r="376" customFormat="false" ht="15" hidden="false" customHeight="false" outlineLevel="0" collapsed="false">
      <c r="A376" s="28" t="n">
        <v>31194</v>
      </c>
      <c r="B376" s="28" t="n">
        <v>31200</v>
      </c>
      <c r="C376" s="21" t="n">
        <v>0</v>
      </c>
      <c r="D376" s="21" t="n">
        <v>0</v>
      </c>
      <c r="E376" s="21" t="n">
        <v>0</v>
      </c>
      <c r="F376" s="21" t="n">
        <v>0</v>
      </c>
      <c r="G376" s="30" t="s">
        <v>3432</v>
      </c>
    </row>
    <row r="377" customFormat="false" ht="15" hidden="false" customHeight="false" outlineLevel="0" collapsed="false">
      <c r="A377" s="28" t="n">
        <v>31201</v>
      </c>
      <c r="B377" s="28" t="n">
        <v>31207</v>
      </c>
      <c r="C377" s="21" t="n">
        <v>0</v>
      </c>
      <c r="D377" s="21" t="n">
        <v>0</v>
      </c>
      <c r="E377" s="21" t="n">
        <v>0</v>
      </c>
      <c r="F377" s="21" t="n">
        <v>0</v>
      </c>
      <c r="G377" s="30" t="s">
        <v>3432</v>
      </c>
    </row>
    <row r="378" customFormat="false" ht="15" hidden="false" customHeight="false" outlineLevel="0" collapsed="false">
      <c r="A378" s="28" t="n">
        <v>31208</v>
      </c>
      <c r="B378" s="28" t="n">
        <v>31214</v>
      </c>
      <c r="C378" s="21" t="n">
        <v>0</v>
      </c>
      <c r="D378" s="21" t="n">
        <v>0</v>
      </c>
      <c r="E378" s="21" t="n">
        <v>0</v>
      </c>
      <c r="F378" s="21" t="n">
        <v>0</v>
      </c>
      <c r="G378" s="30" t="s">
        <v>3432</v>
      </c>
    </row>
    <row r="379" customFormat="false" ht="15" hidden="false" customHeight="false" outlineLevel="0" collapsed="false">
      <c r="A379" s="28" t="n">
        <v>31215</v>
      </c>
      <c r="B379" s="28" t="n">
        <v>31221</v>
      </c>
      <c r="C379" s="21" t="n">
        <v>0</v>
      </c>
      <c r="D379" s="21" t="n">
        <v>0</v>
      </c>
      <c r="E379" s="21" t="n">
        <v>0</v>
      </c>
      <c r="F379" s="21" t="n">
        <v>0</v>
      </c>
      <c r="G379" s="30" t="s">
        <v>3432</v>
      </c>
    </row>
    <row r="380" customFormat="false" ht="15" hidden="false" customHeight="false" outlineLevel="0" collapsed="false">
      <c r="A380" s="28" t="n">
        <v>31222</v>
      </c>
      <c r="B380" s="28" t="n">
        <v>31228</v>
      </c>
      <c r="C380" s="21" t="n">
        <v>0</v>
      </c>
      <c r="D380" s="21" t="n">
        <v>0</v>
      </c>
      <c r="E380" s="21" t="n">
        <v>0</v>
      </c>
      <c r="F380" s="21" t="n">
        <v>0</v>
      </c>
      <c r="G380" s="30" t="s">
        <v>3432</v>
      </c>
    </row>
    <row r="381" customFormat="false" ht="15" hidden="false" customHeight="false" outlineLevel="0" collapsed="false">
      <c r="A381" s="28" t="n">
        <v>31229</v>
      </c>
      <c r="B381" s="28" t="n">
        <v>31235</v>
      </c>
      <c r="C381" s="21" t="n">
        <v>0</v>
      </c>
      <c r="D381" s="21" t="n">
        <v>0</v>
      </c>
      <c r="E381" s="21" t="n">
        <v>0</v>
      </c>
      <c r="F381" s="21" t="n">
        <v>0</v>
      </c>
      <c r="G381" s="30" t="s">
        <v>3432</v>
      </c>
    </row>
    <row r="382" customFormat="false" ht="15" hidden="false" customHeight="false" outlineLevel="0" collapsed="false">
      <c r="A382" s="28" t="n">
        <v>31236</v>
      </c>
      <c r="B382" s="28" t="n">
        <v>31242</v>
      </c>
      <c r="C382" s="21" t="n">
        <v>0</v>
      </c>
      <c r="D382" s="21" t="n">
        <v>0</v>
      </c>
      <c r="E382" s="21" t="n">
        <v>0</v>
      </c>
      <c r="F382" s="21" t="n">
        <v>0</v>
      </c>
      <c r="G382" s="30" t="s">
        <v>3432</v>
      </c>
    </row>
    <row r="383" customFormat="false" ht="15" hidden="false" customHeight="false" outlineLevel="0" collapsed="false">
      <c r="A383" s="28" t="n">
        <v>31243</v>
      </c>
      <c r="B383" s="28" t="n">
        <v>31249</v>
      </c>
      <c r="C383" s="21" t="n">
        <v>0</v>
      </c>
      <c r="D383" s="21" t="n">
        <v>0</v>
      </c>
      <c r="E383" s="21" t="n">
        <v>0</v>
      </c>
      <c r="F383" s="21" t="n">
        <v>0</v>
      </c>
      <c r="G383" s="30" t="s">
        <v>3432</v>
      </c>
    </row>
    <row r="384" customFormat="false" ht="15" hidden="false" customHeight="false" outlineLevel="0" collapsed="false">
      <c r="A384" s="28" t="n">
        <v>31250</v>
      </c>
      <c r="B384" s="28" t="n">
        <v>31256</v>
      </c>
      <c r="C384" s="21" t="n">
        <v>0</v>
      </c>
      <c r="D384" s="21" t="n">
        <v>0</v>
      </c>
      <c r="E384" s="21" t="n">
        <v>0</v>
      </c>
      <c r="F384" s="21" t="n">
        <v>0</v>
      </c>
      <c r="G384" s="30" t="s">
        <v>3432</v>
      </c>
    </row>
    <row r="385" customFormat="false" ht="15" hidden="false" customHeight="false" outlineLevel="0" collapsed="false">
      <c r="A385" s="28" t="n">
        <v>31257</v>
      </c>
      <c r="B385" s="28" t="n">
        <v>31263</v>
      </c>
      <c r="C385" s="21" t="n">
        <v>0</v>
      </c>
      <c r="D385" s="21" t="n">
        <v>0</v>
      </c>
      <c r="E385" s="21" t="n">
        <v>0</v>
      </c>
      <c r="F385" s="21" t="n">
        <v>0</v>
      </c>
      <c r="G385" s="30" t="s">
        <v>3432</v>
      </c>
    </row>
    <row r="386" customFormat="false" ht="15" hidden="false" customHeight="false" outlineLevel="0" collapsed="false">
      <c r="A386" s="28" t="n">
        <v>31264</v>
      </c>
      <c r="B386" s="28" t="n">
        <v>31270</v>
      </c>
      <c r="C386" s="21" t="n">
        <v>0</v>
      </c>
      <c r="D386" s="21" t="n">
        <v>0</v>
      </c>
      <c r="E386" s="21" t="n">
        <v>0</v>
      </c>
      <c r="F386" s="21" t="n">
        <v>0</v>
      </c>
      <c r="G386" s="30" t="s">
        <v>3432</v>
      </c>
    </row>
    <row r="387" customFormat="false" ht="15" hidden="false" customHeight="false" outlineLevel="0" collapsed="false">
      <c r="A387" s="28" t="n">
        <v>31271</v>
      </c>
      <c r="B387" s="28" t="n">
        <v>31277</v>
      </c>
      <c r="C387" s="21" t="n">
        <v>0</v>
      </c>
      <c r="D387" s="21" t="n">
        <v>0</v>
      </c>
      <c r="E387" s="21" t="n">
        <v>0</v>
      </c>
      <c r="F387" s="21" t="n">
        <v>0</v>
      </c>
      <c r="G387" s="30" t="s">
        <v>3432</v>
      </c>
    </row>
    <row r="388" customFormat="false" ht="15" hidden="false" customHeight="false" outlineLevel="0" collapsed="false">
      <c r="A388" s="28" t="n">
        <v>31278</v>
      </c>
      <c r="B388" s="28" t="n">
        <v>31284</v>
      </c>
      <c r="C388" s="21" t="n">
        <v>0</v>
      </c>
      <c r="D388" s="21" t="n">
        <v>0</v>
      </c>
      <c r="E388" s="21" t="n">
        <v>0</v>
      </c>
      <c r="F388" s="21" t="n">
        <v>0</v>
      </c>
      <c r="G388" s="30" t="s">
        <v>3432</v>
      </c>
    </row>
    <row r="389" customFormat="false" ht="15" hidden="false" customHeight="false" outlineLevel="0" collapsed="false">
      <c r="A389" s="28" t="n">
        <v>31285</v>
      </c>
      <c r="B389" s="28" t="n">
        <v>31291</v>
      </c>
      <c r="C389" s="21" t="n">
        <v>0</v>
      </c>
      <c r="D389" s="21" t="n">
        <v>0</v>
      </c>
      <c r="E389" s="21" t="n">
        <v>0</v>
      </c>
      <c r="F389" s="21" t="n">
        <v>0</v>
      </c>
      <c r="G389" s="30" t="s">
        <v>3432</v>
      </c>
    </row>
    <row r="390" customFormat="false" ht="15" hidden="false" customHeight="false" outlineLevel="0" collapsed="false">
      <c r="A390" s="28" t="n">
        <v>31292</v>
      </c>
      <c r="B390" s="28" t="n">
        <v>31298</v>
      </c>
      <c r="C390" s="21" t="n">
        <v>0</v>
      </c>
      <c r="D390" s="21" t="n">
        <v>0</v>
      </c>
      <c r="E390" s="21" t="n">
        <v>0</v>
      </c>
      <c r="F390" s="21" t="n">
        <v>0</v>
      </c>
      <c r="G390" s="30" t="s">
        <v>3432</v>
      </c>
    </row>
    <row r="391" customFormat="false" ht="15" hidden="false" customHeight="false" outlineLevel="0" collapsed="false">
      <c r="A391" s="28" t="n">
        <v>31299</v>
      </c>
      <c r="B391" s="28" t="n">
        <v>31305</v>
      </c>
      <c r="C391" s="21" t="n">
        <v>0</v>
      </c>
      <c r="D391" s="21" t="n">
        <v>0</v>
      </c>
      <c r="E391" s="21" t="n">
        <v>0</v>
      </c>
      <c r="F391" s="21" t="n">
        <v>0</v>
      </c>
      <c r="G391" s="30" t="s">
        <v>3432</v>
      </c>
    </row>
    <row r="392" customFormat="false" ht="15" hidden="false" customHeight="false" outlineLevel="0" collapsed="false">
      <c r="A392" s="28" t="n">
        <v>31306</v>
      </c>
      <c r="B392" s="28" t="n">
        <v>31312</v>
      </c>
      <c r="C392" s="21" t="n">
        <v>0</v>
      </c>
      <c r="D392" s="21" t="n">
        <v>0</v>
      </c>
      <c r="E392" s="21" t="n">
        <v>0</v>
      </c>
      <c r="F392" s="21" t="n">
        <v>0</v>
      </c>
      <c r="G392" s="30" t="s">
        <v>3432</v>
      </c>
    </row>
    <row r="393" customFormat="false" ht="15" hidden="false" customHeight="false" outlineLevel="0" collapsed="false">
      <c r="A393" s="28" t="n">
        <v>31313</v>
      </c>
      <c r="B393" s="28" t="n">
        <v>31319</v>
      </c>
      <c r="C393" s="21" t="n">
        <v>0</v>
      </c>
      <c r="D393" s="21" t="n">
        <v>0</v>
      </c>
      <c r="E393" s="21" t="n">
        <v>0</v>
      </c>
      <c r="F393" s="21" t="n">
        <v>0</v>
      </c>
      <c r="G393" s="30" t="s">
        <v>3432</v>
      </c>
    </row>
    <row r="394" customFormat="false" ht="15" hidden="false" customHeight="false" outlineLevel="0" collapsed="false">
      <c r="A394" s="28" t="n">
        <v>31320</v>
      </c>
      <c r="B394" s="28" t="n">
        <v>31326</v>
      </c>
      <c r="C394" s="21" t="n">
        <v>0</v>
      </c>
      <c r="D394" s="21" t="n">
        <v>0</v>
      </c>
      <c r="E394" s="21" t="n">
        <v>0</v>
      </c>
      <c r="F394" s="21" t="n">
        <v>0</v>
      </c>
      <c r="G394" s="30" t="s">
        <v>3432</v>
      </c>
    </row>
    <row r="395" customFormat="false" ht="15" hidden="false" customHeight="false" outlineLevel="0" collapsed="false">
      <c r="A395" s="28" t="n">
        <v>31327</v>
      </c>
      <c r="B395" s="28" t="n">
        <v>31333</v>
      </c>
      <c r="C395" s="21" t="n">
        <v>0</v>
      </c>
      <c r="D395" s="21" t="n">
        <v>0</v>
      </c>
      <c r="E395" s="21" t="n">
        <v>0</v>
      </c>
      <c r="F395" s="21" t="n">
        <v>0</v>
      </c>
      <c r="G395" s="30" t="s">
        <v>3432</v>
      </c>
    </row>
    <row r="396" customFormat="false" ht="15" hidden="false" customHeight="false" outlineLevel="0" collapsed="false">
      <c r="A396" s="28" t="n">
        <v>31334</v>
      </c>
      <c r="B396" s="28" t="n">
        <v>31340</v>
      </c>
      <c r="C396" s="21" t="n">
        <v>0</v>
      </c>
      <c r="D396" s="21" t="n">
        <v>0</v>
      </c>
      <c r="E396" s="21" t="n">
        <v>0</v>
      </c>
      <c r="F396" s="21" t="n">
        <v>0</v>
      </c>
      <c r="G396" s="30" t="s">
        <v>3432</v>
      </c>
    </row>
    <row r="397" customFormat="false" ht="15" hidden="false" customHeight="false" outlineLevel="0" collapsed="false">
      <c r="A397" s="28" t="n">
        <v>31341</v>
      </c>
      <c r="B397" s="28" t="n">
        <v>31347</v>
      </c>
      <c r="C397" s="21" t="n">
        <v>0</v>
      </c>
      <c r="D397" s="21" t="n">
        <v>0</v>
      </c>
      <c r="E397" s="21" t="n">
        <v>0</v>
      </c>
      <c r="F397" s="21" t="n">
        <v>0</v>
      </c>
      <c r="G397" s="30" t="s">
        <v>3432</v>
      </c>
    </row>
    <row r="398" customFormat="false" ht="15" hidden="false" customHeight="false" outlineLevel="0" collapsed="false">
      <c r="A398" s="28" t="n">
        <v>31348</v>
      </c>
      <c r="B398" s="28" t="n">
        <v>31354</v>
      </c>
      <c r="C398" s="21" t="n">
        <v>0</v>
      </c>
      <c r="D398" s="21" t="n">
        <v>0</v>
      </c>
      <c r="E398" s="21" t="n">
        <v>0</v>
      </c>
      <c r="F398" s="21" t="n">
        <v>0</v>
      </c>
      <c r="G398" s="30" t="s">
        <v>3432</v>
      </c>
    </row>
    <row r="399" customFormat="false" ht="15" hidden="false" customHeight="false" outlineLevel="0" collapsed="false">
      <c r="A399" s="28" t="n">
        <v>31355</v>
      </c>
      <c r="B399" s="28" t="n">
        <v>31361</v>
      </c>
      <c r="C399" s="21" t="n">
        <v>0</v>
      </c>
      <c r="D399" s="21" t="n">
        <v>0</v>
      </c>
      <c r="E399" s="21" t="n">
        <v>0</v>
      </c>
      <c r="F399" s="21" t="n">
        <v>0</v>
      </c>
      <c r="G399" s="30" t="s">
        <v>3432</v>
      </c>
    </row>
    <row r="400" customFormat="false" ht="15" hidden="false" customHeight="false" outlineLevel="0" collapsed="false">
      <c r="A400" s="28" t="n">
        <v>31362</v>
      </c>
      <c r="B400" s="28" t="n">
        <v>31368</v>
      </c>
      <c r="C400" s="21" t="n">
        <v>0</v>
      </c>
      <c r="D400" s="21" t="n">
        <v>0</v>
      </c>
      <c r="E400" s="21" t="n">
        <v>0</v>
      </c>
      <c r="F400" s="21" t="n">
        <v>0</v>
      </c>
      <c r="G400" s="30" t="s">
        <v>3432</v>
      </c>
    </row>
    <row r="401" customFormat="false" ht="15" hidden="false" customHeight="false" outlineLevel="0" collapsed="false">
      <c r="A401" s="28" t="n">
        <v>31369</v>
      </c>
      <c r="B401" s="28" t="n">
        <v>31375</v>
      </c>
      <c r="C401" s="21" t="n">
        <v>0</v>
      </c>
      <c r="D401" s="21" t="n">
        <v>0</v>
      </c>
      <c r="E401" s="21" t="n">
        <v>0</v>
      </c>
      <c r="F401" s="21" t="n">
        <v>0</v>
      </c>
      <c r="G401" s="30" t="s">
        <v>3432</v>
      </c>
    </row>
    <row r="402" customFormat="false" ht="15" hidden="false" customHeight="false" outlineLevel="0" collapsed="false">
      <c r="A402" s="28" t="n">
        <v>31376</v>
      </c>
      <c r="B402" s="28" t="n">
        <v>31382</v>
      </c>
      <c r="C402" s="21" t="n">
        <v>0</v>
      </c>
      <c r="D402" s="21" t="n">
        <v>0</v>
      </c>
      <c r="E402" s="21" t="n">
        <v>0</v>
      </c>
      <c r="F402" s="21" t="n">
        <v>0</v>
      </c>
      <c r="G402" s="30" t="s">
        <v>3432</v>
      </c>
    </row>
    <row r="403" customFormat="false" ht="15" hidden="false" customHeight="false" outlineLevel="0" collapsed="false">
      <c r="A403" s="28" t="n">
        <v>31383</v>
      </c>
      <c r="B403" s="28" t="n">
        <v>31389</v>
      </c>
      <c r="C403" s="21" t="n">
        <v>0</v>
      </c>
      <c r="D403" s="21" t="n">
        <v>0</v>
      </c>
      <c r="E403" s="21" t="n">
        <v>0</v>
      </c>
      <c r="F403" s="21" t="n">
        <v>0</v>
      </c>
      <c r="G403" s="30" t="s">
        <v>3432</v>
      </c>
    </row>
    <row r="404" customFormat="false" ht="15" hidden="false" customHeight="false" outlineLevel="0" collapsed="false">
      <c r="A404" s="28" t="n">
        <v>31390</v>
      </c>
      <c r="B404" s="28" t="n">
        <v>31396</v>
      </c>
      <c r="C404" s="21" t="n">
        <v>0</v>
      </c>
      <c r="D404" s="21" t="n">
        <v>0</v>
      </c>
      <c r="E404" s="21" t="n">
        <v>0</v>
      </c>
      <c r="F404" s="21" t="n">
        <v>0</v>
      </c>
      <c r="G404" s="30" t="s">
        <v>3432</v>
      </c>
    </row>
    <row r="405" customFormat="false" ht="15" hidden="false" customHeight="false" outlineLevel="0" collapsed="false">
      <c r="A405" s="28" t="n">
        <v>31397</v>
      </c>
      <c r="B405" s="28" t="n">
        <v>31403</v>
      </c>
      <c r="C405" s="21" t="n">
        <v>0</v>
      </c>
      <c r="D405" s="21" t="n">
        <v>0</v>
      </c>
      <c r="E405" s="21" t="n">
        <v>0</v>
      </c>
      <c r="F405" s="21" t="n">
        <v>0</v>
      </c>
      <c r="G405" s="30" t="s">
        <v>3432</v>
      </c>
    </row>
    <row r="406" customFormat="false" ht="15" hidden="false" customHeight="false" outlineLevel="0" collapsed="false">
      <c r="A406" s="28" t="n">
        <v>31404</v>
      </c>
      <c r="B406" s="28" t="n">
        <v>31410</v>
      </c>
      <c r="C406" s="21" t="n">
        <v>0</v>
      </c>
      <c r="D406" s="21" t="n">
        <v>0</v>
      </c>
      <c r="E406" s="21" t="n">
        <v>0</v>
      </c>
      <c r="F406" s="21" t="n">
        <v>0</v>
      </c>
      <c r="G406" s="30" t="s">
        <v>3432</v>
      </c>
    </row>
    <row r="407" customFormat="false" ht="15" hidden="false" customHeight="false" outlineLevel="0" collapsed="false">
      <c r="A407" s="28" t="n">
        <v>31411</v>
      </c>
      <c r="B407" s="28" t="n">
        <v>31417</v>
      </c>
      <c r="C407" s="21" t="n">
        <v>0</v>
      </c>
      <c r="D407" s="21" t="n">
        <v>0</v>
      </c>
      <c r="E407" s="21" t="n">
        <v>0</v>
      </c>
      <c r="F407" s="21" t="n">
        <v>0</v>
      </c>
      <c r="G407" s="30" t="s">
        <v>3432</v>
      </c>
    </row>
    <row r="408" customFormat="false" ht="15" hidden="false" customHeight="false" outlineLevel="0" collapsed="false">
      <c r="A408" s="28" t="n">
        <v>31418</v>
      </c>
      <c r="B408" s="28" t="n">
        <v>31424</v>
      </c>
      <c r="C408" s="21" t="n">
        <v>0</v>
      </c>
      <c r="D408" s="21" t="n">
        <v>0</v>
      </c>
      <c r="E408" s="21" t="n">
        <v>0</v>
      </c>
      <c r="F408" s="21" t="n">
        <v>0</v>
      </c>
      <c r="G408" s="30" t="s">
        <v>3432</v>
      </c>
    </row>
    <row r="409" customFormat="false" ht="15" hidden="false" customHeight="false" outlineLevel="0" collapsed="false">
      <c r="A409" s="28" t="n">
        <v>31425</v>
      </c>
      <c r="B409" s="28" t="n">
        <v>31431</v>
      </c>
      <c r="C409" s="21" t="n">
        <v>0</v>
      </c>
      <c r="D409" s="21" t="n">
        <v>0</v>
      </c>
      <c r="E409" s="21" t="n">
        <v>0</v>
      </c>
      <c r="F409" s="21" t="n">
        <v>0</v>
      </c>
      <c r="G409" s="30" t="s">
        <v>3432</v>
      </c>
    </row>
    <row r="410" customFormat="false" ht="15" hidden="false" customHeight="false" outlineLevel="0" collapsed="false">
      <c r="A410" s="28" t="n">
        <v>31432</v>
      </c>
      <c r="B410" s="28" t="n">
        <v>31438</v>
      </c>
      <c r="C410" s="21" t="n">
        <v>0</v>
      </c>
      <c r="D410" s="21" t="n">
        <v>0</v>
      </c>
      <c r="E410" s="21" t="n">
        <v>0</v>
      </c>
      <c r="F410" s="21" t="n">
        <v>0</v>
      </c>
      <c r="G410" s="30" t="s">
        <v>3432</v>
      </c>
    </row>
    <row r="411" customFormat="false" ht="15" hidden="false" customHeight="false" outlineLevel="0" collapsed="false">
      <c r="A411" s="28" t="n">
        <v>31439</v>
      </c>
      <c r="B411" s="28" t="n">
        <v>31445</v>
      </c>
      <c r="C411" s="21" t="n">
        <v>0</v>
      </c>
      <c r="D411" s="21" t="n">
        <v>0</v>
      </c>
      <c r="E411" s="21" t="n">
        <v>0</v>
      </c>
      <c r="F411" s="21" t="n">
        <v>0</v>
      </c>
      <c r="G411" s="30" t="s">
        <v>3432</v>
      </c>
    </row>
    <row r="412" customFormat="false" ht="15" hidden="false" customHeight="false" outlineLevel="0" collapsed="false">
      <c r="A412" s="28" t="n">
        <v>31446</v>
      </c>
      <c r="B412" s="28" t="n">
        <v>31452</v>
      </c>
      <c r="C412" s="21" t="n">
        <v>0</v>
      </c>
      <c r="D412" s="21" t="n">
        <v>0</v>
      </c>
      <c r="E412" s="21" t="n">
        <v>0</v>
      </c>
      <c r="F412" s="21" t="n">
        <v>0</v>
      </c>
      <c r="G412" s="30" t="s">
        <v>3432</v>
      </c>
    </row>
    <row r="413" customFormat="false" ht="15" hidden="false" customHeight="false" outlineLevel="0" collapsed="false">
      <c r="A413" s="28" t="n">
        <v>31453</v>
      </c>
      <c r="B413" s="28" t="n">
        <v>31459</v>
      </c>
      <c r="C413" s="21" t="n">
        <v>0</v>
      </c>
      <c r="D413" s="21" t="n">
        <v>0</v>
      </c>
      <c r="E413" s="21" t="n">
        <v>0</v>
      </c>
      <c r="F413" s="21" t="n">
        <v>0</v>
      </c>
      <c r="G413" s="30" t="s">
        <v>3432</v>
      </c>
    </row>
    <row r="414" customFormat="false" ht="15" hidden="false" customHeight="false" outlineLevel="0" collapsed="false">
      <c r="A414" s="28" t="n">
        <v>31460</v>
      </c>
      <c r="B414" s="28" t="n">
        <v>31466</v>
      </c>
      <c r="C414" s="21" t="n">
        <v>0</v>
      </c>
      <c r="D414" s="21" t="n">
        <v>0</v>
      </c>
      <c r="E414" s="21" t="n">
        <v>0</v>
      </c>
      <c r="F414" s="21" t="n">
        <v>0</v>
      </c>
      <c r="G414" s="30" t="s">
        <v>3432</v>
      </c>
    </row>
    <row r="415" customFormat="false" ht="15" hidden="false" customHeight="false" outlineLevel="0" collapsed="false">
      <c r="A415" s="28" t="n">
        <v>31467</v>
      </c>
      <c r="B415" s="28" t="n">
        <v>31473</v>
      </c>
      <c r="C415" s="21" t="n">
        <v>0</v>
      </c>
      <c r="D415" s="21" t="n">
        <v>0</v>
      </c>
      <c r="E415" s="21" t="n">
        <v>0</v>
      </c>
      <c r="F415" s="21" t="n">
        <v>0</v>
      </c>
      <c r="G415" s="30" t="s">
        <v>3432</v>
      </c>
    </row>
    <row r="416" customFormat="false" ht="15" hidden="false" customHeight="false" outlineLevel="0" collapsed="false">
      <c r="A416" s="28" t="n">
        <v>31474</v>
      </c>
      <c r="B416" s="28" t="n">
        <v>31480</v>
      </c>
      <c r="C416" s="21" t="n">
        <v>0</v>
      </c>
      <c r="D416" s="21" t="n">
        <v>0</v>
      </c>
      <c r="E416" s="21" t="n">
        <v>0</v>
      </c>
      <c r="F416" s="21" t="n">
        <v>0</v>
      </c>
      <c r="G416" s="30" t="s">
        <v>3432</v>
      </c>
    </row>
    <row r="417" customFormat="false" ht="15" hidden="false" customHeight="false" outlineLevel="0" collapsed="false">
      <c r="A417" s="28" t="n">
        <v>31481</v>
      </c>
      <c r="B417" s="28" t="n">
        <v>31487</v>
      </c>
      <c r="C417" s="21" t="n">
        <v>0</v>
      </c>
      <c r="D417" s="21" t="n">
        <v>0</v>
      </c>
      <c r="E417" s="21" t="n">
        <v>0</v>
      </c>
      <c r="F417" s="21" t="n">
        <v>0</v>
      </c>
      <c r="G417" s="30" t="s">
        <v>3432</v>
      </c>
    </row>
    <row r="418" customFormat="false" ht="15" hidden="false" customHeight="false" outlineLevel="0" collapsed="false">
      <c r="A418" s="28" t="n">
        <v>31488</v>
      </c>
      <c r="B418" s="28" t="n">
        <v>31494</v>
      </c>
      <c r="C418" s="21" t="n">
        <v>0</v>
      </c>
      <c r="D418" s="21" t="n">
        <v>0</v>
      </c>
      <c r="E418" s="21" t="n">
        <v>0</v>
      </c>
      <c r="F418" s="21" t="n">
        <v>0</v>
      </c>
      <c r="G418" s="30" t="s">
        <v>3432</v>
      </c>
    </row>
    <row r="419" customFormat="false" ht="15" hidden="false" customHeight="false" outlineLevel="0" collapsed="false">
      <c r="A419" s="28" t="n">
        <v>31495</v>
      </c>
      <c r="B419" s="28" t="n">
        <v>31501</v>
      </c>
      <c r="C419" s="21" t="n">
        <v>0</v>
      </c>
      <c r="D419" s="21" t="n">
        <v>0</v>
      </c>
      <c r="E419" s="21" t="n">
        <v>0</v>
      </c>
      <c r="F419" s="21" t="n">
        <v>0</v>
      </c>
      <c r="G419" s="30" t="s">
        <v>3432</v>
      </c>
    </row>
    <row r="420" customFormat="false" ht="15" hidden="false" customHeight="false" outlineLevel="0" collapsed="false">
      <c r="A420" s="28" t="n">
        <v>31502</v>
      </c>
      <c r="B420" s="28" t="n">
        <v>31508</v>
      </c>
      <c r="C420" s="21" t="n">
        <v>0</v>
      </c>
      <c r="D420" s="21" t="n">
        <v>0</v>
      </c>
      <c r="E420" s="21" t="n">
        <v>0</v>
      </c>
      <c r="F420" s="21" t="n">
        <v>0</v>
      </c>
      <c r="G420" s="30" t="s">
        <v>3432</v>
      </c>
    </row>
    <row r="421" customFormat="false" ht="15" hidden="false" customHeight="false" outlineLevel="0" collapsed="false">
      <c r="A421" s="28" t="n">
        <v>31509</v>
      </c>
      <c r="B421" s="28" t="n">
        <v>31515</v>
      </c>
      <c r="C421" s="21" t="n">
        <v>0</v>
      </c>
      <c r="D421" s="21" t="n">
        <v>0</v>
      </c>
      <c r="E421" s="21" t="n">
        <v>0</v>
      </c>
      <c r="F421" s="21" t="n">
        <v>0</v>
      </c>
      <c r="G421" s="30" t="s">
        <v>3432</v>
      </c>
    </row>
    <row r="422" customFormat="false" ht="15" hidden="false" customHeight="false" outlineLevel="0" collapsed="false">
      <c r="A422" s="28" t="n">
        <v>31516</v>
      </c>
      <c r="B422" s="28" t="n">
        <v>31522</v>
      </c>
      <c r="C422" s="21" t="n">
        <v>0</v>
      </c>
      <c r="D422" s="21" t="n">
        <v>0</v>
      </c>
      <c r="E422" s="21" t="n">
        <v>0</v>
      </c>
      <c r="F422" s="21" t="n">
        <v>0</v>
      </c>
      <c r="G422" s="30" t="s">
        <v>3432</v>
      </c>
    </row>
    <row r="423" customFormat="false" ht="15" hidden="false" customHeight="false" outlineLevel="0" collapsed="false">
      <c r="A423" s="28" t="n">
        <v>31523</v>
      </c>
      <c r="B423" s="28" t="n">
        <v>31529</v>
      </c>
      <c r="C423" s="21" t="n">
        <v>0</v>
      </c>
      <c r="D423" s="21" t="n">
        <v>0</v>
      </c>
      <c r="E423" s="21" t="n">
        <v>0</v>
      </c>
      <c r="F423" s="21" t="n">
        <v>0</v>
      </c>
      <c r="G423" s="30" t="s">
        <v>3432</v>
      </c>
    </row>
    <row r="424" customFormat="false" ht="15" hidden="false" customHeight="false" outlineLevel="0" collapsed="false">
      <c r="A424" s="28" t="n">
        <v>31530</v>
      </c>
      <c r="B424" s="28" t="n">
        <v>31536</v>
      </c>
      <c r="C424" s="21" t="n">
        <v>0</v>
      </c>
      <c r="D424" s="21" t="n">
        <v>0</v>
      </c>
      <c r="E424" s="21" t="n">
        <v>0</v>
      </c>
      <c r="F424" s="21" t="n">
        <v>0</v>
      </c>
      <c r="G424" s="30" t="s">
        <v>3432</v>
      </c>
    </row>
    <row r="425" customFormat="false" ht="15" hidden="false" customHeight="false" outlineLevel="0" collapsed="false">
      <c r="A425" s="28" t="n">
        <v>31537</v>
      </c>
      <c r="B425" s="28" t="n">
        <v>31543</v>
      </c>
      <c r="C425" s="21" t="n">
        <v>0</v>
      </c>
      <c r="D425" s="21" t="n">
        <v>0</v>
      </c>
      <c r="E425" s="21" t="n">
        <v>0</v>
      </c>
      <c r="F425" s="21" t="n">
        <v>0</v>
      </c>
      <c r="G425" s="30" t="s">
        <v>3432</v>
      </c>
    </row>
    <row r="426" customFormat="false" ht="15" hidden="false" customHeight="false" outlineLevel="0" collapsed="false">
      <c r="A426" s="28" t="n">
        <v>31544</v>
      </c>
      <c r="B426" s="28" t="n">
        <v>31550</v>
      </c>
      <c r="C426" s="21" t="n">
        <v>0</v>
      </c>
      <c r="D426" s="21" t="n">
        <v>0</v>
      </c>
      <c r="E426" s="21" t="n">
        <v>0</v>
      </c>
      <c r="F426" s="21" t="n">
        <v>0</v>
      </c>
      <c r="G426" s="30" t="s">
        <v>3432</v>
      </c>
    </row>
    <row r="427" customFormat="false" ht="15" hidden="false" customHeight="false" outlineLevel="0" collapsed="false">
      <c r="A427" s="28" t="n">
        <v>31551</v>
      </c>
      <c r="B427" s="28" t="n">
        <v>31557</v>
      </c>
      <c r="C427" s="21" t="n">
        <v>0</v>
      </c>
      <c r="D427" s="21" t="n">
        <v>0</v>
      </c>
      <c r="E427" s="21" t="n">
        <v>0</v>
      </c>
      <c r="F427" s="21" t="n">
        <v>0</v>
      </c>
      <c r="G427" s="30" t="s">
        <v>3432</v>
      </c>
    </row>
    <row r="428" customFormat="false" ht="15" hidden="false" customHeight="false" outlineLevel="0" collapsed="false">
      <c r="A428" s="28" t="n">
        <v>31558</v>
      </c>
      <c r="B428" s="28" t="n">
        <v>31564</v>
      </c>
      <c r="C428" s="21" t="n">
        <v>0</v>
      </c>
      <c r="D428" s="21" t="n">
        <v>0</v>
      </c>
      <c r="E428" s="21" t="n">
        <v>0</v>
      </c>
      <c r="F428" s="21" t="n">
        <v>0</v>
      </c>
      <c r="G428" s="30" t="s">
        <v>3432</v>
      </c>
    </row>
    <row r="429" customFormat="false" ht="15" hidden="false" customHeight="false" outlineLevel="0" collapsed="false">
      <c r="A429" s="28" t="n">
        <v>31565</v>
      </c>
      <c r="B429" s="28" t="n">
        <v>31571</v>
      </c>
      <c r="C429" s="21" t="n">
        <v>0</v>
      </c>
      <c r="D429" s="21" t="n">
        <v>0</v>
      </c>
      <c r="E429" s="21" t="n">
        <v>0</v>
      </c>
      <c r="F429" s="21" t="n">
        <v>0</v>
      </c>
      <c r="G429" s="30" t="s">
        <v>3432</v>
      </c>
    </row>
    <row r="430" customFormat="false" ht="15" hidden="false" customHeight="false" outlineLevel="0" collapsed="false">
      <c r="A430" s="28" t="n">
        <v>31572</v>
      </c>
      <c r="B430" s="28" t="n">
        <v>31578</v>
      </c>
      <c r="C430" s="21" t="n">
        <v>0</v>
      </c>
      <c r="D430" s="21" t="n">
        <v>0</v>
      </c>
      <c r="E430" s="21" t="n">
        <v>0</v>
      </c>
      <c r="F430" s="21" t="n">
        <v>0</v>
      </c>
      <c r="G430" s="30" t="s">
        <v>3432</v>
      </c>
    </row>
    <row r="431" customFormat="false" ht="15" hidden="false" customHeight="false" outlineLevel="0" collapsed="false">
      <c r="A431" s="28" t="n">
        <v>31579</v>
      </c>
      <c r="B431" s="28" t="n">
        <v>31585</v>
      </c>
      <c r="C431" s="21" t="n">
        <v>0</v>
      </c>
      <c r="D431" s="21" t="n">
        <v>0</v>
      </c>
      <c r="E431" s="21" t="n">
        <v>0</v>
      </c>
      <c r="F431" s="21" t="n">
        <v>0</v>
      </c>
      <c r="G431" s="30" t="s">
        <v>3432</v>
      </c>
    </row>
    <row r="432" customFormat="false" ht="15" hidden="false" customHeight="false" outlineLevel="0" collapsed="false">
      <c r="A432" s="28" t="n">
        <v>31586</v>
      </c>
      <c r="B432" s="28" t="n">
        <v>31592</v>
      </c>
      <c r="C432" s="21" t="n">
        <v>0</v>
      </c>
      <c r="D432" s="21" t="n">
        <v>0</v>
      </c>
      <c r="E432" s="21" t="n">
        <v>0</v>
      </c>
      <c r="F432" s="21" t="n">
        <v>0</v>
      </c>
      <c r="G432" s="30" t="s">
        <v>3432</v>
      </c>
    </row>
    <row r="433" customFormat="false" ht="15" hidden="false" customHeight="false" outlineLevel="0" collapsed="false">
      <c r="A433" s="28" t="n">
        <v>31593</v>
      </c>
      <c r="B433" s="28" t="n">
        <v>31599</v>
      </c>
      <c r="C433" s="21" t="n">
        <v>0</v>
      </c>
      <c r="D433" s="21" t="n">
        <v>0</v>
      </c>
      <c r="E433" s="21" t="n">
        <v>0</v>
      </c>
      <c r="F433" s="21" t="n">
        <v>0</v>
      </c>
      <c r="G433" s="30" t="s">
        <v>3432</v>
      </c>
    </row>
    <row r="434" customFormat="false" ht="15" hidden="false" customHeight="false" outlineLevel="0" collapsed="false">
      <c r="A434" s="28" t="n">
        <v>31600</v>
      </c>
      <c r="B434" s="28" t="n">
        <v>31606</v>
      </c>
      <c r="C434" s="21" t="n">
        <v>0</v>
      </c>
      <c r="D434" s="21" t="n">
        <v>0</v>
      </c>
      <c r="E434" s="21" t="n">
        <v>0</v>
      </c>
      <c r="F434" s="21" t="n">
        <v>0</v>
      </c>
      <c r="G434" s="30" t="s">
        <v>3432</v>
      </c>
    </row>
    <row r="435" customFormat="false" ht="15" hidden="false" customHeight="false" outlineLevel="0" collapsed="false">
      <c r="A435" s="28" t="n">
        <v>31607</v>
      </c>
      <c r="B435" s="28" t="n">
        <v>31613</v>
      </c>
      <c r="C435" s="21" t="n">
        <v>0</v>
      </c>
      <c r="D435" s="21" t="n">
        <v>0</v>
      </c>
      <c r="E435" s="21" t="n">
        <v>0</v>
      </c>
      <c r="F435" s="21" t="n">
        <v>0</v>
      </c>
      <c r="G435" s="30" t="s">
        <v>3432</v>
      </c>
    </row>
    <row r="436" customFormat="false" ht="15" hidden="false" customHeight="false" outlineLevel="0" collapsed="false">
      <c r="A436" s="28" t="n">
        <v>31614</v>
      </c>
      <c r="B436" s="28" t="n">
        <v>31620</v>
      </c>
      <c r="C436" s="21" t="n">
        <v>0</v>
      </c>
      <c r="D436" s="21" t="n">
        <v>0</v>
      </c>
      <c r="E436" s="21" t="n">
        <v>0</v>
      </c>
      <c r="F436" s="21" t="n">
        <v>0</v>
      </c>
      <c r="G436" s="30" t="s">
        <v>3432</v>
      </c>
    </row>
    <row r="437" customFormat="false" ht="15" hidden="false" customHeight="false" outlineLevel="0" collapsed="false">
      <c r="A437" s="28" t="n">
        <v>31621</v>
      </c>
      <c r="B437" s="28" t="n">
        <v>31627</v>
      </c>
      <c r="C437" s="21" t="n">
        <v>0</v>
      </c>
      <c r="D437" s="21" t="n">
        <v>0</v>
      </c>
      <c r="E437" s="21" t="n">
        <v>0</v>
      </c>
      <c r="F437" s="21" t="n">
        <v>0</v>
      </c>
      <c r="G437" s="30" t="s">
        <v>3432</v>
      </c>
    </row>
    <row r="438" customFormat="false" ht="15" hidden="false" customHeight="false" outlineLevel="0" collapsed="false">
      <c r="A438" s="28" t="n">
        <v>31628</v>
      </c>
      <c r="B438" s="28" t="n">
        <v>31634</v>
      </c>
      <c r="C438" s="21" t="n">
        <v>0</v>
      </c>
      <c r="D438" s="21" t="n">
        <v>0</v>
      </c>
      <c r="E438" s="21" t="n">
        <v>0</v>
      </c>
      <c r="F438" s="21" t="n">
        <v>0</v>
      </c>
      <c r="G438" s="30" t="s">
        <v>3432</v>
      </c>
    </row>
    <row r="439" customFormat="false" ht="15" hidden="false" customHeight="false" outlineLevel="0" collapsed="false">
      <c r="A439" s="28" t="n">
        <v>31635</v>
      </c>
      <c r="B439" s="28" t="n">
        <v>31641</v>
      </c>
      <c r="C439" s="21" t="n">
        <v>0</v>
      </c>
      <c r="D439" s="21" t="n">
        <v>0</v>
      </c>
      <c r="E439" s="21" t="n">
        <v>0</v>
      </c>
      <c r="F439" s="21" t="n">
        <v>0</v>
      </c>
      <c r="G439" s="30" t="s">
        <v>3432</v>
      </c>
    </row>
    <row r="440" customFormat="false" ht="15" hidden="false" customHeight="false" outlineLevel="0" collapsed="false">
      <c r="A440" s="28" t="n">
        <v>31642</v>
      </c>
      <c r="B440" s="28" t="n">
        <v>31648</v>
      </c>
      <c r="C440" s="21" t="n">
        <v>0</v>
      </c>
      <c r="D440" s="21" t="n">
        <v>0</v>
      </c>
      <c r="E440" s="21" t="n">
        <v>0</v>
      </c>
      <c r="F440" s="21" t="n">
        <v>0</v>
      </c>
      <c r="G440" s="30" t="s">
        <v>3432</v>
      </c>
    </row>
    <row r="441" customFormat="false" ht="15" hidden="false" customHeight="false" outlineLevel="0" collapsed="false">
      <c r="A441" s="28" t="n">
        <v>31649</v>
      </c>
      <c r="B441" s="28" t="n">
        <v>31655</v>
      </c>
      <c r="C441" s="21" t="n">
        <v>0</v>
      </c>
      <c r="D441" s="21" t="n">
        <v>0</v>
      </c>
      <c r="E441" s="21" t="n">
        <v>0</v>
      </c>
      <c r="F441" s="21" t="n">
        <v>0</v>
      </c>
      <c r="G441" s="30" t="s">
        <v>3432</v>
      </c>
    </row>
    <row r="442" customFormat="false" ht="15" hidden="false" customHeight="false" outlineLevel="0" collapsed="false">
      <c r="A442" s="28" t="n">
        <v>31656</v>
      </c>
      <c r="B442" s="28" t="n">
        <v>31662</v>
      </c>
      <c r="C442" s="21" t="n">
        <v>0</v>
      </c>
      <c r="D442" s="21" t="n">
        <v>0</v>
      </c>
      <c r="E442" s="21" t="n">
        <v>0</v>
      </c>
      <c r="F442" s="21" t="n">
        <v>0</v>
      </c>
      <c r="G442" s="30" t="s">
        <v>3432</v>
      </c>
    </row>
    <row r="443" customFormat="false" ht="15" hidden="false" customHeight="false" outlineLevel="0" collapsed="false">
      <c r="A443" s="28" t="n">
        <v>31663</v>
      </c>
      <c r="B443" s="28" t="n">
        <v>31669</v>
      </c>
      <c r="C443" s="21" t="n">
        <v>0</v>
      </c>
      <c r="D443" s="21" t="n">
        <v>0</v>
      </c>
      <c r="E443" s="21" t="n">
        <v>0</v>
      </c>
      <c r="F443" s="21" t="n">
        <v>0</v>
      </c>
      <c r="G443" s="30" t="s">
        <v>3432</v>
      </c>
    </row>
    <row r="444" customFormat="false" ht="15" hidden="false" customHeight="false" outlineLevel="0" collapsed="false">
      <c r="A444" s="28" t="n">
        <v>31670</v>
      </c>
      <c r="B444" s="28" t="n">
        <v>31676</v>
      </c>
      <c r="C444" s="21" t="n">
        <v>0</v>
      </c>
      <c r="D444" s="21" t="n">
        <v>0</v>
      </c>
      <c r="E444" s="21" t="n">
        <v>0</v>
      </c>
      <c r="F444" s="21" t="n">
        <v>0</v>
      </c>
      <c r="G444" s="30" t="s">
        <v>3432</v>
      </c>
    </row>
    <row r="445" customFormat="false" ht="15" hidden="false" customHeight="false" outlineLevel="0" collapsed="false">
      <c r="A445" s="28" t="n">
        <v>31677</v>
      </c>
      <c r="B445" s="28" t="n">
        <v>31683</v>
      </c>
      <c r="C445" s="21" t="n">
        <v>0</v>
      </c>
      <c r="D445" s="21" t="n">
        <v>0</v>
      </c>
      <c r="E445" s="21" t="n">
        <v>0</v>
      </c>
      <c r="F445" s="21" t="n">
        <v>0</v>
      </c>
      <c r="G445" s="30" t="s">
        <v>3432</v>
      </c>
    </row>
    <row r="446" customFormat="false" ht="15" hidden="false" customHeight="false" outlineLevel="0" collapsed="false">
      <c r="A446" s="28" t="n">
        <v>31684</v>
      </c>
      <c r="B446" s="28" t="n">
        <v>31690</v>
      </c>
      <c r="C446" s="21" t="n">
        <v>0</v>
      </c>
      <c r="D446" s="21" t="n">
        <v>0</v>
      </c>
      <c r="E446" s="21" t="n">
        <v>0</v>
      </c>
      <c r="F446" s="21" t="n">
        <v>0</v>
      </c>
      <c r="G446" s="30" t="s">
        <v>3432</v>
      </c>
    </row>
    <row r="447" customFormat="false" ht="15" hidden="false" customHeight="false" outlineLevel="0" collapsed="false">
      <c r="A447" s="28" t="n">
        <v>31691</v>
      </c>
      <c r="B447" s="28" t="n">
        <v>31697</v>
      </c>
      <c r="C447" s="21" t="n">
        <v>0</v>
      </c>
      <c r="D447" s="21" t="n">
        <v>0</v>
      </c>
      <c r="E447" s="21" t="n">
        <v>0</v>
      </c>
      <c r="F447" s="21" t="n">
        <v>0</v>
      </c>
      <c r="G447" s="30" t="s">
        <v>3432</v>
      </c>
    </row>
    <row r="448" customFormat="false" ht="15" hidden="false" customHeight="false" outlineLevel="0" collapsed="false">
      <c r="A448" s="28" t="n">
        <v>31698</v>
      </c>
      <c r="B448" s="28" t="n">
        <v>31704</v>
      </c>
      <c r="C448" s="21" t="n">
        <v>0</v>
      </c>
      <c r="D448" s="21" t="n">
        <v>0</v>
      </c>
      <c r="E448" s="21" t="n">
        <v>0</v>
      </c>
      <c r="F448" s="21" t="n">
        <v>0</v>
      </c>
      <c r="G448" s="30" t="s">
        <v>3432</v>
      </c>
    </row>
    <row r="449" customFormat="false" ht="15" hidden="false" customHeight="false" outlineLevel="0" collapsed="false">
      <c r="A449" s="28" t="n">
        <v>31705</v>
      </c>
      <c r="B449" s="28" t="n">
        <v>31711</v>
      </c>
      <c r="C449" s="21" t="n">
        <v>0</v>
      </c>
      <c r="D449" s="21" t="n">
        <v>0</v>
      </c>
      <c r="E449" s="21" t="n">
        <v>0</v>
      </c>
      <c r="F449" s="21" t="n">
        <v>0</v>
      </c>
      <c r="G449" s="30" t="s">
        <v>3432</v>
      </c>
    </row>
    <row r="450" customFormat="false" ht="15" hidden="false" customHeight="false" outlineLevel="0" collapsed="false">
      <c r="A450" s="28" t="n">
        <v>31712</v>
      </c>
      <c r="B450" s="28" t="n">
        <v>31718</v>
      </c>
      <c r="C450" s="21" t="n">
        <v>0</v>
      </c>
      <c r="D450" s="21" t="n">
        <v>0</v>
      </c>
      <c r="E450" s="21" t="n">
        <v>0</v>
      </c>
      <c r="F450" s="21" t="n">
        <v>0</v>
      </c>
      <c r="G450" s="30" t="s">
        <v>3432</v>
      </c>
    </row>
    <row r="451" customFormat="false" ht="15" hidden="false" customHeight="false" outlineLevel="0" collapsed="false">
      <c r="A451" s="28" t="n">
        <v>31719</v>
      </c>
      <c r="B451" s="28" t="n">
        <v>31725</v>
      </c>
      <c r="C451" s="21" t="n">
        <v>0</v>
      </c>
      <c r="D451" s="21" t="n">
        <v>0</v>
      </c>
      <c r="E451" s="21" t="n">
        <v>0</v>
      </c>
      <c r="F451" s="21" t="n">
        <v>0</v>
      </c>
      <c r="G451" s="30" t="s">
        <v>3432</v>
      </c>
    </row>
    <row r="452" customFormat="false" ht="15" hidden="false" customHeight="false" outlineLevel="0" collapsed="false">
      <c r="A452" s="28" t="n">
        <v>31726</v>
      </c>
      <c r="B452" s="28" t="n">
        <v>31732</v>
      </c>
      <c r="C452" s="21" t="n">
        <v>0</v>
      </c>
      <c r="D452" s="21" t="n">
        <v>0</v>
      </c>
      <c r="E452" s="21" t="n">
        <v>0</v>
      </c>
      <c r="F452" s="21" t="n">
        <v>0</v>
      </c>
      <c r="G452" s="30" t="s">
        <v>3432</v>
      </c>
    </row>
    <row r="453" customFormat="false" ht="15" hidden="false" customHeight="false" outlineLevel="0" collapsed="false">
      <c r="A453" s="28" t="n">
        <v>31733</v>
      </c>
      <c r="B453" s="28" t="n">
        <v>31739</v>
      </c>
      <c r="C453" s="21" t="n">
        <v>0</v>
      </c>
      <c r="D453" s="21" t="n">
        <v>0</v>
      </c>
      <c r="E453" s="21" t="n">
        <v>0</v>
      </c>
      <c r="F453" s="21" t="n">
        <v>0</v>
      </c>
      <c r="G453" s="30" t="s">
        <v>3432</v>
      </c>
    </row>
    <row r="454" customFormat="false" ht="15" hidden="false" customHeight="false" outlineLevel="0" collapsed="false">
      <c r="A454" s="28" t="n">
        <v>31740</v>
      </c>
      <c r="B454" s="28" t="n">
        <v>31746</v>
      </c>
      <c r="C454" s="21" t="n">
        <v>0</v>
      </c>
      <c r="D454" s="21" t="n">
        <v>0</v>
      </c>
      <c r="E454" s="21" t="n">
        <v>0</v>
      </c>
      <c r="F454" s="21" t="n">
        <v>0</v>
      </c>
      <c r="G454" s="30" t="s">
        <v>3432</v>
      </c>
    </row>
    <row r="455" customFormat="false" ht="15" hidden="false" customHeight="false" outlineLevel="0" collapsed="false">
      <c r="A455" s="28" t="n">
        <v>31747</v>
      </c>
      <c r="B455" s="28" t="n">
        <v>31753</v>
      </c>
      <c r="C455" s="21" t="n">
        <v>0</v>
      </c>
      <c r="D455" s="21" t="n">
        <v>0</v>
      </c>
      <c r="E455" s="21" t="n">
        <v>0</v>
      </c>
      <c r="F455" s="21" t="n">
        <v>0</v>
      </c>
      <c r="G455" s="30" t="s">
        <v>3432</v>
      </c>
    </row>
    <row r="456" customFormat="false" ht="15" hidden="false" customHeight="false" outlineLevel="0" collapsed="false">
      <c r="A456" s="28" t="n">
        <v>31754</v>
      </c>
      <c r="B456" s="28" t="n">
        <v>31760</v>
      </c>
      <c r="C456" s="21" t="n">
        <v>0</v>
      </c>
      <c r="D456" s="21" t="n">
        <v>0</v>
      </c>
      <c r="E456" s="21" t="n">
        <v>0</v>
      </c>
      <c r="F456" s="21" t="n">
        <v>0</v>
      </c>
      <c r="G456" s="30" t="s">
        <v>3432</v>
      </c>
    </row>
    <row r="457" customFormat="false" ht="15" hidden="false" customHeight="false" outlineLevel="0" collapsed="false">
      <c r="A457" s="28" t="n">
        <v>31761</v>
      </c>
      <c r="B457" s="28" t="n">
        <v>31767</v>
      </c>
      <c r="C457" s="21" t="n">
        <v>0</v>
      </c>
      <c r="D457" s="21" t="n">
        <v>0</v>
      </c>
      <c r="E457" s="21" t="n">
        <v>0</v>
      </c>
      <c r="F457" s="21" t="n">
        <v>0</v>
      </c>
      <c r="G457" s="30" t="s">
        <v>3432</v>
      </c>
    </row>
    <row r="458" customFormat="false" ht="15" hidden="false" customHeight="false" outlineLevel="0" collapsed="false">
      <c r="A458" s="28" t="n">
        <v>31768</v>
      </c>
      <c r="B458" s="28" t="n">
        <v>31774</v>
      </c>
      <c r="C458" s="21" t="n">
        <v>0</v>
      </c>
      <c r="D458" s="21" t="n">
        <v>0</v>
      </c>
      <c r="E458" s="21" t="n">
        <v>0</v>
      </c>
      <c r="F458" s="21" t="n">
        <v>0</v>
      </c>
      <c r="G458" s="30" t="s">
        <v>3432</v>
      </c>
    </row>
    <row r="459" customFormat="false" ht="15" hidden="false" customHeight="false" outlineLevel="0" collapsed="false">
      <c r="A459" s="28" t="n">
        <v>31775</v>
      </c>
      <c r="B459" s="28" t="n">
        <v>31781</v>
      </c>
      <c r="C459" s="21" t="n">
        <v>0</v>
      </c>
      <c r="D459" s="21" t="n">
        <v>0</v>
      </c>
      <c r="E459" s="21" t="n">
        <v>0</v>
      </c>
      <c r="F459" s="21" t="n">
        <v>0</v>
      </c>
      <c r="G459" s="30" t="s">
        <v>3432</v>
      </c>
    </row>
    <row r="460" customFormat="false" ht="15" hidden="false" customHeight="false" outlineLevel="0" collapsed="false">
      <c r="A460" s="28" t="n">
        <v>31782</v>
      </c>
      <c r="B460" s="28" t="n">
        <v>31788</v>
      </c>
      <c r="C460" s="21" t="n">
        <v>0</v>
      </c>
      <c r="D460" s="21" t="n">
        <v>0</v>
      </c>
      <c r="E460" s="21" t="n">
        <v>0</v>
      </c>
      <c r="F460" s="21" t="n">
        <v>0</v>
      </c>
      <c r="G460" s="30" t="s">
        <v>3432</v>
      </c>
    </row>
    <row r="461" customFormat="false" ht="15" hidden="false" customHeight="false" outlineLevel="0" collapsed="false">
      <c r="A461" s="28" t="n">
        <v>31789</v>
      </c>
      <c r="B461" s="28" t="n">
        <v>31795</v>
      </c>
      <c r="C461" s="21" t="n">
        <v>0</v>
      </c>
      <c r="D461" s="21" t="n">
        <v>0</v>
      </c>
      <c r="E461" s="21" t="n">
        <v>0</v>
      </c>
      <c r="F461" s="21" t="n">
        <v>0</v>
      </c>
      <c r="G461" s="30" t="s">
        <v>3432</v>
      </c>
    </row>
    <row r="462" customFormat="false" ht="15" hidden="false" customHeight="false" outlineLevel="0" collapsed="false">
      <c r="A462" s="28" t="n">
        <v>31796</v>
      </c>
      <c r="B462" s="28" t="n">
        <v>31802</v>
      </c>
      <c r="C462" s="21" t="n">
        <v>0</v>
      </c>
      <c r="D462" s="21" t="n">
        <v>0</v>
      </c>
      <c r="E462" s="21" t="n">
        <v>0</v>
      </c>
      <c r="F462" s="21" t="n">
        <v>0</v>
      </c>
      <c r="G462" s="30" t="s">
        <v>3432</v>
      </c>
    </row>
    <row r="463" customFormat="false" ht="15" hidden="false" customHeight="false" outlineLevel="0" collapsed="false">
      <c r="A463" s="28" t="n">
        <v>31803</v>
      </c>
      <c r="B463" s="28" t="n">
        <v>31809</v>
      </c>
      <c r="C463" s="21" t="n">
        <v>0</v>
      </c>
      <c r="D463" s="21" t="n">
        <v>0</v>
      </c>
      <c r="E463" s="21" t="n">
        <v>0</v>
      </c>
      <c r="F463" s="21" t="n">
        <v>0</v>
      </c>
      <c r="G463" s="30" t="s">
        <v>3432</v>
      </c>
    </row>
    <row r="464" customFormat="false" ht="15" hidden="false" customHeight="false" outlineLevel="0" collapsed="false">
      <c r="A464" s="28" t="n">
        <v>31810</v>
      </c>
      <c r="B464" s="28" t="n">
        <v>31816</v>
      </c>
      <c r="C464" s="21" t="n">
        <v>0</v>
      </c>
      <c r="D464" s="21" t="n">
        <v>0</v>
      </c>
      <c r="E464" s="21" t="n">
        <v>0</v>
      </c>
      <c r="F464" s="21" t="n">
        <v>0</v>
      </c>
      <c r="G464" s="30" t="s">
        <v>3432</v>
      </c>
    </row>
    <row r="465" customFormat="false" ht="15" hidden="false" customHeight="false" outlineLevel="0" collapsed="false">
      <c r="A465" s="28" t="n">
        <v>31817</v>
      </c>
      <c r="B465" s="28" t="n">
        <v>31823</v>
      </c>
      <c r="C465" s="21" t="n">
        <v>0</v>
      </c>
      <c r="D465" s="21" t="n">
        <v>0</v>
      </c>
      <c r="E465" s="21" t="n">
        <v>0</v>
      </c>
      <c r="F465" s="21" t="n">
        <v>0</v>
      </c>
      <c r="G465" s="30" t="s">
        <v>3432</v>
      </c>
    </row>
    <row r="466" customFormat="false" ht="15" hidden="false" customHeight="false" outlineLevel="0" collapsed="false">
      <c r="A466" s="28" t="n">
        <v>31824</v>
      </c>
      <c r="B466" s="28" t="n">
        <v>31830</v>
      </c>
      <c r="C466" s="21" t="n">
        <v>0</v>
      </c>
      <c r="D466" s="21" t="n">
        <v>0</v>
      </c>
      <c r="E466" s="21" t="n">
        <v>0</v>
      </c>
      <c r="F466" s="21" t="n">
        <v>0</v>
      </c>
      <c r="G466" s="30" t="s">
        <v>3432</v>
      </c>
    </row>
    <row r="467" customFormat="false" ht="15" hidden="false" customHeight="false" outlineLevel="0" collapsed="false">
      <c r="A467" s="28" t="n">
        <v>31831</v>
      </c>
      <c r="B467" s="28" t="n">
        <v>31837</v>
      </c>
      <c r="C467" s="21" t="n">
        <v>0</v>
      </c>
      <c r="D467" s="21" t="n">
        <v>0</v>
      </c>
      <c r="E467" s="21" t="n">
        <v>0</v>
      </c>
      <c r="F467" s="21" t="n">
        <v>0</v>
      </c>
      <c r="G467" s="30" t="s">
        <v>3432</v>
      </c>
    </row>
    <row r="468" customFormat="false" ht="15" hidden="false" customHeight="false" outlineLevel="0" collapsed="false">
      <c r="A468" s="28" t="n">
        <v>31838</v>
      </c>
      <c r="B468" s="28" t="n">
        <v>31844</v>
      </c>
      <c r="C468" s="21" t="n">
        <v>0</v>
      </c>
      <c r="D468" s="21" t="n">
        <v>0</v>
      </c>
      <c r="E468" s="21" t="n">
        <v>0</v>
      </c>
      <c r="F468" s="21" t="n">
        <v>0</v>
      </c>
      <c r="G468" s="30" t="s">
        <v>3432</v>
      </c>
    </row>
    <row r="469" customFormat="false" ht="15" hidden="false" customHeight="false" outlineLevel="0" collapsed="false">
      <c r="A469" s="28" t="n">
        <v>31845</v>
      </c>
      <c r="B469" s="28" t="n">
        <v>31851</v>
      </c>
      <c r="C469" s="21" t="n">
        <v>0</v>
      </c>
      <c r="D469" s="21" t="n">
        <v>0</v>
      </c>
      <c r="E469" s="21" t="n">
        <v>0</v>
      </c>
      <c r="F469" s="21" t="n">
        <v>0</v>
      </c>
      <c r="G469" s="30" t="s">
        <v>3432</v>
      </c>
    </row>
    <row r="470" customFormat="false" ht="15" hidden="false" customHeight="false" outlineLevel="0" collapsed="false">
      <c r="A470" s="28" t="n">
        <v>31852</v>
      </c>
      <c r="B470" s="28" t="n">
        <v>31858</v>
      </c>
      <c r="C470" s="21" t="n">
        <v>0</v>
      </c>
      <c r="D470" s="21" t="n">
        <v>0</v>
      </c>
      <c r="E470" s="21" t="n">
        <v>0</v>
      </c>
      <c r="F470" s="21" t="n">
        <v>0</v>
      </c>
      <c r="G470" s="30" t="s">
        <v>3432</v>
      </c>
    </row>
    <row r="471" customFormat="false" ht="15" hidden="false" customHeight="false" outlineLevel="0" collapsed="false">
      <c r="A471" s="28" t="n">
        <v>31859</v>
      </c>
      <c r="B471" s="28" t="n">
        <v>31865</v>
      </c>
      <c r="C471" s="21" t="n">
        <v>0</v>
      </c>
      <c r="D471" s="21" t="n">
        <v>0</v>
      </c>
      <c r="E471" s="21" t="n">
        <v>0</v>
      </c>
      <c r="F471" s="21" t="n">
        <v>0</v>
      </c>
      <c r="G471" s="30" t="s">
        <v>3432</v>
      </c>
    </row>
    <row r="472" customFormat="false" ht="15" hidden="false" customHeight="false" outlineLevel="0" collapsed="false">
      <c r="A472" s="28" t="n">
        <v>31866</v>
      </c>
      <c r="B472" s="28" t="n">
        <v>31872</v>
      </c>
      <c r="C472" s="21" t="n">
        <v>0</v>
      </c>
      <c r="D472" s="21" t="n">
        <v>0</v>
      </c>
      <c r="E472" s="21" t="n">
        <v>0</v>
      </c>
      <c r="F472" s="21" t="n">
        <v>0</v>
      </c>
      <c r="G472" s="30" t="s">
        <v>3432</v>
      </c>
    </row>
    <row r="473" customFormat="false" ht="15" hidden="false" customHeight="false" outlineLevel="0" collapsed="false">
      <c r="A473" s="28" t="n">
        <v>31873</v>
      </c>
      <c r="B473" s="28" t="n">
        <v>31879</v>
      </c>
      <c r="C473" s="21" t="n">
        <v>0</v>
      </c>
      <c r="D473" s="21" t="n">
        <v>0</v>
      </c>
      <c r="E473" s="21" t="n">
        <v>0</v>
      </c>
      <c r="F473" s="21" t="n">
        <v>0</v>
      </c>
      <c r="G473" s="30" t="s">
        <v>3432</v>
      </c>
    </row>
    <row r="474" customFormat="false" ht="15" hidden="false" customHeight="false" outlineLevel="0" collapsed="false">
      <c r="A474" s="28" t="n">
        <v>31880</v>
      </c>
      <c r="B474" s="28" t="n">
        <v>31886</v>
      </c>
      <c r="C474" s="21" t="n">
        <v>0</v>
      </c>
      <c r="D474" s="21" t="n">
        <v>0</v>
      </c>
      <c r="E474" s="21" t="n">
        <v>0</v>
      </c>
      <c r="F474" s="21" t="n">
        <v>0</v>
      </c>
      <c r="G474" s="30" t="s">
        <v>3432</v>
      </c>
    </row>
    <row r="475" customFormat="false" ht="15" hidden="false" customHeight="false" outlineLevel="0" collapsed="false">
      <c r="A475" s="28" t="n">
        <v>31887</v>
      </c>
      <c r="B475" s="28" t="n">
        <v>31893</v>
      </c>
      <c r="C475" s="21" t="n">
        <v>0</v>
      </c>
      <c r="D475" s="21" t="n">
        <v>0</v>
      </c>
      <c r="E475" s="21" t="n">
        <v>0</v>
      </c>
      <c r="F475" s="21" t="n">
        <v>0</v>
      </c>
      <c r="G475" s="30" t="s">
        <v>3432</v>
      </c>
    </row>
    <row r="476" customFormat="false" ht="15" hidden="false" customHeight="false" outlineLevel="0" collapsed="false">
      <c r="A476" s="28" t="n">
        <v>31894</v>
      </c>
      <c r="B476" s="28" t="n">
        <v>31900</v>
      </c>
      <c r="C476" s="21" t="n">
        <v>0</v>
      </c>
      <c r="D476" s="21" t="n">
        <v>0</v>
      </c>
      <c r="E476" s="21" t="n">
        <v>0</v>
      </c>
      <c r="F476" s="21" t="n">
        <v>0</v>
      </c>
      <c r="G476" s="30" t="s">
        <v>3432</v>
      </c>
    </row>
    <row r="477" customFormat="false" ht="15" hidden="false" customHeight="false" outlineLevel="0" collapsed="false">
      <c r="A477" s="28" t="n">
        <v>31901</v>
      </c>
      <c r="B477" s="28" t="n">
        <v>31907</v>
      </c>
      <c r="C477" s="21" t="n">
        <v>0</v>
      </c>
      <c r="D477" s="21" t="n">
        <v>0</v>
      </c>
      <c r="E477" s="21" t="n">
        <v>0</v>
      </c>
      <c r="F477" s="21" t="n">
        <v>0</v>
      </c>
      <c r="G477" s="30" t="s">
        <v>3432</v>
      </c>
    </row>
    <row r="478" customFormat="false" ht="15" hidden="false" customHeight="false" outlineLevel="0" collapsed="false">
      <c r="A478" s="28" t="n">
        <v>31908</v>
      </c>
      <c r="B478" s="28" t="n">
        <v>31914</v>
      </c>
      <c r="C478" s="21" t="n">
        <v>0</v>
      </c>
      <c r="D478" s="21" t="n">
        <v>0</v>
      </c>
      <c r="E478" s="21" t="n">
        <v>0</v>
      </c>
      <c r="F478" s="21" t="n">
        <v>0</v>
      </c>
      <c r="G478" s="30" t="s">
        <v>3432</v>
      </c>
    </row>
    <row r="479" customFormat="false" ht="15" hidden="false" customHeight="false" outlineLevel="0" collapsed="false">
      <c r="A479" s="28" t="n">
        <v>31915</v>
      </c>
      <c r="B479" s="28" t="n">
        <v>31921</v>
      </c>
      <c r="C479" s="21" t="n">
        <v>0</v>
      </c>
      <c r="D479" s="21" t="n">
        <v>0</v>
      </c>
      <c r="E479" s="21" t="n">
        <v>0</v>
      </c>
      <c r="F479" s="21" t="n">
        <v>0</v>
      </c>
      <c r="G479" s="30" t="s">
        <v>3432</v>
      </c>
    </row>
    <row r="480" customFormat="false" ht="15" hidden="false" customHeight="false" outlineLevel="0" collapsed="false">
      <c r="A480" s="28" t="n">
        <v>31922</v>
      </c>
      <c r="B480" s="28" t="n">
        <v>31928</v>
      </c>
      <c r="C480" s="21" t="n">
        <v>0</v>
      </c>
      <c r="D480" s="21" t="n">
        <v>0</v>
      </c>
      <c r="E480" s="21" t="n">
        <v>0</v>
      </c>
      <c r="F480" s="21" t="n">
        <v>0</v>
      </c>
      <c r="G480" s="30" t="s">
        <v>3432</v>
      </c>
    </row>
    <row r="481" customFormat="false" ht="15" hidden="false" customHeight="false" outlineLevel="0" collapsed="false">
      <c r="A481" s="28" t="n">
        <v>31929</v>
      </c>
      <c r="B481" s="28" t="n">
        <v>31935</v>
      </c>
      <c r="C481" s="21" t="n">
        <v>0</v>
      </c>
      <c r="D481" s="21" t="n">
        <v>0</v>
      </c>
      <c r="E481" s="21" t="n">
        <v>0</v>
      </c>
      <c r="F481" s="21" t="n">
        <v>0</v>
      </c>
      <c r="G481" s="30" t="s">
        <v>3432</v>
      </c>
    </row>
    <row r="482" customFormat="false" ht="15" hidden="false" customHeight="false" outlineLevel="0" collapsed="false">
      <c r="A482" s="28" t="n">
        <v>31936</v>
      </c>
      <c r="B482" s="28" t="n">
        <v>31942</v>
      </c>
      <c r="C482" s="21" t="n">
        <v>0</v>
      </c>
      <c r="D482" s="21" t="n">
        <v>0</v>
      </c>
      <c r="E482" s="21" t="n">
        <v>0</v>
      </c>
      <c r="F482" s="21" t="n">
        <v>0</v>
      </c>
      <c r="G482" s="30" t="s">
        <v>3432</v>
      </c>
    </row>
    <row r="483" customFormat="false" ht="15" hidden="false" customHeight="false" outlineLevel="0" collapsed="false">
      <c r="A483" s="28" t="n">
        <v>31943</v>
      </c>
      <c r="B483" s="28" t="n">
        <v>31949</v>
      </c>
      <c r="C483" s="21" t="n">
        <v>0</v>
      </c>
      <c r="D483" s="21" t="n">
        <v>0</v>
      </c>
      <c r="E483" s="21" t="n">
        <v>0</v>
      </c>
      <c r="F483" s="21" t="n">
        <v>0</v>
      </c>
      <c r="G483" s="30" t="s">
        <v>3432</v>
      </c>
    </row>
    <row r="484" customFormat="false" ht="15" hidden="false" customHeight="false" outlineLevel="0" collapsed="false">
      <c r="A484" s="28" t="n">
        <v>31950</v>
      </c>
      <c r="B484" s="28" t="n">
        <v>31956</v>
      </c>
      <c r="C484" s="21" t="n">
        <v>0</v>
      </c>
      <c r="D484" s="21" t="n">
        <v>0</v>
      </c>
      <c r="E484" s="21" t="n">
        <v>0</v>
      </c>
      <c r="F484" s="21" t="n">
        <v>0</v>
      </c>
      <c r="G484" s="30" t="s">
        <v>3432</v>
      </c>
    </row>
    <row r="485" customFormat="false" ht="15" hidden="false" customHeight="false" outlineLevel="0" collapsed="false">
      <c r="A485" s="28" t="n">
        <v>31957</v>
      </c>
      <c r="B485" s="28" t="n">
        <v>31963</v>
      </c>
      <c r="C485" s="21" t="n">
        <v>0</v>
      </c>
      <c r="D485" s="21" t="n">
        <v>0</v>
      </c>
      <c r="E485" s="21" t="n">
        <v>0</v>
      </c>
      <c r="F485" s="21" t="n">
        <v>0</v>
      </c>
      <c r="G485" s="30" t="s">
        <v>3432</v>
      </c>
    </row>
    <row r="486" customFormat="false" ht="15" hidden="false" customHeight="false" outlineLevel="0" collapsed="false">
      <c r="A486" s="28" t="n">
        <v>31964</v>
      </c>
      <c r="B486" s="28" t="n">
        <v>31970</v>
      </c>
      <c r="C486" s="21" t="n">
        <v>0</v>
      </c>
      <c r="D486" s="21" t="n">
        <v>0</v>
      </c>
      <c r="E486" s="21" t="n">
        <v>0</v>
      </c>
      <c r="F486" s="21" t="n">
        <v>0</v>
      </c>
      <c r="G486" s="30" t="s">
        <v>3432</v>
      </c>
    </row>
    <row r="487" customFormat="false" ht="15" hidden="false" customHeight="false" outlineLevel="0" collapsed="false">
      <c r="A487" s="28" t="n">
        <v>31971</v>
      </c>
      <c r="B487" s="28" t="n">
        <v>31977</v>
      </c>
      <c r="C487" s="21" t="n">
        <v>0</v>
      </c>
      <c r="D487" s="21" t="n">
        <v>0</v>
      </c>
      <c r="E487" s="21" t="n">
        <v>0</v>
      </c>
      <c r="F487" s="21" t="n">
        <v>0</v>
      </c>
      <c r="G487" s="30" t="s">
        <v>3432</v>
      </c>
    </row>
    <row r="488" customFormat="false" ht="15" hidden="false" customHeight="false" outlineLevel="0" collapsed="false">
      <c r="A488" s="28" t="n">
        <v>31978</v>
      </c>
      <c r="B488" s="28" t="n">
        <v>31984</v>
      </c>
      <c r="C488" s="21" t="n">
        <v>0</v>
      </c>
      <c r="D488" s="21" t="n">
        <v>1</v>
      </c>
      <c r="E488" s="21" t="n">
        <v>0</v>
      </c>
      <c r="F488" s="21" t="n">
        <v>1</v>
      </c>
      <c r="G488" s="29" t="s">
        <v>184</v>
      </c>
    </row>
    <row r="489" customFormat="false" ht="15" hidden="false" customHeight="false" outlineLevel="0" collapsed="false">
      <c r="A489" s="28" t="n">
        <v>31985</v>
      </c>
      <c r="B489" s="28" t="n">
        <v>31991</v>
      </c>
      <c r="C489" s="21" t="n">
        <v>0</v>
      </c>
      <c r="D489" s="21" t="n">
        <v>0</v>
      </c>
      <c r="E489" s="21" t="n">
        <v>0</v>
      </c>
      <c r="F489" s="21" t="n">
        <v>0</v>
      </c>
      <c r="G489" s="29" t="s">
        <v>184</v>
      </c>
    </row>
    <row r="490" customFormat="false" ht="15" hidden="false" customHeight="false" outlineLevel="0" collapsed="false">
      <c r="A490" s="28" t="n">
        <v>31992</v>
      </c>
      <c r="B490" s="28" t="n">
        <v>31998</v>
      </c>
      <c r="C490" s="21" t="n">
        <v>0</v>
      </c>
      <c r="D490" s="21" t="n">
        <v>0</v>
      </c>
      <c r="E490" s="21" t="n">
        <v>0</v>
      </c>
      <c r="F490" s="21" t="n">
        <v>0</v>
      </c>
      <c r="G490" s="30" t="s">
        <v>3432</v>
      </c>
    </row>
    <row r="491" customFormat="false" ht="15" hidden="false" customHeight="false" outlineLevel="0" collapsed="false">
      <c r="A491" s="28" t="n">
        <v>31999</v>
      </c>
      <c r="B491" s="28" t="n">
        <v>32005</v>
      </c>
      <c r="C491" s="21" t="n">
        <v>0</v>
      </c>
      <c r="D491" s="21" t="n">
        <v>0</v>
      </c>
      <c r="E491" s="21" t="n">
        <v>0</v>
      </c>
      <c r="F491" s="21" t="n">
        <v>0</v>
      </c>
      <c r="G491" s="30" t="s">
        <v>3432</v>
      </c>
    </row>
    <row r="492" customFormat="false" ht="15" hidden="false" customHeight="false" outlineLevel="0" collapsed="false">
      <c r="A492" s="28" t="n">
        <v>32006</v>
      </c>
      <c r="B492" s="28" t="n">
        <v>32012</v>
      </c>
      <c r="C492" s="21" t="n">
        <v>0</v>
      </c>
      <c r="D492" s="21" t="n">
        <v>0</v>
      </c>
      <c r="E492" s="21" t="n">
        <v>0</v>
      </c>
      <c r="F492" s="21" t="n">
        <v>0</v>
      </c>
      <c r="G492" s="30" t="s">
        <v>3432</v>
      </c>
    </row>
    <row r="493" customFormat="false" ht="15" hidden="false" customHeight="false" outlineLevel="0" collapsed="false">
      <c r="A493" s="28" t="n">
        <v>32013</v>
      </c>
      <c r="B493" s="28" t="n">
        <v>32019</v>
      </c>
      <c r="C493" s="21" t="n">
        <v>0</v>
      </c>
      <c r="D493" s="21" t="n">
        <v>0</v>
      </c>
      <c r="E493" s="21" t="n">
        <v>0</v>
      </c>
      <c r="F493" s="21" t="n">
        <v>0</v>
      </c>
      <c r="G493" s="30" t="s">
        <v>3432</v>
      </c>
    </row>
    <row r="494" customFormat="false" ht="15" hidden="false" customHeight="false" outlineLevel="0" collapsed="false">
      <c r="A494" s="28" t="n">
        <v>32020</v>
      </c>
      <c r="B494" s="28" t="n">
        <v>32026</v>
      </c>
      <c r="C494" s="21" t="n">
        <v>0</v>
      </c>
      <c r="D494" s="21" t="n">
        <v>0</v>
      </c>
      <c r="E494" s="21" t="n">
        <v>0</v>
      </c>
      <c r="F494" s="21" t="n">
        <v>0</v>
      </c>
      <c r="G494" s="30" t="s">
        <v>3432</v>
      </c>
    </row>
    <row r="495" customFormat="false" ht="15" hidden="false" customHeight="false" outlineLevel="0" collapsed="false">
      <c r="A495" s="28" t="n">
        <v>32027</v>
      </c>
      <c r="B495" s="28" t="n">
        <v>32033</v>
      </c>
      <c r="C495" s="21" t="n">
        <v>0</v>
      </c>
      <c r="D495" s="21" t="n">
        <v>0</v>
      </c>
      <c r="E495" s="21" t="n">
        <v>0</v>
      </c>
      <c r="F495" s="21" t="n">
        <v>0</v>
      </c>
      <c r="G495" s="30" t="s">
        <v>3432</v>
      </c>
    </row>
    <row r="496" customFormat="false" ht="15" hidden="false" customHeight="false" outlineLevel="0" collapsed="false">
      <c r="A496" s="28" t="n">
        <v>32034</v>
      </c>
      <c r="B496" s="28" t="n">
        <v>32040</v>
      </c>
      <c r="C496" s="21" t="n">
        <v>0</v>
      </c>
      <c r="D496" s="21" t="n">
        <v>0</v>
      </c>
      <c r="E496" s="21" t="n">
        <v>0</v>
      </c>
      <c r="F496" s="21" t="n">
        <v>0</v>
      </c>
      <c r="G496" s="30" t="s">
        <v>3432</v>
      </c>
    </row>
    <row r="497" customFormat="false" ht="15" hidden="false" customHeight="false" outlineLevel="0" collapsed="false">
      <c r="A497" s="28" t="n">
        <v>32041</v>
      </c>
      <c r="B497" s="28" t="n">
        <v>32047</v>
      </c>
      <c r="C497" s="21" t="n">
        <v>0</v>
      </c>
      <c r="D497" s="21" t="n">
        <v>1</v>
      </c>
      <c r="E497" s="21" t="n">
        <v>0</v>
      </c>
      <c r="F497" s="21" t="n">
        <v>1</v>
      </c>
      <c r="G497" s="29" t="s">
        <v>184</v>
      </c>
    </row>
    <row r="498" customFormat="false" ht="15" hidden="false" customHeight="false" outlineLevel="0" collapsed="false">
      <c r="A498" s="28" t="n">
        <v>32048</v>
      </c>
      <c r="B498" s="28" t="n">
        <v>32054</v>
      </c>
      <c r="C498" s="21" t="n">
        <v>0</v>
      </c>
      <c r="D498" s="21" t="n">
        <v>0</v>
      </c>
      <c r="E498" s="21" t="n">
        <v>0</v>
      </c>
      <c r="F498" s="21" t="n">
        <v>0</v>
      </c>
      <c r="G498" s="29" t="s">
        <v>184</v>
      </c>
    </row>
    <row r="499" customFormat="false" ht="15" hidden="false" customHeight="false" outlineLevel="0" collapsed="false">
      <c r="A499" s="28" t="n">
        <v>32055</v>
      </c>
      <c r="B499" s="28" t="n">
        <v>32061</v>
      </c>
      <c r="C499" s="21" t="n">
        <v>1</v>
      </c>
      <c r="D499" s="21" t="n">
        <v>0</v>
      </c>
      <c r="E499" s="21" t="n">
        <v>0</v>
      </c>
      <c r="F499" s="21" t="n">
        <v>2</v>
      </c>
      <c r="G499" s="29" t="s">
        <v>184</v>
      </c>
    </row>
    <row r="500" customFormat="false" ht="15" hidden="false" customHeight="false" outlineLevel="0" collapsed="false">
      <c r="A500" s="28" t="n">
        <v>32062</v>
      </c>
      <c r="B500" s="28" t="n">
        <v>32068</v>
      </c>
      <c r="C500" s="21" t="n">
        <v>1</v>
      </c>
      <c r="D500" s="21" t="n">
        <v>1</v>
      </c>
      <c r="E500" s="21" t="n">
        <v>0</v>
      </c>
      <c r="F500" s="21" t="n">
        <v>3</v>
      </c>
      <c r="G500" s="29" t="s">
        <v>184</v>
      </c>
    </row>
    <row r="501" customFormat="false" ht="15" hidden="false" customHeight="false" outlineLevel="0" collapsed="false">
      <c r="A501" s="28" t="n">
        <v>32069</v>
      </c>
      <c r="B501" s="28" t="n">
        <v>32075</v>
      </c>
      <c r="C501" s="21" t="n">
        <v>2</v>
      </c>
      <c r="D501" s="21" t="n">
        <v>0</v>
      </c>
      <c r="E501" s="21" t="n">
        <v>0</v>
      </c>
      <c r="F501" s="21" t="n">
        <v>4</v>
      </c>
      <c r="G501" s="31" t="s">
        <v>89</v>
      </c>
    </row>
    <row r="502" customFormat="false" ht="15" hidden="false" customHeight="false" outlineLevel="0" collapsed="false">
      <c r="A502" s="28" t="n">
        <v>32076</v>
      </c>
      <c r="B502" s="28" t="n">
        <v>32082</v>
      </c>
      <c r="C502" s="21" t="n">
        <v>0</v>
      </c>
      <c r="D502" s="21" t="n">
        <v>0</v>
      </c>
      <c r="E502" s="21" t="n">
        <v>0</v>
      </c>
      <c r="F502" s="21" t="n">
        <v>0</v>
      </c>
      <c r="G502" s="29" t="s">
        <v>184</v>
      </c>
    </row>
    <row r="503" customFormat="false" ht="15" hidden="false" customHeight="false" outlineLevel="0" collapsed="false">
      <c r="A503" s="28" t="n">
        <v>32083</v>
      </c>
      <c r="B503" s="28" t="n">
        <v>32089</v>
      </c>
      <c r="C503" s="21" t="n">
        <v>0</v>
      </c>
      <c r="D503" s="21" t="n">
        <v>0</v>
      </c>
      <c r="E503" s="21" t="n">
        <v>0</v>
      </c>
      <c r="F503" s="21" t="n">
        <v>0</v>
      </c>
      <c r="G503" s="30" t="s">
        <v>3432</v>
      </c>
    </row>
    <row r="504" customFormat="false" ht="15" hidden="false" customHeight="false" outlineLevel="0" collapsed="false">
      <c r="A504" s="28" t="n">
        <v>32090</v>
      </c>
      <c r="B504" s="28" t="n">
        <v>32096</v>
      </c>
      <c r="C504" s="21" t="n">
        <v>0</v>
      </c>
      <c r="D504" s="21" t="n">
        <v>0</v>
      </c>
      <c r="E504" s="21" t="n">
        <v>0</v>
      </c>
      <c r="F504" s="21" t="n">
        <v>0</v>
      </c>
      <c r="G504" s="30" t="s">
        <v>3432</v>
      </c>
    </row>
    <row r="505" customFormat="false" ht="15" hidden="false" customHeight="false" outlineLevel="0" collapsed="false">
      <c r="A505" s="28" t="n">
        <v>32097</v>
      </c>
      <c r="B505" s="28" t="n">
        <v>32103</v>
      </c>
      <c r="C505" s="21" t="n">
        <v>0</v>
      </c>
      <c r="D505" s="21" t="n">
        <v>0</v>
      </c>
      <c r="E505" s="21" t="n">
        <v>0</v>
      </c>
      <c r="F505" s="21" t="n">
        <v>0</v>
      </c>
      <c r="G505" s="30" t="s">
        <v>3432</v>
      </c>
    </row>
    <row r="506" customFormat="false" ht="15" hidden="false" customHeight="false" outlineLevel="0" collapsed="false">
      <c r="A506" s="28" t="n">
        <v>32104</v>
      </c>
      <c r="B506" s="28" t="n">
        <v>32110</v>
      </c>
      <c r="C506" s="21" t="n">
        <v>0</v>
      </c>
      <c r="D506" s="21" t="n">
        <v>0</v>
      </c>
      <c r="E506" s="21" t="n">
        <v>0</v>
      </c>
      <c r="F506" s="21" t="n">
        <v>0</v>
      </c>
      <c r="G506" s="30" t="s">
        <v>3432</v>
      </c>
    </row>
    <row r="507" customFormat="false" ht="15" hidden="false" customHeight="false" outlineLevel="0" collapsed="false">
      <c r="A507" s="28" t="n">
        <v>32111</v>
      </c>
      <c r="B507" s="28" t="n">
        <v>32117</v>
      </c>
      <c r="C507" s="21" t="n">
        <v>0</v>
      </c>
      <c r="D507" s="21" t="n">
        <v>0</v>
      </c>
      <c r="E507" s="21" t="n">
        <v>0</v>
      </c>
      <c r="F507" s="21" t="n">
        <v>0</v>
      </c>
      <c r="G507" s="30" t="s">
        <v>3432</v>
      </c>
    </row>
    <row r="508" customFormat="false" ht="15" hidden="false" customHeight="false" outlineLevel="0" collapsed="false">
      <c r="A508" s="28" t="n">
        <v>32118</v>
      </c>
      <c r="B508" s="28" t="n">
        <v>32124</v>
      </c>
      <c r="C508" s="21" t="n">
        <v>0</v>
      </c>
      <c r="D508" s="21" t="n">
        <v>0</v>
      </c>
      <c r="E508" s="21" t="n">
        <v>0</v>
      </c>
      <c r="F508" s="21" t="n">
        <v>0</v>
      </c>
      <c r="G508" s="30" t="s">
        <v>3432</v>
      </c>
    </row>
    <row r="509" customFormat="false" ht="15" hidden="false" customHeight="false" outlineLevel="0" collapsed="false">
      <c r="A509" s="28" t="n">
        <v>32125</v>
      </c>
      <c r="B509" s="28" t="n">
        <v>32131</v>
      </c>
      <c r="C509" s="21" t="n">
        <v>0</v>
      </c>
      <c r="D509" s="21" t="n">
        <v>0</v>
      </c>
      <c r="E509" s="21" t="n">
        <v>0</v>
      </c>
      <c r="F509" s="21" t="n">
        <v>0</v>
      </c>
      <c r="G509" s="30" t="s">
        <v>3432</v>
      </c>
    </row>
    <row r="510" customFormat="false" ht="15" hidden="false" customHeight="false" outlineLevel="0" collapsed="false">
      <c r="A510" s="28" t="n">
        <v>32132</v>
      </c>
      <c r="B510" s="28" t="n">
        <v>32138</v>
      </c>
      <c r="C510" s="21" t="n">
        <v>0</v>
      </c>
      <c r="D510" s="21" t="n">
        <v>0</v>
      </c>
      <c r="E510" s="21" t="n">
        <v>0</v>
      </c>
      <c r="F510" s="21" t="n">
        <v>0</v>
      </c>
      <c r="G510" s="30" t="s">
        <v>3432</v>
      </c>
    </row>
    <row r="511" customFormat="false" ht="15" hidden="false" customHeight="false" outlineLevel="0" collapsed="false">
      <c r="A511" s="28" t="n">
        <v>32139</v>
      </c>
      <c r="B511" s="28" t="n">
        <v>32145</v>
      </c>
      <c r="C511" s="21" t="n">
        <v>0</v>
      </c>
      <c r="D511" s="21" t="n">
        <v>0</v>
      </c>
      <c r="E511" s="21" t="n">
        <v>0</v>
      </c>
      <c r="F511" s="21" t="n">
        <v>0</v>
      </c>
      <c r="G511" s="30" t="s">
        <v>3432</v>
      </c>
    </row>
    <row r="512" customFormat="false" ht="15" hidden="false" customHeight="false" outlineLevel="0" collapsed="false">
      <c r="A512" s="28" t="n">
        <v>32146</v>
      </c>
      <c r="B512" s="28" t="n">
        <v>32152</v>
      </c>
      <c r="C512" s="21" t="n">
        <v>0</v>
      </c>
      <c r="D512" s="21" t="n">
        <v>0</v>
      </c>
      <c r="E512" s="21" t="n">
        <v>0</v>
      </c>
      <c r="F512" s="21" t="n">
        <v>0</v>
      </c>
      <c r="G512" s="30" t="s">
        <v>3432</v>
      </c>
    </row>
    <row r="513" customFormat="false" ht="15" hidden="false" customHeight="false" outlineLevel="0" collapsed="false">
      <c r="A513" s="28" t="n">
        <v>32153</v>
      </c>
      <c r="B513" s="28" t="n">
        <v>32159</v>
      </c>
      <c r="C513" s="21" t="n">
        <v>0</v>
      </c>
      <c r="D513" s="21" t="n">
        <v>0</v>
      </c>
      <c r="E513" s="21" t="n">
        <v>0</v>
      </c>
      <c r="F513" s="21" t="n">
        <v>0</v>
      </c>
      <c r="G513" s="30" t="s">
        <v>3432</v>
      </c>
    </row>
    <row r="514" customFormat="false" ht="15" hidden="false" customHeight="false" outlineLevel="0" collapsed="false">
      <c r="A514" s="28" t="n">
        <v>32160</v>
      </c>
      <c r="B514" s="28" t="n">
        <v>32166</v>
      </c>
      <c r="C514" s="21" t="n">
        <v>0</v>
      </c>
      <c r="D514" s="21" t="n">
        <v>0</v>
      </c>
      <c r="E514" s="21" t="n">
        <v>0</v>
      </c>
      <c r="F514" s="21" t="n">
        <v>0</v>
      </c>
      <c r="G514" s="30" t="s">
        <v>3432</v>
      </c>
    </row>
    <row r="515" customFormat="false" ht="15" hidden="false" customHeight="false" outlineLevel="0" collapsed="false">
      <c r="A515" s="28" t="n">
        <v>32167</v>
      </c>
      <c r="B515" s="28" t="n">
        <v>32173</v>
      </c>
      <c r="C515" s="21" t="n">
        <v>0</v>
      </c>
      <c r="D515" s="21" t="n">
        <v>0</v>
      </c>
      <c r="E515" s="21" t="n">
        <v>0</v>
      </c>
      <c r="F515" s="21" t="n">
        <v>0</v>
      </c>
      <c r="G515" s="30" t="s">
        <v>3432</v>
      </c>
    </row>
    <row r="516" customFormat="false" ht="15" hidden="false" customHeight="false" outlineLevel="0" collapsed="false">
      <c r="A516" s="28" t="n">
        <v>32174</v>
      </c>
      <c r="B516" s="28" t="n">
        <v>32180</v>
      </c>
      <c r="C516" s="21" t="n">
        <v>0</v>
      </c>
      <c r="D516" s="21" t="n">
        <v>0</v>
      </c>
      <c r="E516" s="21" t="n">
        <v>0</v>
      </c>
      <c r="F516" s="21" t="n">
        <v>0</v>
      </c>
      <c r="G516" s="30" t="s">
        <v>3432</v>
      </c>
    </row>
    <row r="517" customFormat="false" ht="15" hidden="false" customHeight="false" outlineLevel="0" collapsed="false">
      <c r="A517" s="28" t="n">
        <v>32181</v>
      </c>
      <c r="B517" s="28" t="n">
        <v>32187</v>
      </c>
      <c r="C517" s="21" t="n">
        <v>0</v>
      </c>
      <c r="D517" s="21" t="n">
        <v>0</v>
      </c>
      <c r="E517" s="21" t="n">
        <v>0</v>
      </c>
      <c r="F517" s="21" t="n">
        <v>0</v>
      </c>
      <c r="G517" s="30" t="s">
        <v>3432</v>
      </c>
    </row>
    <row r="518" customFormat="false" ht="15" hidden="false" customHeight="false" outlineLevel="0" collapsed="false">
      <c r="A518" s="28" t="n">
        <v>32188</v>
      </c>
      <c r="B518" s="28" t="n">
        <v>32194</v>
      </c>
      <c r="C518" s="21" t="n">
        <v>0</v>
      </c>
      <c r="D518" s="21" t="n">
        <v>0</v>
      </c>
      <c r="E518" s="21" t="n">
        <v>0</v>
      </c>
      <c r="F518" s="21" t="n">
        <v>0</v>
      </c>
      <c r="G518" s="30" t="s">
        <v>3432</v>
      </c>
    </row>
    <row r="519" customFormat="false" ht="15" hidden="false" customHeight="false" outlineLevel="0" collapsed="false">
      <c r="A519" s="28" t="n">
        <v>32195</v>
      </c>
      <c r="B519" s="28" t="n">
        <v>32201</v>
      </c>
      <c r="C519" s="21" t="n">
        <v>0</v>
      </c>
      <c r="D519" s="21" t="n">
        <v>0</v>
      </c>
      <c r="E519" s="21" t="n">
        <v>0</v>
      </c>
      <c r="F519" s="21" t="n">
        <v>0</v>
      </c>
      <c r="G519" s="30" t="s">
        <v>3432</v>
      </c>
    </row>
    <row r="520" customFormat="false" ht="15" hidden="false" customHeight="false" outlineLevel="0" collapsed="false">
      <c r="A520" s="28" t="n">
        <v>32202</v>
      </c>
      <c r="B520" s="28" t="n">
        <v>32208</v>
      </c>
      <c r="C520" s="21" t="n">
        <v>0</v>
      </c>
      <c r="D520" s="21" t="n">
        <v>0</v>
      </c>
      <c r="E520" s="21" t="n">
        <v>0</v>
      </c>
      <c r="F520" s="21" t="n">
        <v>0</v>
      </c>
      <c r="G520" s="30" t="s">
        <v>3432</v>
      </c>
    </row>
    <row r="521" customFormat="false" ht="15" hidden="false" customHeight="false" outlineLevel="0" collapsed="false">
      <c r="A521" s="28" t="n">
        <v>32209</v>
      </c>
      <c r="B521" s="28" t="n">
        <v>32215</v>
      </c>
      <c r="C521" s="21" t="n">
        <v>0</v>
      </c>
      <c r="D521" s="21" t="n">
        <v>0</v>
      </c>
      <c r="E521" s="21" t="n">
        <v>0</v>
      </c>
      <c r="F521" s="21" t="n">
        <v>0</v>
      </c>
      <c r="G521" s="30" t="s">
        <v>3432</v>
      </c>
    </row>
    <row r="522" customFormat="false" ht="15" hidden="false" customHeight="false" outlineLevel="0" collapsed="false">
      <c r="A522" s="28" t="n">
        <v>32216</v>
      </c>
      <c r="B522" s="28" t="n">
        <v>32222</v>
      </c>
      <c r="C522" s="21" t="n">
        <v>0</v>
      </c>
      <c r="D522" s="21" t="n">
        <v>0</v>
      </c>
      <c r="E522" s="21" t="n">
        <v>0</v>
      </c>
      <c r="F522" s="21" t="n">
        <v>0</v>
      </c>
      <c r="G522" s="30" t="s">
        <v>3432</v>
      </c>
    </row>
    <row r="523" customFormat="false" ht="15" hidden="false" customHeight="false" outlineLevel="0" collapsed="false">
      <c r="A523" s="28" t="n">
        <v>32223</v>
      </c>
      <c r="B523" s="28" t="n">
        <v>32229</v>
      </c>
      <c r="C523" s="21" t="n">
        <v>0</v>
      </c>
      <c r="D523" s="21" t="n">
        <v>0</v>
      </c>
      <c r="E523" s="21" t="n">
        <v>0</v>
      </c>
      <c r="F523" s="21" t="n">
        <v>0</v>
      </c>
      <c r="G523" s="30" t="s">
        <v>3432</v>
      </c>
    </row>
    <row r="524" customFormat="false" ht="15" hidden="false" customHeight="false" outlineLevel="0" collapsed="false">
      <c r="A524" s="28" t="n">
        <v>32230</v>
      </c>
      <c r="B524" s="28" t="n">
        <v>32236</v>
      </c>
      <c r="C524" s="21" t="n">
        <v>0</v>
      </c>
      <c r="D524" s="21" t="n">
        <v>0</v>
      </c>
      <c r="E524" s="21" t="n">
        <v>0</v>
      </c>
      <c r="F524" s="21" t="n">
        <v>0</v>
      </c>
      <c r="G524" s="30" t="s">
        <v>3432</v>
      </c>
    </row>
    <row r="525" customFormat="false" ht="15" hidden="false" customHeight="false" outlineLevel="0" collapsed="false">
      <c r="A525" s="28" t="n">
        <v>32237</v>
      </c>
      <c r="B525" s="28" t="n">
        <v>32243</v>
      </c>
      <c r="C525" s="21" t="n">
        <v>0</v>
      </c>
      <c r="D525" s="21" t="n">
        <v>0</v>
      </c>
      <c r="E525" s="21" t="n">
        <v>0</v>
      </c>
      <c r="F525" s="21" t="n">
        <v>0</v>
      </c>
      <c r="G525" s="30" t="s">
        <v>3432</v>
      </c>
    </row>
    <row r="526" customFormat="false" ht="15" hidden="false" customHeight="false" outlineLevel="0" collapsed="false">
      <c r="A526" s="28" t="n">
        <v>32244</v>
      </c>
      <c r="B526" s="28" t="n">
        <v>32250</v>
      </c>
      <c r="C526" s="21" t="n">
        <v>0</v>
      </c>
      <c r="D526" s="21" t="n">
        <v>1</v>
      </c>
      <c r="E526" s="21" t="n">
        <v>0</v>
      </c>
      <c r="F526" s="21" t="n">
        <v>1</v>
      </c>
      <c r="G526" s="29" t="s">
        <v>184</v>
      </c>
    </row>
    <row r="527" customFormat="false" ht="15" hidden="false" customHeight="false" outlineLevel="0" collapsed="false">
      <c r="A527" s="28" t="n">
        <v>32251</v>
      </c>
      <c r="B527" s="28" t="n">
        <v>32257</v>
      </c>
      <c r="C527" s="21" t="n">
        <v>2</v>
      </c>
      <c r="D527" s="21" t="n">
        <v>0</v>
      </c>
      <c r="E527" s="21" t="n">
        <v>1</v>
      </c>
      <c r="F527" s="21" t="n">
        <v>6</v>
      </c>
      <c r="G527" s="31" t="s">
        <v>89</v>
      </c>
    </row>
    <row r="528" customFormat="false" ht="15" hidden="false" customHeight="false" outlineLevel="0" collapsed="false">
      <c r="A528" s="28" t="n">
        <v>32258</v>
      </c>
      <c r="B528" s="28" t="n">
        <v>32264</v>
      </c>
      <c r="C528" s="21" t="n">
        <v>0</v>
      </c>
      <c r="D528" s="21" t="n">
        <v>0</v>
      </c>
      <c r="E528" s="21" t="n">
        <v>0</v>
      </c>
      <c r="F528" s="21" t="n">
        <v>0</v>
      </c>
      <c r="G528" s="31" t="s">
        <v>89</v>
      </c>
    </row>
    <row r="529" customFormat="false" ht="15" hidden="false" customHeight="false" outlineLevel="0" collapsed="false">
      <c r="A529" s="28" t="n">
        <v>32265</v>
      </c>
      <c r="B529" s="28" t="n">
        <v>32271</v>
      </c>
      <c r="C529" s="21" t="n">
        <v>0</v>
      </c>
      <c r="D529" s="21" t="n">
        <v>0</v>
      </c>
      <c r="E529" s="21" t="n">
        <v>0</v>
      </c>
      <c r="F529" s="21" t="n">
        <v>0</v>
      </c>
      <c r="G529" s="30" t="s">
        <v>3432</v>
      </c>
    </row>
    <row r="530" customFormat="false" ht="15" hidden="false" customHeight="false" outlineLevel="0" collapsed="false">
      <c r="A530" s="28" t="n">
        <v>32272</v>
      </c>
      <c r="B530" s="28" t="n">
        <v>32278</v>
      </c>
      <c r="C530" s="21" t="n">
        <v>0</v>
      </c>
      <c r="D530" s="21" t="n">
        <v>0</v>
      </c>
      <c r="E530" s="21" t="n">
        <v>0</v>
      </c>
      <c r="F530" s="21" t="n">
        <v>0</v>
      </c>
      <c r="G530" s="30" t="s">
        <v>3432</v>
      </c>
    </row>
    <row r="531" customFormat="false" ht="15" hidden="false" customHeight="false" outlineLevel="0" collapsed="false">
      <c r="A531" s="28" t="n">
        <v>32279</v>
      </c>
      <c r="B531" s="28" t="n">
        <v>32285</v>
      </c>
      <c r="C531" s="21" t="n">
        <v>0</v>
      </c>
      <c r="D531" s="21" t="n">
        <v>0</v>
      </c>
      <c r="E531" s="21" t="n">
        <v>0</v>
      </c>
      <c r="F531" s="21" t="n">
        <v>0</v>
      </c>
      <c r="G531" s="30" t="s">
        <v>3432</v>
      </c>
    </row>
    <row r="532" customFormat="false" ht="15" hidden="false" customHeight="false" outlineLevel="0" collapsed="false">
      <c r="A532" s="28" t="n">
        <v>32286</v>
      </c>
      <c r="B532" s="28" t="n">
        <v>32292</v>
      </c>
      <c r="C532" s="21" t="n">
        <v>0</v>
      </c>
      <c r="D532" s="21" t="n">
        <v>0</v>
      </c>
      <c r="E532" s="21" t="n">
        <v>0</v>
      </c>
      <c r="F532" s="21" t="n">
        <v>0</v>
      </c>
      <c r="G532" s="30" t="s">
        <v>3432</v>
      </c>
    </row>
    <row r="533" customFormat="false" ht="15" hidden="false" customHeight="false" outlineLevel="0" collapsed="false">
      <c r="A533" s="28" t="n">
        <v>32293</v>
      </c>
      <c r="B533" s="28" t="n">
        <v>32299</v>
      </c>
      <c r="C533" s="21" t="n">
        <v>0</v>
      </c>
      <c r="D533" s="21" t="n">
        <v>0</v>
      </c>
      <c r="E533" s="21" t="n">
        <v>0</v>
      </c>
      <c r="F533" s="21" t="n">
        <v>0</v>
      </c>
      <c r="G533" s="30" t="s">
        <v>3432</v>
      </c>
    </row>
    <row r="534" customFormat="false" ht="15" hidden="false" customHeight="false" outlineLevel="0" collapsed="false">
      <c r="A534" s="28" t="n">
        <v>32300</v>
      </c>
      <c r="B534" s="28" t="n">
        <v>32306</v>
      </c>
      <c r="C534" s="21" t="n">
        <v>0</v>
      </c>
      <c r="D534" s="21" t="n">
        <v>0</v>
      </c>
      <c r="E534" s="21" t="n">
        <v>0</v>
      </c>
      <c r="F534" s="21" t="n">
        <v>0</v>
      </c>
      <c r="G534" s="30" t="s">
        <v>3432</v>
      </c>
    </row>
    <row r="535" customFormat="false" ht="15" hidden="false" customHeight="false" outlineLevel="0" collapsed="false">
      <c r="A535" s="28" t="n">
        <v>32307</v>
      </c>
      <c r="B535" s="28" t="n">
        <v>32313</v>
      </c>
      <c r="C535" s="21" t="n">
        <v>0</v>
      </c>
      <c r="D535" s="21" t="n">
        <v>0</v>
      </c>
      <c r="E535" s="21" t="n">
        <v>0</v>
      </c>
      <c r="F535" s="21" t="n">
        <v>0</v>
      </c>
      <c r="G535" s="30" t="s">
        <v>3432</v>
      </c>
    </row>
    <row r="536" customFormat="false" ht="15" hidden="false" customHeight="false" outlineLevel="0" collapsed="false">
      <c r="A536" s="28" t="n">
        <v>32314</v>
      </c>
      <c r="B536" s="28" t="n">
        <v>32320</v>
      </c>
      <c r="C536" s="21" t="n">
        <v>0</v>
      </c>
      <c r="D536" s="21" t="n">
        <v>0</v>
      </c>
      <c r="E536" s="21" t="n">
        <v>0</v>
      </c>
      <c r="F536" s="21" t="n">
        <v>0</v>
      </c>
      <c r="G536" s="30" t="s">
        <v>3432</v>
      </c>
    </row>
    <row r="537" customFormat="false" ht="15" hidden="false" customHeight="false" outlineLevel="0" collapsed="false">
      <c r="A537" s="28" t="n">
        <v>32321</v>
      </c>
      <c r="B537" s="28" t="n">
        <v>32327</v>
      </c>
      <c r="C537" s="21" t="n">
        <v>1</v>
      </c>
      <c r="D537" s="21" t="n">
        <v>0</v>
      </c>
      <c r="E537" s="21" t="n">
        <v>1</v>
      </c>
      <c r="F537" s="21" t="n">
        <v>4</v>
      </c>
      <c r="G537" s="29" t="s">
        <v>184</v>
      </c>
    </row>
    <row r="538" customFormat="false" ht="15" hidden="false" customHeight="false" outlineLevel="0" collapsed="false">
      <c r="A538" s="28" t="n">
        <v>32328</v>
      </c>
      <c r="B538" s="28" t="n">
        <v>32334</v>
      </c>
      <c r="C538" s="21" t="n">
        <v>0</v>
      </c>
      <c r="D538" s="21" t="n">
        <v>0</v>
      </c>
      <c r="E538" s="21" t="n">
        <v>0</v>
      </c>
      <c r="F538" s="21" t="n">
        <v>0</v>
      </c>
      <c r="G538" s="29" t="s">
        <v>184</v>
      </c>
    </row>
    <row r="539" customFormat="false" ht="15" hidden="false" customHeight="false" outlineLevel="0" collapsed="false">
      <c r="A539" s="28" t="n">
        <v>32335</v>
      </c>
      <c r="B539" s="28" t="n">
        <v>32341</v>
      </c>
      <c r="C539" s="21" t="n">
        <v>0</v>
      </c>
      <c r="D539" s="21" t="n">
        <v>0</v>
      </c>
      <c r="E539" s="21" t="n">
        <v>0</v>
      </c>
      <c r="F539" s="21" t="n">
        <v>0</v>
      </c>
      <c r="G539" s="30" t="s">
        <v>3432</v>
      </c>
    </row>
    <row r="540" customFormat="false" ht="15" hidden="false" customHeight="false" outlineLevel="0" collapsed="false">
      <c r="A540" s="28" t="n">
        <v>32342</v>
      </c>
      <c r="B540" s="28" t="n">
        <v>32348</v>
      </c>
      <c r="C540" s="21" t="n">
        <v>0</v>
      </c>
      <c r="D540" s="21" t="n">
        <v>0</v>
      </c>
      <c r="E540" s="21" t="n">
        <v>0</v>
      </c>
      <c r="F540" s="21" t="n">
        <v>0</v>
      </c>
      <c r="G540" s="30" t="s">
        <v>3432</v>
      </c>
    </row>
    <row r="541" customFormat="false" ht="15" hidden="false" customHeight="false" outlineLevel="0" collapsed="false">
      <c r="A541" s="28" t="n">
        <v>32349</v>
      </c>
      <c r="B541" s="28" t="n">
        <v>32355</v>
      </c>
      <c r="C541" s="21" t="n">
        <v>0</v>
      </c>
      <c r="D541" s="21" t="n">
        <v>0</v>
      </c>
      <c r="E541" s="21" t="n">
        <v>0</v>
      </c>
      <c r="F541" s="21" t="n">
        <v>0</v>
      </c>
      <c r="G541" s="30" t="s">
        <v>3432</v>
      </c>
    </row>
    <row r="542" customFormat="false" ht="15" hidden="false" customHeight="false" outlineLevel="0" collapsed="false">
      <c r="A542" s="28" t="n">
        <v>32356</v>
      </c>
      <c r="B542" s="28" t="n">
        <v>32362</v>
      </c>
      <c r="C542" s="21" t="n">
        <v>0</v>
      </c>
      <c r="D542" s="21" t="n">
        <v>0</v>
      </c>
      <c r="E542" s="21" t="n">
        <v>0</v>
      </c>
      <c r="F542" s="21" t="n">
        <v>0</v>
      </c>
      <c r="G542" s="30" t="s">
        <v>3432</v>
      </c>
    </row>
    <row r="543" customFormat="false" ht="15" hidden="false" customHeight="false" outlineLevel="0" collapsed="false">
      <c r="A543" s="28" t="n">
        <v>32363</v>
      </c>
      <c r="B543" s="28" t="n">
        <v>32369</v>
      </c>
      <c r="C543" s="21" t="n">
        <v>0</v>
      </c>
      <c r="D543" s="21" t="n">
        <v>0</v>
      </c>
      <c r="E543" s="21" t="n">
        <v>0</v>
      </c>
      <c r="F543" s="21" t="n">
        <v>0</v>
      </c>
      <c r="G543" s="30" t="s">
        <v>3432</v>
      </c>
    </row>
    <row r="544" customFormat="false" ht="15" hidden="false" customHeight="false" outlineLevel="0" collapsed="false">
      <c r="A544" s="28" t="n">
        <v>32370</v>
      </c>
      <c r="B544" s="28" t="n">
        <v>32376</v>
      </c>
      <c r="C544" s="21" t="n">
        <v>0</v>
      </c>
      <c r="D544" s="21" t="n">
        <v>0</v>
      </c>
      <c r="E544" s="21" t="n">
        <v>0</v>
      </c>
      <c r="F544" s="21" t="n">
        <v>0</v>
      </c>
      <c r="G544" s="30" t="s">
        <v>3432</v>
      </c>
    </row>
    <row r="545" customFormat="false" ht="15" hidden="false" customHeight="false" outlineLevel="0" collapsed="false">
      <c r="A545" s="28" t="n">
        <v>32377</v>
      </c>
      <c r="B545" s="28" t="n">
        <v>32383</v>
      </c>
      <c r="C545" s="21" t="n">
        <v>0</v>
      </c>
      <c r="D545" s="21" t="n">
        <v>0</v>
      </c>
      <c r="E545" s="21" t="n">
        <v>0</v>
      </c>
      <c r="F545" s="21" t="n">
        <v>0</v>
      </c>
      <c r="G545" s="30" t="s">
        <v>3432</v>
      </c>
    </row>
    <row r="546" customFormat="false" ht="15" hidden="false" customHeight="false" outlineLevel="0" collapsed="false">
      <c r="A546" s="28" t="n">
        <v>32384</v>
      </c>
      <c r="B546" s="28" t="n">
        <v>32390</v>
      </c>
      <c r="C546" s="21" t="n">
        <v>0</v>
      </c>
      <c r="D546" s="21" t="n">
        <v>0</v>
      </c>
      <c r="E546" s="21" t="n">
        <v>0</v>
      </c>
      <c r="F546" s="21" t="n">
        <v>0</v>
      </c>
      <c r="G546" s="30" t="s">
        <v>3432</v>
      </c>
    </row>
    <row r="547" customFormat="false" ht="15" hidden="false" customHeight="false" outlineLevel="0" collapsed="false">
      <c r="A547" s="28" t="n">
        <v>32391</v>
      </c>
      <c r="B547" s="28" t="n">
        <v>32397</v>
      </c>
      <c r="C547" s="21" t="n">
        <v>0</v>
      </c>
      <c r="D547" s="21" t="n">
        <v>0</v>
      </c>
      <c r="E547" s="21" t="n">
        <v>0</v>
      </c>
      <c r="F547" s="21" t="n">
        <v>0</v>
      </c>
      <c r="G547" s="30" t="s">
        <v>3432</v>
      </c>
    </row>
    <row r="548" customFormat="false" ht="15" hidden="false" customHeight="false" outlineLevel="0" collapsed="false">
      <c r="A548" s="28" t="n">
        <v>32398</v>
      </c>
      <c r="B548" s="28" t="n">
        <v>32404</v>
      </c>
      <c r="C548" s="21" t="n">
        <v>0</v>
      </c>
      <c r="D548" s="21" t="n">
        <v>0</v>
      </c>
      <c r="E548" s="21" t="n">
        <v>0</v>
      </c>
      <c r="F548" s="21" t="n">
        <v>0</v>
      </c>
      <c r="G548" s="30" t="s">
        <v>3432</v>
      </c>
    </row>
    <row r="549" customFormat="false" ht="15" hidden="false" customHeight="false" outlineLevel="0" collapsed="false">
      <c r="A549" s="28" t="n">
        <v>32405</v>
      </c>
      <c r="B549" s="28" t="n">
        <v>32411</v>
      </c>
      <c r="C549" s="21" t="n">
        <v>0</v>
      </c>
      <c r="D549" s="21" t="n">
        <v>0</v>
      </c>
      <c r="E549" s="21" t="n">
        <v>0</v>
      </c>
      <c r="F549" s="21" t="n">
        <v>0</v>
      </c>
      <c r="G549" s="30" t="s">
        <v>3432</v>
      </c>
    </row>
    <row r="550" customFormat="false" ht="15" hidden="false" customHeight="false" outlineLevel="0" collapsed="false">
      <c r="A550" s="28" t="n">
        <v>32412</v>
      </c>
      <c r="B550" s="28" t="n">
        <v>32418</v>
      </c>
      <c r="C550" s="21" t="n">
        <v>0</v>
      </c>
      <c r="D550" s="21" t="n">
        <v>0</v>
      </c>
      <c r="E550" s="21" t="n">
        <v>0</v>
      </c>
      <c r="F550" s="21" t="n">
        <v>0</v>
      </c>
      <c r="G550" s="30" t="s">
        <v>3432</v>
      </c>
    </row>
    <row r="551" customFormat="false" ht="15" hidden="false" customHeight="false" outlineLevel="0" collapsed="false">
      <c r="A551" s="28" t="n">
        <v>32419</v>
      </c>
      <c r="B551" s="28" t="n">
        <v>32425</v>
      </c>
      <c r="C551" s="21" t="n">
        <v>0</v>
      </c>
      <c r="D551" s="21" t="n">
        <v>0</v>
      </c>
      <c r="E551" s="21" t="n">
        <v>0</v>
      </c>
      <c r="F551" s="21" t="n">
        <v>0</v>
      </c>
      <c r="G551" s="30" t="s">
        <v>3432</v>
      </c>
    </row>
    <row r="552" customFormat="false" ht="15" hidden="false" customHeight="false" outlineLevel="0" collapsed="false">
      <c r="A552" s="28" t="n">
        <v>32426</v>
      </c>
      <c r="B552" s="28" t="n">
        <v>32432</v>
      </c>
      <c r="C552" s="21" t="n">
        <v>0</v>
      </c>
      <c r="D552" s="21" t="n">
        <v>0</v>
      </c>
      <c r="E552" s="21" t="n">
        <v>0</v>
      </c>
      <c r="F552" s="21" t="n">
        <v>0</v>
      </c>
      <c r="G552" s="30" t="s">
        <v>3432</v>
      </c>
    </row>
    <row r="553" customFormat="false" ht="15" hidden="false" customHeight="false" outlineLevel="0" collapsed="false">
      <c r="A553" s="28" t="n">
        <v>32433</v>
      </c>
      <c r="B553" s="28" t="n">
        <v>32439</v>
      </c>
      <c r="C553" s="21" t="n">
        <v>0</v>
      </c>
      <c r="D553" s="21" t="n">
        <v>0</v>
      </c>
      <c r="E553" s="21" t="n">
        <v>0</v>
      </c>
      <c r="F553" s="21" t="n">
        <v>0</v>
      </c>
      <c r="G553" s="30" t="s">
        <v>3432</v>
      </c>
    </row>
    <row r="554" customFormat="false" ht="15" hidden="false" customHeight="false" outlineLevel="0" collapsed="false">
      <c r="A554" s="28" t="n">
        <v>32440</v>
      </c>
      <c r="B554" s="28" t="n">
        <v>32446</v>
      </c>
      <c r="C554" s="21" t="n">
        <v>0</v>
      </c>
      <c r="D554" s="21" t="n">
        <v>0</v>
      </c>
      <c r="E554" s="21" t="n">
        <v>0</v>
      </c>
      <c r="F554" s="21" t="n">
        <v>0</v>
      </c>
      <c r="G554" s="30" t="s">
        <v>3432</v>
      </c>
    </row>
    <row r="555" customFormat="false" ht="15" hidden="false" customHeight="false" outlineLevel="0" collapsed="false">
      <c r="A555" s="28" t="n">
        <v>32447</v>
      </c>
      <c r="B555" s="28" t="n">
        <v>32453</v>
      </c>
      <c r="C555" s="21" t="n">
        <v>0</v>
      </c>
      <c r="D555" s="21" t="n">
        <v>0</v>
      </c>
      <c r="E555" s="21" t="n">
        <v>0</v>
      </c>
      <c r="F555" s="21" t="n">
        <v>0</v>
      </c>
      <c r="G555" s="30" t="s">
        <v>3432</v>
      </c>
    </row>
    <row r="556" customFormat="false" ht="15" hidden="false" customHeight="false" outlineLevel="0" collapsed="false">
      <c r="A556" s="28" t="n">
        <v>32454</v>
      </c>
      <c r="B556" s="28" t="n">
        <v>32460</v>
      </c>
      <c r="C556" s="21" t="n">
        <v>0</v>
      </c>
      <c r="D556" s="21" t="n">
        <v>0</v>
      </c>
      <c r="E556" s="21" t="n">
        <v>0</v>
      </c>
      <c r="F556" s="21" t="n">
        <v>0</v>
      </c>
      <c r="G556" s="30" t="s">
        <v>3432</v>
      </c>
    </row>
    <row r="557" customFormat="false" ht="15" hidden="false" customHeight="false" outlineLevel="0" collapsed="false">
      <c r="A557" s="28" t="n">
        <v>32461</v>
      </c>
      <c r="B557" s="28" t="n">
        <v>32467</v>
      </c>
      <c r="C557" s="21" t="n">
        <v>0</v>
      </c>
      <c r="D557" s="21" t="n">
        <v>0</v>
      </c>
      <c r="E557" s="21" t="n">
        <v>0</v>
      </c>
      <c r="F557" s="21" t="n">
        <v>0</v>
      </c>
      <c r="G557" s="30" t="s">
        <v>3432</v>
      </c>
    </row>
    <row r="558" customFormat="false" ht="15" hidden="false" customHeight="false" outlineLevel="0" collapsed="false">
      <c r="A558" s="28" t="n">
        <v>32468</v>
      </c>
      <c r="B558" s="28" t="n">
        <v>32474</v>
      </c>
      <c r="C558" s="21" t="n">
        <v>0</v>
      </c>
      <c r="D558" s="21" t="n">
        <v>0</v>
      </c>
      <c r="E558" s="21" t="n">
        <v>0</v>
      </c>
      <c r="F558" s="21" t="n">
        <v>0</v>
      </c>
      <c r="G558" s="30" t="s">
        <v>3432</v>
      </c>
    </row>
    <row r="559" customFormat="false" ht="15" hidden="false" customHeight="false" outlineLevel="0" collapsed="false">
      <c r="A559" s="28" t="n">
        <v>32475</v>
      </c>
      <c r="B559" s="28" t="n">
        <v>32481</v>
      </c>
      <c r="C559" s="21" t="n">
        <v>0</v>
      </c>
      <c r="D559" s="21" t="n">
        <v>0</v>
      </c>
      <c r="E559" s="21" t="n">
        <v>0</v>
      </c>
      <c r="F559" s="21" t="n">
        <v>0</v>
      </c>
      <c r="G559" s="30" t="s">
        <v>3432</v>
      </c>
    </row>
    <row r="560" customFormat="false" ht="15" hidden="false" customHeight="false" outlineLevel="0" collapsed="false">
      <c r="A560" s="28" t="n">
        <v>32482</v>
      </c>
      <c r="B560" s="28" t="n">
        <v>32488</v>
      </c>
      <c r="C560" s="21" t="n">
        <v>0</v>
      </c>
      <c r="D560" s="21" t="n">
        <v>0</v>
      </c>
      <c r="E560" s="21" t="n">
        <v>0</v>
      </c>
      <c r="F560" s="21" t="n">
        <v>0</v>
      </c>
      <c r="G560" s="30" t="s">
        <v>3432</v>
      </c>
    </row>
    <row r="561" customFormat="false" ht="15" hidden="false" customHeight="false" outlineLevel="0" collapsed="false">
      <c r="A561" s="28" t="n">
        <v>32489</v>
      </c>
      <c r="B561" s="28" t="n">
        <v>32495</v>
      </c>
      <c r="C561" s="21" t="n">
        <v>0</v>
      </c>
      <c r="D561" s="21" t="n">
        <v>0</v>
      </c>
      <c r="E561" s="21" t="n">
        <v>0</v>
      </c>
      <c r="F561" s="21" t="n">
        <v>0</v>
      </c>
      <c r="G561" s="30" t="s">
        <v>3432</v>
      </c>
    </row>
    <row r="562" customFormat="false" ht="15" hidden="false" customHeight="false" outlineLevel="0" collapsed="false">
      <c r="A562" s="28" t="n">
        <v>32496</v>
      </c>
      <c r="B562" s="28" t="n">
        <v>32502</v>
      </c>
      <c r="C562" s="21" t="n">
        <v>0</v>
      </c>
      <c r="D562" s="21" t="n">
        <v>0</v>
      </c>
      <c r="E562" s="21" t="n">
        <v>0</v>
      </c>
      <c r="F562" s="21" t="n">
        <v>0</v>
      </c>
      <c r="G562" s="30" t="s">
        <v>3432</v>
      </c>
    </row>
    <row r="563" customFormat="false" ht="15" hidden="false" customHeight="false" outlineLevel="0" collapsed="false">
      <c r="A563" s="28" t="n">
        <v>32503</v>
      </c>
      <c r="B563" s="28" t="n">
        <v>32509</v>
      </c>
      <c r="C563" s="21" t="n">
        <v>0</v>
      </c>
      <c r="D563" s="21" t="n">
        <v>0</v>
      </c>
      <c r="E563" s="21" t="n">
        <v>0</v>
      </c>
      <c r="F563" s="21" t="n">
        <v>0</v>
      </c>
      <c r="G563" s="30" t="s">
        <v>3432</v>
      </c>
    </row>
    <row r="564" customFormat="false" ht="15" hidden="false" customHeight="false" outlineLevel="0" collapsed="false">
      <c r="A564" s="28" t="n">
        <v>32510</v>
      </c>
      <c r="B564" s="28" t="n">
        <v>32516</v>
      </c>
      <c r="C564" s="21" t="n">
        <v>0</v>
      </c>
      <c r="D564" s="21" t="n">
        <v>0</v>
      </c>
      <c r="E564" s="21" t="n">
        <v>0</v>
      </c>
      <c r="F564" s="21" t="n">
        <v>0</v>
      </c>
      <c r="G564" s="30" t="s">
        <v>3432</v>
      </c>
    </row>
    <row r="565" customFormat="false" ht="15" hidden="false" customHeight="false" outlineLevel="0" collapsed="false">
      <c r="A565" s="28" t="n">
        <v>32517</v>
      </c>
      <c r="B565" s="28" t="n">
        <v>32523</v>
      </c>
      <c r="C565" s="21" t="n">
        <v>0</v>
      </c>
      <c r="D565" s="21" t="n">
        <v>0</v>
      </c>
      <c r="E565" s="21" t="n">
        <v>0</v>
      </c>
      <c r="F565" s="21" t="n">
        <v>0</v>
      </c>
      <c r="G565" s="30" t="s">
        <v>3432</v>
      </c>
    </row>
    <row r="566" customFormat="false" ht="15" hidden="false" customHeight="false" outlineLevel="0" collapsed="false">
      <c r="A566" s="28" t="n">
        <v>32524</v>
      </c>
      <c r="B566" s="28" t="n">
        <v>32530</v>
      </c>
      <c r="C566" s="21" t="n">
        <v>0</v>
      </c>
      <c r="D566" s="21" t="n">
        <v>0</v>
      </c>
      <c r="E566" s="21" t="n">
        <v>0</v>
      </c>
      <c r="F566" s="21" t="n">
        <v>0</v>
      </c>
      <c r="G566" s="30" t="s">
        <v>3432</v>
      </c>
    </row>
    <row r="567" customFormat="false" ht="15" hidden="false" customHeight="false" outlineLevel="0" collapsed="false">
      <c r="A567" s="28" t="n">
        <v>32531</v>
      </c>
      <c r="B567" s="28" t="n">
        <v>32537</v>
      </c>
      <c r="C567" s="21" t="n">
        <v>0</v>
      </c>
      <c r="D567" s="21" t="n">
        <v>0</v>
      </c>
      <c r="E567" s="21" t="n">
        <v>0</v>
      </c>
      <c r="F567" s="21" t="n">
        <v>0</v>
      </c>
      <c r="G567" s="30" t="s">
        <v>3432</v>
      </c>
    </row>
    <row r="568" customFormat="false" ht="15" hidden="false" customHeight="false" outlineLevel="0" collapsed="false">
      <c r="A568" s="28" t="n">
        <v>32538</v>
      </c>
      <c r="B568" s="28" t="n">
        <v>32544</v>
      </c>
      <c r="C568" s="21" t="n">
        <v>0</v>
      </c>
      <c r="D568" s="21" t="n">
        <v>0</v>
      </c>
      <c r="E568" s="21" t="n">
        <v>0</v>
      </c>
      <c r="F568" s="21" t="n">
        <v>0</v>
      </c>
      <c r="G568" s="30" t="s">
        <v>3432</v>
      </c>
    </row>
    <row r="569" customFormat="false" ht="15" hidden="false" customHeight="false" outlineLevel="0" collapsed="false">
      <c r="A569" s="28" t="n">
        <v>32545</v>
      </c>
      <c r="B569" s="28" t="n">
        <v>32551</v>
      </c>
      <c r="C569" s="21" t="n">
        <v>0</v>
      </c>
      <c r="D569" s="21" t="n">
        <v>0</v>
      </c>
      <c r="E569" s="21" t="n">
        <v>0</v>
      </c>
      <c r="F569" s="21" t="n">
        <v>0</v>
      </c>
      <c r="G569" s="30" t="s">
        <v>3432</v>
      </c>
    </row>
    <row r="570" customFormat="false" ht="15" hidden="false" customHeight="false" outlineLevel="0" collapsed="false">
      <c r="A570" s="28" t="n">
        <v>32552</v>
      </c>
      <c r="B570" s="28" t="n">
        <v>32558</v>
      </c>
      <c r="C570" s="21" t="n">
        <v>0</v>
      </c>
      <c r="D570" s="21" t="n">
        <v>0</v>
      </c>
      <c r="E570" s="21" t="n">
        <v>0</v>
      </c>
      <c r="F570" s="21" t="n">
        <v>0</v>
      </c>
      <c r="G570" s="30" t="s">
        <v>3432</v>
      </c>
    </row>
    <row r="571" customFormat="false" ht="15" hidden="false" customHeight="false" outlineLevel="0" collapsed="false">
      <c r="A571" s="28" t="n">
        <v>32559</v>
      </c>
      <c r="B571" s="28" t="n">
        <v>32565</v>
      </c>
      <c r="C571" s="21" t="n">
        <v>0</v>
      </c>
      <c r="D571" s="21" t="n">
        <v>0</v>
      </c>
      <c r="E571" s="21" t="n">
        <v>0</v>
      </c>
      <c r="F571" s="21" t="n">
        <v>0</v>
      </c>
      <c r="G571" s="30" t="s">
        <v>3432</v>
      </c>
    </row>
    <row r="572" customFormat="false" ht="15" hidden="false" customHeight="false" outlineLevel="0" collapsed="false">
      <c r="A572" s="28" t="n">
        <v>32566</v>
      </c>
      <c r="B572" s="28" t="n">
        <v>32572</v>
      </c>
      <c r="C572" s="21" t="n">
        <v>0</v>
      </c>
      <c r="D572" s="21" t="n">
        <v>0</v>
      </c>
      <c r="E572" s="21" t="n">
        <v>0</v>
      </c>
      <c r="F572" s="21" t="n">
        <v>0</v>
      </c>
      <c r="G572" s="30" t="s">
        <v>3432</v>
      </c>
    </row>
    <row r="573" customFormat="false" ht="15" hidden="false" customHeight="false" outlineLevel="0" collapsed="false">
      <c r="A573" s="28" t="n">
        <v>32573</v>
      </c>
      <c r="B573" s="28" t="n">
        <v>32579</v>
      </c>
      <c r="C573" s="21" t="n">
        <v>0</v>
      </c>
      <c r="D573" s="21" t="n">
        <v>0</v>
      </c>
      <c r="E573" s="21" t="n">
        <v>0</v>
      </c>
      <c r="F573" s="21" t="n">
        <v>0</v>
      </c>
      <c r="G573" s="30" t="s">
        <v>3432</v>
      </c>
    </row>
    <row r="574" customFormat="false" ht="15" hidden="false" customHeight="false" outlineLevel="0" collapsed="false">
      <c r="A574" s="28" t="n">
        <v>32580</v>
      </c>
      <c r="B574" s="28" t="n">
        <v>32586</v>
      </c>
      <c r="C574" s="21" t="n">
        <v>0</v>
      </c>
      <c r="D574" s="21" t="n">
        <v>0</v>
      </c>
      <c r="E574" s="21" t="n">
        <v>0</v>
      </c>
      <c r="F574" s="21" t="n">
        <v>0</v>
      </c>
      <c r="G574" s="30" t="s">
        <v>3432</v>
      </c>
    </row>
    <row r="575" customFormat="false" ht="15" hidden="false" customHeight="false" outlineLevel="0" collapsed="false">
      <c r="A575" s="28" t="n">
        <v>32587</v>
      </c>
      <c r="B575" s="28" t="n">
        <v>32593</v>
      </c>
      <c r="C575" s="21" t="n">
        <v>0</v>
      </c>
      <c r="D575" s="21" t="n">
        <v>0</v>
      </c>
      <c r="E575" s="21" t="n">
        <v>0</v>
      </c>
      <c r="F575" s="21" t="n">
        <v>0</v>
      </c>
      <c r="G575" s="30" t="s">
        <v>3432</v>
      </c>
    </row>
    <row r="576" customFormat="false" ht="15" hidden="false" customHeight="false" outlineLevel="0" collapsed="false">
      <c r="A576" s="28" t="n">
        <v>32594</v>
      </c>
      <c r="B576" s="28" t="n">
        <v>32600</v>
      </c>
      <c r="C576" s="21" t="n">
        <v>0</v>
      </c>
      <c r="D576" s="21" t="n">
        <v>0</v>
      </c>
      <c r="E576" s="21" t="n">
        <v>0</v>
      </c>
      <c r="F576" s="21" t="n">
        <v>0</v>
      </c>
      <c r="G576" s="30" t="s">
        <v>3432</v>
      </c>
    </row>
    <row r="577" customFormat="false" ht="15" hidden="false" customHeight="false" outlineLevel="0" collapsed="false">
      <c r="A577" s="28" t="n">
        <v>32601</v>
      </c>
      <c r="B577" s="28" t="n">
        <v>32607</v>
      </c>
      <c r="C577" s="21" t="n">
        <v>0</v>
      </c>
      <c r="D577" s="21" t="n">
        <v>0</v>
      </c>
      <c r="E577" s="21" t="n">
        <v>0</v>
      </c>
      <c r="F577" s="21" t="n">
        <v>0</v>
      </c>
      <c r="G577" s="30" t="s">
        <v>3432</v>
      </c>
    </row>
    <row r="578" customFormat="false" ht="15" hidden="false" customHeight="false" outlineLevel="0" collapsed="false">
      <c r="A578" s="28" t="n">
        <v>32608</v>
      </c>
      <c r="B578" s="28" t="n">
        <v>32614</v>
      </c>
      <c r="C578" s="21" t="n">
        <v>0</v>
      </c>
      <c r="D578" s="21" t="n">
        <v>0</v>
      </c>
      <c r="E578" s="21" t="n">
        <v>0</v>
      </c>
      <c r="F578" s="21" t="n">
        <v>0</v>
      </c>
      <c r="G578" s="30" t="s">
        <v>3432</v>
      </c>
    </row>
    <row r="579" customFormat="false" ht="15" hidden="false" customHeight="false" outlineLevel="0" collapsed="false">
      <c r="A579" s="28" t="n">
        <v>32615</v>
      </c>
      <c r="B579" s="28" t="n">
        <v>32621</v>
      </c>
      <c r="C579" s="21" t="n">
        <v>0</v>
      </c>
      <c r="D579" s="21" t="n">
        <v>0</v>
      </c>
      <c r="E579" s="21" t="n">
        <v>0</v>
      </c>
      <c r="F579" s="21" t="n">
        <v>0</v>
      </c>
      <c r="G579" s="30" t="s">
        <v>3432</v>
      </c>
    </row>
    <row r="580" customFormat="false" ht="15" hidden="false" customHeight="false" outlineLevel="0" collapsed="false">
      <c r="A580" s="28" t="n">
        <v>32622</v>
      </c>
      <c r="B580" s="28" t="n">
        <v>32628</v>
      </c>
      <c r="C580" s="21" t="n">
        <v>0</v>
      </c>
      <c r="D580" s="21" t="n">
        <v>0</v>
      </c>
      <c r="E580" s="21" t="n">
        <v>0</v>
      </c>
      <c r="F580" s="21" t="n">
        <v>0</v>
      </c>
      <c r="G580" s="30" t="s">
        <v>3432</v>
      </c>
    </row>
    <row r="581" customFormat="false" ht="15" hidden="false" customHeight="false" outlineLevel="0" collapsed="false">
      <c r="A581" s="28" t="n">
        <v>32629</v>
      </c>
      <c r="B581" s="28" t="n">
        <v>32635</v>
      </c>
      <c r="C581" s="21" t="n">
        <v>0</v>
      </c>
      <c r="D581" s="21" t="n">
        <v>0</v>
      </c>
      <c r="E581" s="21" t="n">
        <v>0</v>
      </c>
      <c r="F581" s="21" t="n">
        <v>0</v>
      </c>
      <c r="G581" s="30" t="s">
        <v>3432</v>
      </c>
    </row>
    <row r="582" customFormat="false" ht="15" hidden="false" customHeight="false" outlineLevel="0" collapsed="false">
      <c r="A582" s="28" t="n">
        <v>32636</v>
      </c>
      <c r="B582" s="28" t="n">
        <v>32642</v>
      </c>
      <c r="C582" s="21" t="n">
        <v>0</v>
      </c>
      <c r="D582" s="21" t="n">
        <v>0</v>
      </c>
      <c r="E582" s="21" t="n">
        <v>0</v>
      </c>
      <c r="F582" s="21" t="n">
        <v>0</v>
      </c>
      <c r="G582" s="30" t="s">
        <v>3432</v>
      </c>
    </row>
    <row r="583" customFormat="false" ht="15" hidden="false" customHeight="false" outlineLevel="0" collapsed="false">
      <c r="A583" s="28" t="n">
        <v>32643</v>
      </c>
      <c r="B583" s="28" t="n">
        <v>32649</v>
      </c>
      <c r="C583" s="21" t="n">
        <v>0</v>
      </c>
      <c r="D583" s="21" t="n">
        <v>0</v>
      </c>
      <c r="E583" s="21" t="n">
        <v>0</v>
      </c>
      <c r="F583" s="21" t="n">
        <v>0</v>
      </c>
      <c r="G583" s="30" t="s">
        <v>3432</v>
      </c>
    </row>
    <row r="584" customFormat="false" ht="15" hidden="false" customHeight="false" outlineLevel="0" collapsed="false">
      <c r="A584" s="28" t="n">
        <v>32650</v>
      </c>
      <c r="B584" s="28" t="n">
        <v>32656</v>
      </c>
      <c r="C584" s="21" t="n">
        <v>0</v>
      </c>
      <c r="D584" s="21" t="n">
        <v>0</v>
      </c>
      <c r="E584" s="21" t="n">
        <v>0</v>
      </c>
      <c r="F584" s="21" t="n">
        <v>0</v>
      </c>
      <c r="G584" s="30" t="s">
        <v>3432</v>
      </c>
    </row>
    <row r="585" customFormat="false" ht="15" hidden="false" customHeight="false" outlineLevel="0" collapsed="false">
      <c r="A585" s="28" t="n">
        <v>32657</v>
      </c>
      <c r="B585" s="28" t="n">
        <v>32663</v>
      </c>
      <c r="C585" s="21" t="n">
        <v>0</v>
      </c>
      <c r="D585" s="21" t="n">
        <v>0</v>
      </c>
      <c r="E585" s="21" t="n">
        <v>0</v>
      </c>
      <c r="F585" s="21" t="n">
        <v>0</v>
      </c>
      <c r="G585" s="30" t="s">
        <v>3432</v>
      </c>
    </row>
    <row r="586" customFormat="false" ht="15" hidden="false" customHeight="false" outlineLevel="0" collapsed="false">
      <c r="A586" s="28" t="n">
        <v>32664</v>
      </c>
      <c r="B586" s="28" t="n">
        <v>32670</v>
      </c>
      <c r="C586" s="21" t="n">
        <v>0</v>
      </c>
      <c r="D586" s="21" t="n">
        <v>0</v>
      </c>
      <c r="E586" s="21" t="n">
        <v>0</v>
      </c>
      <c r="F586" s="21" t="n">
        <v>0</v>
      </c>
      <c r="G586" s="30" t="s">
        <v>3432</v>
      </c>
    </row>
    <row r="587" customFormat="false" ht="15" hidden="false" customHeight="false" outlineLevel="0" collapsed="false">
      <c r="A587" s="28" t="n">
        <v>32671</v>
      </c>
      <c r="B587" s="28" t="n">
        <v>32677</v>
      </c>
      <c r="C587" s="21" t="n">
        <v>0</v>
      </c>
      <c r="D587" s="21" t="n">
        <v>0</v>
      </c>
      <c r="E587" s="21" t="n">
        <v>0</v>
      </c>
      <c r="F587" s="21" t="n">
        <v>0</v>
      </c>
      <c r="G587" s="30" t="s">
        <v>3432</v>
      </c>
    </row>
    <row r="588" customFormat="false" ht="15" hidden="false" customHeight="false" outlineLevel="0" collapsed="false">
      <c r="A588" s="28" t="n">
        <v>32678</v>
      </c>
      <c r="B588" s="28" t="n">
        <v>32684</v>
      </c>
      <c r="C588" s="21" t="n">
        <v>0</v>
      </c>
      <c r="D588" s="21" t="n">
        <v>0</v>
      </c>
      <c r="E588" s="21" t="n">
        <v>0</v>
      </c>
      <c r="F588" s="21" t="n">
        <v>0</v>
      </c>
      <c r="G588" s="30" t="s">
        <v>3432</v>
      </c>
    </row>
    <row r="589" customFormat="false" ht="15" hidden="false" customHeight="false" outlineLevel="0" collapsed="false">
      <c r="A589" s="28" t="n">
        <v>32685</v>
      </c>
      <c r="B589" s="28" t="n">
        <v>32691</v>
      </c>
      <c r="C589" s="21" t="n">
        <v>0</v>
      </c>
      <c r="D589" s="21" t="n">
        <v>0</v>
      </c>
      <c r="E589" s="21" t="n">
        <v>0</v>
      </c>
      <c r="F589" s="21" t="n">
        <v>0</v>
      </c>
      <c r="G589" s="30" t="s">
        <v>3432</v>
      </c>
    </row>
    <row r="590" customFormat="false" ht="15" hidden="false" customHeight="false" outlineLevel="0" collapsed="false">
      <c r="A590" s="28" t="n">
        <v>32692</v>
      </c>
      <c r="B590" s="28" t="n">
        <v>32698</v>
      </c>
      <c r="C590" s="21" t="n">
        <v>0</v>
      </c>
      <c r="D590" s="21" t="n">
        <v>0</v>
      </c>
      <c r="E590" s="21" t="n">
        <v>0</v>
      </c>
      <c r="F590" s="21" t="n">
        <v>0</v>
      </c>
      <c r="G590" s="30" t="s">
        <v>3432</v>
      </c>
    </row>
    <row r="591" customFormat="false" ht="15" hidden="false" customHeight="false" outlineLevel="0" collapsed="false">
      <c r="A591" s="28" t="n">
        <v>32699</v>
      </c>
      <c r="B591" s="28" t="n">
        <v>32705</v>
      </c>
      <c r="C591" s="21" t="n">
        <v>0</v>
      </c>
      <c r="D591" s="21" t="n">
        <v>0</v>
      </c>
      <c r="E591" s="21" t="n">
        <v>0</v>
      </c>
      <c r="F591" s="21" t="n">
        <v>0</v>
      </c>
      <c r="G591" s="30" t="s">
        <v>3432</v>
      </c>
    </row>
    <row r="592" customFormat="false" ht="15" hidden="false" customHeight="false" outlineLevel="0" collapsed="false">
      <c r="A592" s="28" t="n">
        <v>32706</v>
      </c>
      <c r="B592" s="28" t="n">
        <v>32712</v>
      </c>
      <c r="C592" s="21" t="n">
        <v>0</v>
      </c>
      <c r="D592" s="21" t="n">
        <v>0</v>
      </c>
      <c r="E592" s="21" t="n">
        <v>0</v>
      </c>
      <c r="F592" s="21" t="n">
        <v>0</v>
      </c>
      <c r="G592" s="30" t="s">
        <v>3432</v>
      </c>
    </row>
    <row r="593" customFormat="false" ht="15" hidden="false" customHeight="false" outlineLevel="0" collapsed="false">
      <c r="A593" s="28" t="n">
        <v>32713</v>
      </c>
      <c r="B593" s="28" t="n">
        <v>32719</v>
      </c>
      <c r="C593" s="21" t="n">
        <v>0</v>
      </c>
      <c r="D593" s="21" t="n">
        <v>0</v>
      </c>
      <c r="E593" s="21" t="n">
        <v>0</v>
      </c>
      <c r="F593" s="21" t="n">
        <v>0</v>
      </c>
      <c r="G593" s="30" t="s">
        <v>3432</v>
      </c>
    </row>
    <row r="594" customFormat="false" ht="15" hidden="false" customHeight="false" outlineLevel="0" collapsed="false">
      <c r="A594" s="28" t="n">
        <v>32720</v>
      </c>
      <c r="B594" s="28" t="n">
        <v>32726</v>
      </c>
      <c r="C594" s="21" t="n">
        <v>0</v>
      </c>
      <c r="D594" s="21" t="n">
        <v>0</v>
      </c>
      <c r="E594" s="21" t="n">
        <v>0</v>
      </c>
      <c r="F594" s="21" t="n">
        <v>0</v>
      </c>
      <c r="G594" s="30" t="s">
        <v>3432</v>
      </c>
    </row>
    <row r="595" customFormat="false" ht="15" hidden="false" customHeight="false" outlineLevel="0" collapsed="false">
      <c r="A595" s="28" t="n">
        <v>32727</v>
      </c>
      <c r="B595" s="28" t="n">
        <v>32733</v>
      </c>
      <c r="C595" s="21" t="n">
        <v>0</v>
      </c>
      <c r="D595" s="21" t="n">
        <v>0</v>
      </c>
      <c r="E595" s="21" t="n">
        <v>0</v>
      </c>
      <c r="F595" s="21" t="n">
        <v>0</v>
      </c>
      <c r="G595" s="30" t="s">
        <v>3432</v>
      </c>
    </row>
    <row r="596" customFormat="false" ht="15" hidden="false" customHeight="false" outlineLevel="0" collapsed="false">
      <c r="A596" s="28" t="n">
        <v>32734</v>
      </c>
      <c r="B596" s="28" t="n">
        <v>32740</v>
      </c>
      <c r="C596" s="21" t="n">
        <v>0</v>
      </c>
      <c r="D596" s="21" t="n">
        <v>0</v>
      </c>
      <c r="E596" s="21" t="n">
        <v>0</v>
      </c>
      <c r="F596" s="21" t="n">
        <v>0</v>
      </c>
      <c r="G596" s="30" t="s">
        <v>3432</v>
      </c>
    </row>
    <row r="597" customFormat="false" ht="15" hidden="false" customHeight="false" outlineLevel="0" collapsed="false">
      <c r="A597" s="28" t="n">
        <v>32741</v>
      </c>
      <c r="B597" s="28" t="n">
        <v>32747</v>
      </c>
      <c r="C597" s="21" t="n">
        <v>0</v>
      </c>
      <c r="D597" s="21" t="n">
        <v>0</v>
      </c>
      <c r="E597" s="21" t="n">
        <v>0</v>
      </c>
      <c r="F597" s="21" t="n">
        <v>0</v>
      </c>
      <c r="G597" s="30" t="s">
        <v>3432</v>
      </c>
    </row>
    <row r="598" customFormat="false" ht="15" hidden="false" customHeight="false" outlineLevel="0" collapsed="false">
      <c r="A598" s="28" t="n">
        <v>32748</v>
      </c>
      <c r="B598" s="28" t="n">
        <v>32754</v>
      </c>
      <c r="C598" s="21" t="n">
        <v>0</v>
      </c>
      <c r="D598" s="21" t="n">
        <v>0</v>
      </c>
      <c r="E598" s="21" t="n">
        <v>0</v>
      </c>
      <c r="F598" s="21" t="n">
        <v>0</v>
      </c>
      <c r="G598" s="30" t="s">
        <v>3432</v>
      </c>
    </row>
    <row r="599" customFormat="false" ht="15" hidden="false" customHeight="false" outlineLevel="0" collapsed="false">
      <c r="A599" s="28" t="n">
        <v>32755</v>
      </c>
      <c r="B599" s="28" t="n">
        <v>32761</v>
      </c>
      <c r="C599" s="21" t="n">
        <v>0</v>
      </c>
      <c r="D599" s="21" t="n">
        <v>0</v>
      </c>
      <c r="E599" s="21" t="n">
        <v>0</v>
      </c>
      <c r="F599" s="21" t="n">
        <v>0</v>
      </c>
      <c r="G599" s="30" t="s">
        <v>3432</v>
      </c>
    </row>
    <row r="600" customFormat="false" ht="15" hidden="false" customHeight="false" outlineLevel="0" collapsed="false">
      <c r="A600" s="28" t="n">
        <v>32762</v>
      </c>
      <c r="B600" s="28" t="n">
        <v>32768</v>
      </c>
      <c r="C600" s="21" t="n">
        <v>0</v>
      </c>
      <c r="D600" s="21" t="n">
        <v>0</v>
      </c>
      <c r="E600" s="21" t="n">
        <v>0</v>
      </c>
      <c r="F600" s="21" t="n">
        <v>0</v>
      </c>
      <c r="G600" s="30" t="s">
        <v>3432</v>
      </c>
    </row>
    <row r="601" customFormat="false" ht="15" hidden="false" customHeight="false" outlineLevel="0" collapsed="false">
      <c r="A601" s="28" t="n">
        <v>32769</v>
      </c>
      <c r="B601" s="28" t="n">
        <v>32775</v>
      </c>
      <c r="C601" s="21" t="n">
        <v>0</v>
      </c>
      <c r="D601" s="21" t="n">
        <v>0</v>
      </c>
      <c r="E601" s="21" t="n">
        <v>0</v>
      </c>
      <c r="F601" s="21" t="n">
        <v>0</v>
      </c>
      <c r="G601" s="30" t="s">
        <v>3432</v>
      </c>
    </row>
    <row r="602" customFormat="false" ht="15" hidden="false" customHeight="false" outlineLevel="0" collapsed="false">
      <c r="A602" s="28" t="n">
        <v>32776</v>
      </c>
      <c r="B602" s="28" t="n">
        <v>32782</v>
      </c>
      <c r="C602" s="21" t="n">
        <v>0</v>
      </c>
      <c r="D602" s="21" t="n">
        <v>0</v>
      </c>
      <c r="E602" s="21" t="n">
        <v>0</v>
      </c>
      <c r="F602" s="21" t="n">
        <v>0</v>
      </c>
      <c r="G602" s="30" t="s">
        <v>3432</v>
      </c>
    </row>
    <row r="603" customFormat="false" ht="15" hidden="false" customHeight="false" outlineLevel="0" collapsed="false">
      <c r="A603" s="28" t="n">
        <v>32783</v>
      </c>
      <c r="B603" s="28" t="n">
        <v>32789</v>
      </c>
      <c r="C603" s="21" t="n">
        <v>0</v>
      </c>
      <c r="D603" s="21" t="n">
        <v>0</v>
      </c>
      <c r="E603" s="21" t="n">
        <v>0</v>
      </c>
      <c r="F603" s="21" t="n">
        <v>0</v>
      </c>
      <c r="G603" s="30" t="s">
        <v>3432</v>
      </c>
    </row>
    <row r="604" customFormat="false" ht="15" hidden="false" customHeight="false" outlineLevel="0" collapsed="false">
      <c r="A604" s="28" t="n">
        <v>32790</v>
      </c>
      <c r="B604" s="28" t="n">
        <v>32796</v>
      </c>
      <c r="C604" s="21" t="n">
        <v>0</v>
      </c>
      <c r="D604" s="21" t="n">
        <v>0</v>
      </c>
      <c r="E604" s="21" t="n">
        <v>0</v>
      </c>
      <c r="F604" s="21" t="n">
        <v>0</v>
      </c>
      <c r="G604" s="30" t="s">
        <v>3432</v>
      </c>
    </row>
    <row r="605" customFormat="false" ht="15" hidden="false" customHeight="false" outlineLevel="0" collapsed="false">
      <c r="A605" s="28" t="n">
        <v>32797</v>
      </c>
      <c r="B605" s="28" t="n">
        <v>32803</v>
      </c>
      <c r="C605" s="21" t="n">
        <v>0</v>
      </c>
      <c r="D605" s="21" t="n">
        <v>0</v>
      </c>
      <c r="E605" s="21" t="n">
        <v>0</v>
      </c>
      <c r="F605" s="21" t="n">
        <v>0</v>
      </c>
      <c r="G605" s="30" t="s">
        <v>3432</v>
      </c>
    </row>
    <row r="606" customFormat="false" ht="15" hidden="false" customHeight="false" outlineLevel="0" collapsed="false">
      <c r="A606" s="28" t="n">
        <v>32804</v>
      </c>
      <c r="B606" s="28" t="n">
        <v>32810</v>
      </c>
      <c r="C606" s="21" t="n">
        <v>0</v>
      </c>
      <c r="D606" s="21" t="n">
        <v>0</v>
      </c>
      <c r="E606" s="21" t="n">
        <v>0</v>
      </c>
      <c r="F606" s="21" t="n">
        <v>0</v>
      </c>
      <c r="G606" s="30" t="s">
        <v>3432</v>
      </c>
    </row>
    <row r="607" customFormat="false" ht="15" hidden="false" customHeight="false" outlineLevel="0" collapsed="false">
      <c r="A607" s="28" t="n">
        <v>32811</v>
      </c>
      <c r="B607" s="28" t="n">
        <v>32817</v>
      </c>
      <c r="C607" s="21" t="n">
        <v>0</v>
      </c>
      <c r="D607" s="21" t="n">
        <v>0</v>
      </c>
      <c r="E607" s="21" t="n">
        <v>0</v>
      </c>
      <c r="F607" s="21" t="n">
        <v>0</v>
      </c>
      <c r="G607" s="30" t="s">
        <v>3432</v>
      </c>
    </row>
    <row r="608" customFormat="false" ht="15" hidden="false" customHeight="false" outlineLevel="0" collapsed="false">
      <c r="A608" s="28" t="n">
        <v>32818</v>
      </c>
      <c r="B608" s="28" t="n">
        <v>32824</v>
      </c>
      <c r="C608" s="21" t="n">
        <v>0</v>
      </c>
      <c r="D608" s="21" t="n">
        <v>0</v>
      </c>
      <c r="E608" s="21" t="n">
        <v>0</v>
      </c>
      <c r="F608" s="21" t="n">
        <v>0</v>
      </c>
      <c r="G608" s="30" t="s">
        <v>3432</v>
      </c>
    </row>
    <row r="609" customFormat="false" ht="15" hidden="false" customHeight="false" outlineLevel="0" collapsed="false">
      <c r="A609" s="28" t="n">
        <v>32825</v>
      </c>
      <c r="B609" s="28" t="n">
        <v>32831</v>
      </c>
      <c r="C609" s="21" t="n">
        <v>0</v>
      </c>
      <c r="D609" s="21" t="n">
        <v>0</v>
      </c>
      <c r="E609" s="21" t="n">
        <v>0</v>
      </c>
      <c r="F609" s="21" t="n">
        <v>0</v>
      </c>
      <c r="G609" s="30" t="s">
        <v>3432</v>
      </c>
    </row>
    <row r="610" customFormat="false" ht="15" hidden="false" customHeight="false" outlineLevel="0" collapsed="false">
      <c r="A610" s="28" t="n">
        <v>32832</v>
      </c>
      <c r="B610" s="28" t="n">
        <v>32838</v>
      </c>
      <c r="C610" s="21" t="n">
        <v>0</v>
      </c>
      <c r="D610" s="21" t="n">
        <v>0</v>
      </c>
      <c r="E610" s="21" t="n">
        <v>0</v>
      </c>
      <c r="F610" s="21" t="n">
        <v>0</v>
      </c>
      <c r="G610" s="30" t="s">
        <v>3432</v>
      </c>
    </row>
    <row r="611" customFormat="false" ht="15" hidden="false" customHeight="false" outlineLevel="0" collapsed="false">
      <c r="A611" s="28" t="n">
        <v>32839</v>
      </c>
      <c r="B611" s="28" t="n">
        <v>32845</v>
      </c>
      <c r="C611" s="21" t="n">
        <v>0</v>
      </c>
      <c r="D611" s="21" t="n">
        <v>0</v>
      </c>
      <c r="E611" s="21" t="n">
        <v>0</v>
      </c>
      <c r="F611" s="21" t="n">
        <v>0</v>
      </c>
      <c r="G611" s="30" t="s">
        <v>3432</v>
      </c>
    </row>
    <row r="612" customFormat="false" ht="15" hidden="false" customHeight="false" outlineLevel="0" collapsed="false">
      <c r="A612" s="28" t="n">
        <v>32846</v>
      </c>
      <c r="B612" s="28" t="n">
        <v>32852</v>
      </c>
      <c r="C612" s="21" t="n">
        <v>0</v>
      </c>
      <c r="D612" s="21" t="n">
        <v>0</v>
      </c>
      <c r="E612" s="21" t="n">
        <v>0</v>
      </c>
      <c r="F612" s="21" t="n">
        <v>0</v>
      </c>
      <c r="G612" s="30" t="s">
        <v>3432</v>
      </c>
    </row>
    <row r="613" customFormat="false" ht="15" hidden="false" customHeight="false" outlineLevel="0" collapsed="false">
      <c r="A613" s="28" t="n">
        <v>32853</v>
      </c>
      <c r="B613" s="28" t="n">
        <v>32859</v>
      </c>
      <c r="C613" s="21" t="n">
        <v>0</v>
      </c>
      <c r="D613" s="21" t="n">
        <v>0</v>
      </c>
      <c r="E613" s="21" t="n">
        <v>0</v>
      </c>
      <c r="F613" s="21" t="n">
        <v>0</v>
      </c>
      <c r="G613" s="30" t="s">
        <v>3432</v>
      </c>
    </row>
    <row r="614" customFormat="false" ht="15" hidden="false" customHeight="false" outlineLevel="0" collapsed="false">
      <c r="A614" s="28" t="n">
        <v>32860</v>
      </c>
      <c r="B614" s="28" t="n">
        <v>32866</v>
      </c>
      <c r="C614" s="21" t="n">
        <v>0</v>
      </c>
      <c r="D614" s="21" t="n">
        <v>0</v>
      </c>
      <c r="E614" s="21" t="n">
        <v>0</v>
      </c>
      <c r="F614" s="21" t="n">
        <v>0</v>
      </c>
      <c r="G614" s="30" t="s">
        <v>3432</v>
      </c>
    </row>
    <row r="615" customFormat="false" ht="15" hidden="false" customHeight="false" outlineLevel="0" collapsed="false">
      <c r="A615" s="28" t="n">
        <v>32867</v>
      </c>
      <c r="B615" s="28" t="n">
        <v>32873</v>
      </c>
      <c r="C615" s="21" t="n">
        <v>0</v>
      </c>
      <c r="D615" s="21" t="n">
        <v>0</v>
      </c>
      <c r="E615" s="21" t="n">
        <v>0</v>
      </c>
      <c r="F615" s="21" t="n">
        <v>0</v>
      </c>
      <c r="G615" s="30" t="s">
        <v>3432</v>
      </c>
    </row>
    <row r="616" customFormat="false" ht="15" hidden="false" customHeight="false" outlineLevel="0" collapsed="false">
      <c r="A616" s="28" t="n">
        <v>32874</v>
      </c>
      <c r="B616" s="28" t="n">
        <v>32880</v>
      </c>
      <c r="C616" s="21" t="n">
        <v>0</v>
      </c>
      <c r="D616" s="21" t="n">
        <v>0</v>
      </c>
      <c r="E616" s="21" t="n">
        <v>0</v>
      </c>
      <c r="F616" s="21" t="n">
        <v>0</v>
      </c>
      <c r="G616" s="30" t="s">
        <v>3432</v>
      </c>
    </row>
    <row r="617" customFormat="false" ht="15" hidden="false" customHeight="false" outlineLevel="0" collapsed="false">
      <c r="A617" s="28" t="n">
        <v>32881</v>
      </c>
      <c r="B617" s="28" t="n">
        <v>32887</v>
      </c>
      <c r="C617" s="21" t="n">
        <v>0</v>
      </c>
      <c r="D617" s="21" t="n">
        <v>0</v>
      </c>
      <c r="E617" s="21" t="n">
        <v>0</v>
      </c>
      <c r="F617" s="21" t="n">
        <v>0</v>
      </c>
      <c r="G617" s="30" t="s">
        <v>3432</v>
      </c>
    </row>
    <row r="618" customFormat="false" ht="15" hidden="false" customHeight="false" outlineLevel="0" collapsed="false">
      <c r="A618" s="28" t="n">
        <v>32888</v>
      </c>
      <c r="B618" s="28" t="n">
        <v>32894</v>
      </c>
      <c r="C618" s="21" t="n">
        <v>0</v>
      </c>
      <c r="D618" s="21" t="n">
        <v>0</v>
      </c>
      <c r="E618" s="21" t="n">
        <v>0</v>
      </c>
      <c r="F618" s="21" t="n">
        <v>0</v>
      </c>
      <c r="G618" s="30" t="s">
        <v>3432</v>
      </c>
    </row>
    <row r="619" customFormat="false" ht="15" hidden="false" customHeight="false" outlineLevel="0" collapsed="false">
      <c r="A619" s="28" t="n">
        <v>32895</v>
      </c>
      <c r="B619" s="28" t="n">
        <v>32901</v>
      </c>
      <c r="C619" s="21" t="n">
        <v>0</v>
      </c>
      <c r="D619" s="21" t="n">
        <v>0</v>
      </c>
      <c r="E619" s="21" t="n">
        <v>0</v>
      </c>
      <c r="F619" s="21" t="n">
        <v>0</v>
      </c>
      <c r="G619" s="30" t="s">
        <v>3432</v>
      </c>
    </row>
    <row r="620" customFormat="false" ht="15" hidden="false" customHeight="false" outlineLevel="0" collapsed="false">
      <c r="A620" s="28" t="n">
        <v>32902</v>
      </c>
      <c r="B620" s="28" t="n">
        <v>32908</v>
      </c>
      <c r="C620" s="21" t="n">
        <v>0</v>
      </c>
      <c r="D620" s="21" t="n">
        <v>0</v>
      </c>
      <c r="E620" s="21" t="n">
        <v>0</v>
      </c>
      <c r="F620" s="21" t="n">
        <v>0</v>
      </c>
      <c r="G620" s="30" t="s">
        <v>3432</v>
      </c>
    </row>
    <row r="621" customFormat="false" ht="15" hidden="false" customHeight="false" outlineLevel="0" collapsed="false">
      <c r="A621" s="28" t="n">
        <v>32909</v>
      </c>
      <c r="B621" s="28" t="n">
        <v>32915</v>
      </c>
      <c r="C621" s="21" t="n">
        <v>0</v>
      </c>
      <c r="D621" s="21" t="n">
        <v>0</v>
      </c>
      <c r="E621" s="21" t="n">
        <v>0</v>
      </c>
      <c r="F621" s="21" t="n">
        <v>0</v>
      </c>
      <c r="G621" s="30" t="s">
        <v>3432</v>
      </c>
    </row>
    <row r="622" customFormat="false" ht="15" hidden="false" customHeight="false" outlineLevel="0" collapsed="false">
      <c r="A622" s="28" t="n">
        <v>32916</v>
      </c>
      <c r="B622" s="28" t="n">
        <v>32922</v>
      </c>
      <c r="C622" s="21" t="n">
        <v>0</v>
      </c>
      <c r="D622" s="21" t="n">
        <v>0</v>
      </c>
      <c r="E622" s="21" t="n">
        <v>0</v>
      </c>
      <c r="F622" s="21" t="n">
        <v>0</v>
      </c>
      <c r="G622" s="30" t="s">
        <v>3432</v>
      </c>
    </row>
    <row r="623" customFormat="false" ht="15" hidden="false" customHeight="false" outlineLevel="0" collapsed="false">
      <c r="A623" s="28" t="n">
        <v>32923</v>
      </c>
      <c r="B623" s="28" t="n">
        <v>32929</v>
      </c>
      <c r="C623" s="21" t="n">
        <v>0</v>
      </c>
      <c r="D623" s="21" t="n">
        <v>0</v>
      </c>
      <c r="E623" s="21" t="n">
        <v>0</v>
      </c>
      <c r="F623" s="21" t="n">
        <v>0</v>
      </c>
      <c r="G623" s="30" t="s">
        <v>3432</v>
      </c>
    </row>
    <row r="624" customFormat="false" ht="15" hidden="false" customHeight="false" outlineLevel="0" collapsed="false">
      <c r="A624" s="28" t="n">
        <v>32930</v>
      </c>
      <c r="B624" s="28" t="n">
        <v>32936</v>
      </c>
      <c r="C624" s="21" t="n">
        <v>0</v>
      </c>
      <c r="D624" s="21" t="n">
        <v>0</v>
      </c>
      <c r="E624" s="21" t="n">
        <v>0</v>
      </c>
      <c r="F624" s="21" t="n">
        <v>0</v>
      </c>
      <c r="G624" s="30" t="s">
        <v>3432</v>
      </c>
    </row>
    <row r="625" customFormat="false" ht="15" hidden="false" customHeight="false" outlineLevel="0" collapsed="false">
      <c r="A625" s="28" t="n">
        <v>32937</v>
      </c>
      <c r="B625" s="28" t="n">
        <v>32943</v>
      </c>
      <c r="C625" s="21" t="n">
        <v>0</v>
      </c>
      <c r="D625" s="21" t="n">
        <v>0</v>
      </c>
      <c r="E625" s="21" t="n">
        <v>0</v>
      </c>
      <c r="F625" s="21" t="n">
        <v>0</v>
      </c>
      <c r="G625" s="30" t="s">
        <v>3432</v>
      </c>
    </row>
    <row r="626" customFormat="false" ht="15" hidden="false" customHeight="false" outlineLevel="0" collapsed="false">
      <c r="A626" s="28" t="n">
        <v>32944</v>
      </c>
      <c r="B626" s="28" t="n">
        <v>32950</v>
      </c>
      <c r="C626" s="21" t="n">
        <v>0</v>
      </c>
      <c r="D626" s="21" t="n">
        <v>0</v>
      </c>
      <c r="E626" s="21" t="n">
        <v>0</v>
      </c>
      <c r="F626" s="21" t="n">
        <v>0</v>
      </c>
      <c r="G626" s="30" t="s">
        <v>3432</v>
      </c>
    </row>
    <row r="627" customFormat="false" ht="15" hidden="false" customHeight="false" outlineLevel="0" collapsed="false">
      <c r="A627" s="28" t="n">
        <v>32951</v>
      </c>
      <c r="B627" s="28" t="n">
        <v>32957</v>
      </c>
      <c r="C627" s="21" t="n">
        <v>0</v>
      </c>
      <c r="D627" s="21" t="n">
        <v>0</v>
      </c>
      <c r="E627" s="21" t="n">
        <v>0</v>
      </c>
      <c r="F627" s="21" t="n">
        <v>0</v>
      </c>
      <c r="G627" s="30" t="s">
        <v>3432</v>
      </c>
    </row>
    <row r="628" customFormat="false" ht="15" hidden="false" customHeight="false" outlineLevel="0" collapsed="false">
      <c r="A628" s="28" t="n">
        <v>32958</v>
      </c>
      <c r="B628" s="28" t="n">
        <v>32964</v>
      </c>
      <c r="C628" s="21" t="n">
        <v>0</v>
      </c>
      <c r="D628" s="21" t="n">
        <v>0</v>
      </c>
      <c r="E628" s="21" t="n">
        <v>0</v>
      </c>
      <c r="F628" s="21" t="n">
        <v>0</v>
      </c>
      <c r="G628" s="30" t="s">
        <v>3432</v>
      </c>
    </row>
    <row r="629" customFormat="false" ht="15" hidden="false" customHeight="false" outlineLevel="0" collapsed="false">
      <c r="A629" s="28" t="n">
        <v>32965</v>
      </c>
      <c r="B629" s="28" t="n">
        <v>32971</v>
      </c>
      <c r="C629" s="21" t="n">
        <v>0</v>
      </c>
      <c r="D629" s="21" t="n">
        <v>0</v>
      </c>
      <c r="E629" s="21" t="n">
        <v>0</v>
      </c>
      <c r="F629" s="21" t="n">
        <v>0</v>
      </c>
      <c r="G629" s="30" t="s">
        <v>3432</v>
      </c>
    </row>
    <row r="630" customFormat="false" ht="15" hidden="false" customHeight="false" outlineLevel="0" collapsed="false">
      <c r="A630" s="28" t="n">
        <v>32972</v>
      </c>
      <c r="B630" s="28" t="n">
        <v>32978</v>
      </c>
      <c r="C630" s="21" t="n">
        <v>0</v>
      </c>
      <c r="D630" s="21" t="n">
        <v>0</v>
      </c>
      <c r="E630" s="21" t="n">
        <v>0</v>
      </c>
      <c r="F630" s="21" t="n">
        <v>0</v>
      </c>
      <c r="G630" s="30" t="s">
        <v>3432</v>
      </c>
    </row>
    <row r="631" customFormat="false" ht="15" hidden="false" customHeight="false" outlineLevel="0" collapsed="false">
      <c r="A631" s="28" t="n">
        <v>32979</v>
      </c>
      <c r="B631" s="28" t="n">
        <v>32985</v>
      </c>
      <c r="C631" s="21" t="n">
        <v>0</v>
      </c>
      <c r="D631" s="21" t="n">
        <v>0</v>
      </c>
      <c r="E631" s="21" t="n">
        <v>0</v>
      </c>
      <c r="F631" s="21" t="n">
        <v>0</v>
      </c>
      <c r="G631" s="30" t="s">
        <v>3432</v>
      </c>
    </row>
    <row r="632" customFormat="false" ht="15" hidden="false" customHeight="false" outlineLevel="0" collapsed="false">
      <c r="A632" s="28" t="n">
        <v>32986</v>
      </c>
      <c r="B632" s="28" t="n">
        <v>32992</v>
      </c>
      <c r="C632" s="21" t="n">
        <v>0</v>
      </c>
      <c r="D632" s="21" t="n">
        <v>0</v>
      </c>
      <c r="E632" s="21" t="n">
        <v>0</v>
      </c>
      <c r="F632" s="21" t="n">
        <v>0</v>
      </c>
      <c r="G632" s="30" t="s">
        <v>3432</v>
      </c>
    </row>
    <row r="633" customFormat="false" ht="15" hidden="false" customHeight="false" outlineLevel="0" collapsed="false">
      <c r="A633" s="28" t="n">
        <v>32993</v>
      </c>
      <c r="B633" s="28" t="n">
        <v>32999</v>
      </c>
      <c r="C633" s="21" t="n">
        <v>0</v>
      </c>
      <c r="D633" s="21" t="n">
        <v>0</v>
      </c>
      <c r="E633" s="21" t="n">
        <v>0</v>
      </c>
      <c r="F633" s="21" t="n">
        <v>0</v>
      </c>
      <c r="G633" s="30" t="s">
        <v>3432</v>
      </c>
    </row>
    <row r="634" customFormat="false" ht="15" hidden="false" customHeight="false" outlineLevel="0" collapsed="false">
      <c r="A634" s="28" t="n">
        <v>33000</v>
      </c>
      <c r="B634" s="28" t="n">
        <v>33006</v>
      </c>
      <c r="C634" s="21" t="n">
        <v>0</v>
      </c>
      <c r="D634" s="21" t="n">
        <v>0</v>
      </c>
      <c r="E634" s="21" t="n">
        <v>0</v>
      </c>
      <c r="F634" s="21" t="n">
        <v>0</v>
      </c>
      <c r="G634" s="30" t="s">
        <v>3432</v>
      </c>
    </row>
    <row r="635" customFormat="false" ht="15" hidden="false" customHeight="false" outlineLevel="0" collapsed="false">
      <c r="A635" s="28" t="n">
        <v>33007</v>
      </c>
      <c r="B635" s="28" t="n">
        <v>33013</v>
      </c>
      <c r="C635" s="21" t="n">
        <v>0</v>
      </c>
      <c r="D635" s="21" t="n">
        <v>0</v>
      </c>
      <c r="E635" s="21" t="n">
        <v>0</v>
      </c>
      <c r="F635" s="21" t="n">
        <v>0</v>
      </c>
      <c r="G635" s="30" t="s">
        <v>3432</v>
      </c>
    </row>
    <row r="636" customFormat="false" ht="15" hidden="false" customHeight="false" outlineLevel="0" collapsed="false">
      <c r="A636" s="28" t="n">
        <v>33014</v>
      </c>
      <c r="B636" s="28" t="n">
        <v>33020</v>
      </c>
      <c r="C636" s="21" t="n">
        <v>0</v>
      </c>
      <c r="D636" s="21" t="n">
        <v>0</v>
      </c>
      <c r="E636" s="21" t="n">
        <v>0</v>
      </c>
      <c r="F636" s="21" t="n">
        <v>0</v>
      </c>
      <c r="G636" s="30" t="s">
        <v>3432</v>
      </c>
    </row>
    <row r="637" customFormat="false" ht="15" hidden="false" customHeight="false" outlineLevel="0" collapsed="false">
      <c r="A637" s="28" t="n">
        <v>33021</v>
      </c>
      <c r="B637" s="28" t="n">
        <v>33027</v>
      </c>
      <c r="C637" s="21" t="n">
        <v>0</v>
      </c>
      <c r="D637" s="21" t="n">
        <v>0</v>
      </c>
      <c r="E637" s="21" t="n">
        <v>0</v>
      </c>
      <c r="F637" s="21" t="n">
        <v>0</v>
      </c>
      <c r="G637" s="30" t="s">
        <v>3432</v>
      </c>
    </row>
    <row r="638" customFormat="false" ht="15" hidden="false" customHeight="false" outlineLevel="0" collapsed="false">
      <c r="A638" s="28" t="n">
        <v>33028</v>
      </c>
      <c r="B638" s="28" t="n">
        <v>33034</v>
      </c>
      <c r="C638" s="21" t="n">
        <v>0</v>
      </c>
      <c r="D638" s="21" t="n">
        <v>0</v>
      </c>
      <c r="E638" s="21" t="n">
        <v>0</v>
      </c>
      <c r="F638" s="21" t="n">
        <v>0</v>
      </c>
      <c r="G638" s="30" t="s">
        <v>3432</v>
      </c>
    </row>
    <row r="639" customFormat="false" ht="15" hidden="false" customHeight="false" outlineLevel="0" collapsed="false">
      <c r="A639" s="28" t="n">
        <v>33035</v>
      </c>
      <c r="B639" s="28" t="n">
        <v>33041</v>
      </c>
      <c r="C639" s="21" t="n">
        <v>0</v>
      </c>
      <c r="D639" s="21" t="n">
        <v>0</v>
      </c>
      <c r="E639" s="21" t="n">
        <v>0</v>
      </c>
      <c r="F639" s="21" t="n">
        <v>0</v>
      </c>
      <c r="G639" s="30" t="s">
        <v>3432</v>
      </c>
    </row>
    <row r="640" customFormat="false" ht="15" hidden="false" customHeight="false" outlineLevel="0" collapsed="false">
      <c r="A640" s="28" t="n">
        <v>33042</v>
      </c>
      <c r="B640" s="28" t="n">
        <v>33048</v>
      </c>
      <c r="C640" s="21" t="n">
        <v>0</v>
      </c>
      <c r="D640" s="21" t="n">
        <v>0</v>
      </c>
      <c r="E640" s="21" t="n">
        <v>0</v>
      </c>
      <c r="F640" s="21" t="n">
        <v>0</v>
      </c>
      <c r="G640" s="30" t="s">
        <v>3432</v>
      </c>
    </row>
    <row r="641" customFormat="false" ht="15" hidden="false" customHeight="false" outlineLevel="0" collapsed="false">
      <c r="A641" s="28" t="n">
        <v>33049</v>
      </c>
      <c r="B641" s="28" t="n">
        <v>33055</v>
      </c>
      <c r="C641" s="21" t="n">
        <v>0</v>
      </c>
      <c r="D641" s="21" t="n">
        <v>0</v>
      </c>
      <c r="E641" s="21" t="n">
        <v>0</v>
      </c>
      <c r="F641" s="21" t="n">
        <v>0</v>
      </c>
      <c r="G641" s="30" t="s">
        <v>3432</v>
      </c>
    </row>
    <row r="642" customFormat="false" ht="15" hidden="false" customHeight="false" outlineLevel="0" collapsed="false">
      <c r="A642" s="28" t="n">
        <v>33056</v>
      </c>
      <c r="B642" s="28" t="n">
        <v>33062</v>
      </c>
      <c r="C642" s="21" t="n">
        <v>0</v>
      </c>
      <c r="D642" s="21" t="n">
        <v>0</v>
      </c>
      <c r="E642" s="21" t="n">
        <v>0</v>
      </c>
      <c r="F642" s="21" t="n">
        <v>0</v>
      </c>
      <c r="G642" s="30" t="s">
        <v>3432</v>
      </c>
    </row>
    <row r="643" customFormat="false" ht="15" hidden="false" customHeight="false" outlineLevel="0" collapsed="false">
      <c r="A643" s="28" t="n">
        <v>33063</v>
      </c>
      <c r="B643" s="28" t="n">
        <v>33069</v>
      </c>
      <c r="C643" s="21" t="n">
        <v>0</v>
      </c>
      <c r="D643" s="21" t="n">
        <v>0</v>
      </c>
      <c r="E643" s="21" t="n">
        <v>0</v>
      </c>
      <c r="F643" s="21" t="n">
        <v>0</v>
      </c>
      <c r="G643" s="30" t="s">
        <v>3432</v>
      </c>
    </row>
    <row r="644" customFormat="false" ht="15" hidden="false" customHeight="false" outlineLevel="0" collapsed="false">
      <c r="A644" s="28" t="n">
        <v>33070</v>
      </c>
      <c r="B644" s="28" t="n">
        <v>33076</v>
      </c>
      <c r="C644" s="21" t="n">
        <v>0</v>
      </c>
      <c r="D644" s="21" t="n">
        <v>0</v>
      </c>
      <c r="E644" s="21" t="n">
        <v>0</v>
      </c>
      <c r="F644" s="21" t="n">
        <v>0</v>
      </c>
      <c r="G644" s="30" t="s">
        <v>3432</v>
      </c>
    </row>
    <row r="645" customFormat="false" ht="15" hidden="false" customHeight="false" outlineLevel="0" collapsed="false">
      <c r="A645" s="28" t="n">
        <v>33077</v>
      </c>
      <c r="B645" s="28" t="n">
        <v>33083</v>
      </c>
      <c r="C645" s="21" t="n">
        <v>0</v>
      </c>
      <c r="D645" s="21" t="n">
        <v>0</v>
      </c>
      <c r="E645" s="21" t="n">
        <v>0</v>
      </c>
      <c r="F645" s="21" t="n">
        <v>0</v>
      </c>
      <c r="G645" s="30" t="s">
        <v>3432</v>
      </c>
    </row>
    <row r="646" customFormat="false" ht="15" hidden="false" customHeight="false" outlineLevel="0" collapsed="false">
      <c r="A646" s="28" t="n">
        <v>33084</v>
      </c>
      <c r="B646" s="28" t="n">
        <v>33090</v>
      </c>
      <c r="C646" s="21" t="n">
        <v>0</v>
      </c>
      <c r="D646" s="21" t="n">
        <v>0</v>
      </c>
      <c r="E646" s="21" t="n">
        <v>0</v>
      </c>
      <c r="F646" s="21" t="n">
        <v>0</v>
      </c>
      <c r="G646" s="30" t="s">
        <v>3432</v>
      </c>
    </row>
    <row r="647" customFormat="false" ht="15" hidden="false" customHeight="false" outlineLevel="0" collapsed="false">
      <c r="A647" s="28" t="n">
        <v>33091</v>
      </c>
      <c r="B647" s="28" t="n">
        <v>33097</v>
      </c>
      <c r="C647" s="21" t="n">
        <v>0</v>
      </c>
      <c r="D647" s="21" t="n">
        <v>0</v>
      </c>
      <c r="E647" s="21" t="n">
        <v>0</v>
      </c>
      <c r="F647" s="21" t="n">
        <v>0</v>
      </c>
      <c r="G647" s="30" t="s">
        <v>3432</v>
      </c>
    </row>
    <row r="648" customFormat="false" ht="15" hidden="false" customHeight="false" outlineLevel="0" collapsed="false">
      <c r="A648" s="28" t="n">
        <v>33098</v>
      </c>
      <c r="B648" s="28" t="n">
        <v>33104</v>
      </c>
      <c r="C648" s="21" t="n">
        <v>0</v>
      </c>
      <c r="D648" s="21" t="n">
        <v>0</v>
      </c>
      <c r="E648" s="21" t="n">
        <v>0</v>
      </c>
      <c r="F648" s="21" t="n">
        <v>0</v>
      </c>
      <c r="G648" s="30" t="s">
        <v>3432</v>
      </c>
    </row>
    <row r="649" customFormat="false" ht="15" hidden="false" customHeight="false" outlineLevel="0" collapsed="false">
      <c r="A649" s="28" t="n">
        <v>33105</v>
      </c>
      <c r="B649" s="28" t="n">
        <v>33111</v>
      </c>
      <c r="C649" s="21" t="n">
        <v>0</v>
      </c>
      <c r="D649" s="21" t="n">
        <v>0</v>
      </c>
      <c r="E649" s="21" t="n">
        <v>0</v>
      </c>
      <c r="F649" s="21" t="n">
        <v>0</v>
      </c>
      <c r="G649" s="30" t="s">
        <v>3432</v>
      </c>
    </row>
    <row r="650" customFormat="false" ht="15" hidden="false" customHeight="false" outlineLevel="0" collapsed="false">
      <c r="A650" s="28" t="n">
        <v>33112</v>
      </c>
      <c r="B650" s="28" t="n">
        <v>33118</v>
      </c>
      <c r="C650" s="21" t="n">
        <v>0</v>
      </c>
      <c r="D650" s="21" t="n">
        <v>0</v>
      </c>
      <c r="E650" s="21" t="n">
        <v>0</v>
      </c>
      <c r="F650" s="21" t="n">
        <v>0</v>
      </c>
      <c r="G650" s="30" t="s">
        <v>3432</v>
      </c>
    </row>
    <row r="651" customFormat="false" ht="15" hidden="false" customHeight="false" outlineLevel="0" collapsed="false">
      <c r="A651" s="28" t="n">
        <v>33119</v>
      </c>
      <c r="B651" s="28" t="n">
        <v>33125</v>
      </c>
      <c r="C651" s="21" t="n">
        <v>0</v>
      </c>
      <c r="D651" s="21" t="n">
        <v>0</v>
      </c>
      <c r="E651" s="21" t="n">
        <v>0</v>
      </c>
      <c r="F651" s="21" t="n">
        <v>0</v>
      </c>
      <c r="G651" s="30" t="s">
        <v>3432</v>
      </c>
    </row>
    <row r="652" customFormat="false" ht="15" hidden="false" customHeight="false" outlineLevel="0" collapsed="false">
      <c r="A652" s="28" t="n">
        <v>33126</v>
      </c>
      <c r="B652" s="28" t="n">
        <v>33132</v>
      </c>
      <c r="C652" s="21" t="n">
        <v>0</v>
      </c>
      <c r="D652" s="21" t="n">
        <v>0</v>
      </c>
      <c r="E652" s="21" t="n">
        <v>0</v>
      </c>
      <c r="F652" s="21" t="n">
        <v>0</v>
      </c>
      <c r="G652" s="30" t="s">
        <v>3432</v>
      </c>
    </row>
    <row r="653" customFormat="false" ht="15" hidden="false" customHeight="false" outlineLevel="0" collapsed="false">
      <c r="A653" s="28" t="n">
        <v>33133</v>
      </c>
      <c r="B653" s="28" t="n">
        <v>33139</v>
      </c>
      <c r="C653" s="21" t="n">
        <v>0</v>
      </c>
      <c r="D653" s="21" t="n">
        <v>0</v>
      </c>
      <c r="E653" s="21" t="n">
        <v>0</v>
      </c>
      <c r="F653" s="21" t="n">
        <v>0</v>
      </c>
      <c r="G653" s="30" t="s">
        <v>3432</v>
      </c>
    </row>
    <row r="654" customFormat="false" ht="15" hidden="false" customHeight="false" outlineLevel="0" collapsed="false">
      <c r="A654" s="28" t="n">
        <v>33140</v>
      </c>
      <c r="B654" s="28" t="n">
        <v>33146</v>
      </c>
      <c r="C654" s="21" t="n">
        <v>0</v>
      </c>
      <c r="D654" s="21" t="n">
        <v>0</v>
      </c>
      <c r="E654" s="21" t="n">
        <v>0</v>
      </c>
      <c r="F654" s="21" t="n">
        <v>0</v>
      </c>
      <c r="G654" s="30" t="s">
        <v>3432</v>
      </c>
    </row>
    <row r="655" customFormat="false" ht="15" hidden="false" customHeight="false" outlineLevel="0" collapsed="false">
      <c r="A655" s="28" t="n">
        <v>33147</v>
      </c>
      <c r="B655" s="28" t="n">
        <v>33153</v>
      </c>
      <c r="C655" s="21" t="n">
        <v>0</v>
      </c>
      <c r="D655" s="21" t="n">
        <v>0</v>
      </c>
      <c r="E655" s="21" t="n">
        <v>0</v>
      </c>
      <c r="F655" s="21" t="n">
        <v>0</v>
      </c>
      <c r="G655" s="30" t="s">
        <v>3432</v>
      </c>
    </row>
    <row r="656" customFormat="false" ht="15" hidden="false" customHeight="false" outlineLevel="0" collapsed="false">
      <c r="A656" s="28" t="n">
        <v>33154</v>
      </c>
      <c r="B656" s="28" t="n">
        <v>33160</v>
      </c>
      <c r="C656" s="21" t="n">
        <v>0</v>
      </c>
      <c r="D656" s="21" t="n">
        <v>0</v>
      </c>
      <c r="E656" s="21" t="n">
        <v>0</v>
      </c>
      <c r="F656" s="21" t="n">
        <v>0</v>
      </c>
      <c r="G656" s="30" t="s">
        <v>3432</v>
      </c>
    </row>
    <row r="657" customFormat="false" ht="15" hidden="false" customHeight="false" outlineLevel="0" collapsed="false">
      <c r="A657" s="28" t="n">
        <v>33161</v>
      </c>
      <c r="B657" s="28" t="n">
        <v>33167</v>
      </c>
      <c r="C657" s="21" t="n">
        <v>0</v>
      </c>
      <c r="D657" s="21" t="n">
        <v>0</v>
      </c>
      <c r="E657" s="21" t="n">
        <v>0</v>
      </c>
      <c r="F657" s="21" t="n">
        <v>0</v>
      </c>
      <c r="G657" s="30" t="s">
        <v>3432</v>
      </c>
    </row>
    <row r="658" customFormat="false" ht="15" hidden="false" customHeight="false" outlineLevel="0" collapsed="false">
      <c r="A658" s="28" t="n">
        <v>33168</v>
      </c>
      <c r="B658" s="28" t="n">
        <v>33174</v>
      </c>
      <c r="C658" s="21" t="n">
        <v>0</v>
      </c>
      <c r="D658" s="21" t="n">
        <v>0</v>
      </c>
      <c r="E658" s="21" t="n">
        <v>0</v>
      </c>
      <c r="F658" s="21" t="n">
        <v>0</v>
      </c>
      <c r="G658" s="30" t="s">
        <v>3432</v>
      </c>
    </row>
    <row r="659" customFormat="false" ht="15" hidden="false" customHeight="false" outlineLevel="0" collapsed="false">
      <c r="A659" s="28" t="n">
        <v>33175</v>
      </c>
      <c r="B659" s="28" t="n">
        <v>33181</v>
      </c>
      <c r="C659" s="21" t="n">
        <v>0</v>
      </c>
      <c r="D659" s="21" t="n">
        <v>0</v>
      </c>
      <c r="E659" s="21" t="n">
        <v>0</v>
      </c>
      <c r="F659" s="21" t="n">
        <v>0</v>
      </c>
      <c r="G659" s="30" t="s">
        <v>3432</v>
      </c>
    </row>
    <row r="660" customFormat="false" ht="15" hidden="false" customHeight="false" outlineLevel="0" collapsed="false">
      <c r="A660" s="28" t="n">
        <v>33182</v>
      </c>
      <c r="B660" s="28" t="n">
        <v>33188</v>
      </c>
      <c r="C660" s="21" t="n">
        <v>0</v>
      </c>
      <c r="D660" s="21" t="n">
        <v>0</v>
      </c>
      <c r="E660" s="21" t="n">
        <v>0</v>
      </c>
      <c r="F660" s="21" t="n">
        <v>0</v>
      </c>
      <c r="G660" s="30" t="s">
        <v>3432</v>
      </c>
    </row>
    <row r="661" customFormat="false" ht="15" hidden="false" customHeight="false" outlineLevel="0" collapsed="false">
      <c r="A661" s="28" t="n">
        <v>33189</v>
      </c>
      <c r="B661" s="28" t="n">
        <v>33195</v>
      </c>
      <c r="C661" s="21" t="n">
        <v>0</v>
      </c>
      <c r="D661" s="21" t="n">
        <v>0</v>
      </c>
      <c r="E661" s="21" t="n">
        <v>0</v>
      </c>
      <c r="F661" s="21" t="n">
        <v>0</v>
      </c>
      <c r="G661" s="30" t="s">
        <v>3432</v>
      </c>
    </row>
    <row r="662" customFormat="false" ht="15" hidden="false" customHeight="false" outlineLevel="0" collapsed="false">
      <c r="A662" s="28" t="n">
        <v>33196</v>
      </c>
      <c r="B662" s="28" t="n">
        <v>33202</v>
      </c>
      <c r="C662" s="21" t="n">
        <v>0</v>
      </c>
      <c r="D662" s="21" t="n">
        <v>0</v>
      </c>
      <c r="E662" s="21" t="n">
        <v>0</v>
      </c>
      <c r="F662" s="21" t="n">
        <v>0</v>
      </c>
      <c r="G662" s="30" t="s">
        <v>3432</v>
      </c>
    </row>
    <row r="663" customFormat="false" ht="15" hidden="false" customHeight="false" outlineLevel="0" collapsed="false">
      <c r="A663" s="28" t="n">
        <v>33203</v>
      </c>
      <c r="B663" s="28" t="n">
        <v>33209</v>
      </c>
      <c r="C663" s="21" t="n">
        <v>0</v>
      </c>
      <c r="D663" s="21" t="n">
        <v>0</v>
      </c>
      <c r="E663" s="21" t="n">
        <v>0</v>
      </c>
      <c r="F663" s="21" t="n">
        <v>0</v>
      </c>
      <c r="G663" s="30" t="s">
        <v>3432</v>
      </c>
    </row>
    <row r="664" customFormat="false" ht="15" hidden="false" customHeight="false" outlineLevel="0" collapsed="false">
      <c r="A664" s="28" t="n">
        <v>33210</v>
      </c>
      <c r="B664" s="28" t="n">
        <v>33216</v>
      </c>
      <c r="C664" s="21" t="n">
        <v>0</v>
      </c>
      <c r="D664" s="21" t="n">
        <v>0</v>
      </c>
      <c r="E664" s="21" t="n">
        <v>0</v>
      </c>
      <c r="F664" s="21" t="n">
        <v>0</v>
      </c>
      <c r="G664" s="30" t="s">
        <v>3432</v>
      </c>
    </row>
    <row r="665" customFormat="false" ht="15" hidden="false" customHeight="false" outlineLevel="0" collapsed="false">
      <c r="A665" s="28" t="n">
        <v>33217</v>
      </c>
      <c r="B665" s="28" t="n">
        <v>33223</v>
      </c>
      <c r="C665" s="21" t="n">
        <v>0</v>
      </c>
      <c r="D665" s="21" t="n">
        <v>0</v>
      </c>
      <c r="E665" s="21" t="n">
        <v>0</v>
      </c>
      <c r="F665" s="21" t="n">
        <v>0</v>
      </c>
      <c r="G665" s="30" t="s">
        <v>3432</v>
      </c>
    </row>
    <row r="666" customFormat="false" ht="15" hidden="false" customHeight="false" outlineLevel="0" collapsed="false">
      <c r="A666" s="28" t="n">
        <v>33224</v>
      </c>
      <c r="B666" s="28" t="n">
        <v>33230</v>
      </c>
      <c r="C666" s="21" t="n">
        <v>0</v>
      </c>
      <c r="D666" s="21" t="n">
        <v>0</v>
      </c>
      <c r="E666" s="21" t="n">
        <v>0</v>
      </c>
      <c r="F666" s="21" t="n">
        <v>0</v>
      </c>
      <c r="G666" s="30" t="s">
        <v>3432</v>
      </c>
    </row>
    <row r="667" customFormat="false" ht="15" hidden="false" customHeight="false" outlineLevel="0" collapsed="false">
      <c r="A667" s="28" t="n">
        <v>33231</v>
      </c>
      <c r="B667" s="28" t="n">
        <v>33237</v>
      </c>
      <c r="C667" s="21" t="n">
        <v>0</v>
      </c>
      <c r="D667" s="21" t="n">
        <v>0</v>
      </c>
      <c r="E667" s="21" t="n">
        <v>0</v>
      </c>
      <c r="F667" s="21" t="n">
        <v>0</v>
      </c>
      <c r="G667" s="30" t="s">
        <v>3432</v>
      </c>
    </row>
    <row r="668" customFormat="false" ht="15" hidden="false" customHeight="false" outlineLevel="0" collapsed="false">
      <c r="A668" s="28" t="n">
        <v>33238</v>
      </c>
      <c r="B668" s="28" t="n">
        <v>33244</v>
      </c>
      <c r="C668" s="21" t="n">
        <v>0</v>
      </c>
      <c r="D668" s="21" t="n">
        <v>0</v>
      </c>
      <c r="E668" s="21" t="n">
        <v>0</v>
      </c>
      <c r="F668" s="21" t="n">
        <v>0</v>
      </c>
      <c r="G668" s="30" t="s">
        <v>3432</v>
      </c>
    </row>
    <row r="669" customFormat="false" ht="15" hidden="false" customHeight="false" outlineLevel="0" collapsed="false">
      <c r="A669" s="28" t="n">
        <v>33245</v>
      </c>
      <c r="B669" s="28" t="n">
        <v>33251</v>
      </c>
      <c r="C669" s="21" t="n">
        <v>0</v>
      </c>
      <c r="D669" s="21" t="n">
        <v>0</v>
      </c>
      <c r="E669" s="21" t="n">
        <v>0</v>
      </c>
      <c r="F669" s="21" t="n">
        <v>0</v>
      </c>
      <c r="G669" s="30" t="s">
        <v>3432</v>
      </c>
    </row>
    <row r="670" customFormat="false" ht="15" hidden="false" customHeight="false" outlineLevel="0" collapsed="false">
      <c r="A670" s="28" t="n">
        <v>33252</v>
      </c>
      <c r="B670" s="28" t="n">
        <v>33258</v>
      </c>
      <c r="C670" s="21" t="n">
        <v>0</v>
      </c>
      <c r="D670" s="21" t="n">
        <v>0</v>
      </c>
      <c r="E670" s="21" t="n">
        <v>0</v>
      </c>
      <c r="F670" s="21" t="n">
        <v>0</v>
      </c>
      <c r="G670" s="30" t="s">
        <v>3432</v>
      </c>
    </row>
    <row r="671" customFormat="false" ht="15" hidden="false" customHeight="false" outlineLevel="0" collapsed="false">
      <c r="A671" s="28" t="n">
        <v>33259</v>
      </c>
      <c r="B671" s="28" t="n">
        <v>33265</v>
      </c>
      <c r="C671" s="21" t="n">
        <v>0</v>
      </c>
      <c r="D671" s="21" t="n">
        <v>0</v>
      </c>
      <c r="E671" s="21" t="n">
        <v>0</v>
      </c>
      <c r="F671" s="21" t="n">
        <v>0</v>
      </c>
      <c r="G671" s="30" t="s">
        <v>3432</v>
      </c>
    </row>
    <row r="672" customFormat="false" ht="15" hidden="false" customHeight="false" outlineLevel="0" collapsed="false">
      <c r="A672" s="28" t="n">
        <v>33266</v>
      </c>
      <c r="B672" s="28" t="n">
        <v>33272</v>
      </c>
      <c r="C672" s="21" t="n">
        <v>0</v>
      </c>
      <c r="D672" s="21" t="n">
        <v>0</v>
      </c>
      <c r="E672" s="21" t="n">
        <v>0</v>
      </c>
      <c r="F672" s="21" t="n">
        <v>0</v>
      </c>
      <c r="G672" s="30" t="s">
        <v>3432</v>
      </c>
    </row>
    <row r="673" customFormat="false" ht="15" hidden="false" customHeight="false" outlineLevel="0" collapsed="false">
      <c r="A673" s="28" t="n">
        <v>33273</v>
      </c>
      <c r="B673" s="28" t="n">
        <v>33279</v>
      </c>
      <c r="C673" s="21" t="n">
        <v>0</v>
      </c>
      <c r="D673" s="21" t="n">
        <v>0</v>
      </c>
      <c r="E673" s="21" t="n">
        <v>0</v>
      </c>
      <c r="F673" s="21" t="n">
        <v>0</v>
      </c>
      <c r="G673" s="30" t="s">
        <v>3432</v>
      </c>
    </row>
    <row r="674" customFormat="false" ht="15" hidden="false" customHeight="false" outlineLevel="0" collapsed="false">
      <c r="A674" s="28" t="n">
        <v>33280</v>
      </c>
      <c r="B674" s="28" t="n">
        <v>33286</v>
      </c>
      <c r="C674" s="21" t="n">
        <v>0</v>
      </c>
      <c r="D674" s="21" t="n">
        <v>0</v>
      </c>
      <c r="E674" s="21" t="n">
        <v>0</v>
      </c>
      <c r="F674" s="21" t="n">
        <v>0</v>
      </c>
      <c r="G674" s="30" t="s">
        <v>3432</v>
      </c>
    </row>
    <row r="675" customFormat="false" ht="15" hidden="false" customHeight="false" outlineLevel="0" collapsed="false">
      <c r="A675" s="28" t="n">
        <v>33287</v>
      </c>
      <c r="B675" s="28" t="n">
        <v>33293</v>
      </c>
      <c r="C675" s="21" t="n">
        <v>0</v>
      </c>
      <c r="D675" s="21" t="n">
        <v>0</v>
      </c>
      <c r="E675" s="21" t="n">
        <v>0</v>
      </c>
      <c r="F675" s="21" t="n">
        <v>0</v>
      </c>
      <c r="G675" s="30" t="s">
        <v>3432</v>
      </c>
    </row>
    <row r="676" customFormat="false" ht="15" hidden="false" customHeight="false" outlineLevel="0" collapsed="false">
      <c r="A676" s="28" t="n">
        <v>33294</v>
      </c>
      <c r="B676" s="28" t="n">
        <v>33300</v>
      </c>
      <c r="C676" s="21" t="n">
        <v>0</v>
      </c>
      <c r="D676" s="21" t="n">
        <v>0</v>
      </c>
      <c r="E676" s="21" t="n">
        <v>0</v>
      </c>
      <c r="F676" s="21" t="n">
        <v>0</v>
      </c>
      <c r="G676" s="30" t="s">
        <v>3432</v>
      </c>
    </row>
    <row r="677" customFormat="false" ht="15" hidden="false" customHeight="false" outlineLevel="0" collapsed="false">
      <c r="A677" s="28" t="n">
        <v>33301</v>
      </c>
      <c r="B677" s="28" t="n">
        <v>33307</v>
      </c>
      <c r="C677" s="21" t="n">
        <v>0</v>
      </c>
      <c r="D677" s="21" t="n">
        <v>0</v>
      </c>
      <c r="E677" s="21" t="n">
        <v>0</v>
      </c>
      <c r="F677" s="21" t="n">
        <v>0</v>
      </c>
      <c r="G677" s="30" t="s">
        <v>3432</v>
      </c>
    </row>
    <row r="678" customFormat="false" ht="15" hidden="false" customHeight="false" outlineLevel="0" collapsed="false">
      <c r="A678" s="28" t="n">
        <v>33308</v>
      </c>
      <c r="B678" s="28" t="n">
        <v>33314</v>
      </c>
      <c r="C678" s="21" t="n">
        <v>0</v>
      </c>
      <c r="D678" s="21" t="n">
        <v>0</v>
      </c>
      <c r="E678" s="21" t="n">
        <v>0</v>
      </c>
      <c r="F678" s="21" t="n">
        <v>0</v>
      </c>
      <c r="G678" s="30" t="s">
        <v>3432</v>
      </c>
    </row>
    <row r="679" customFormat="false" ht="15" hidden="false" customHeight="false" outlineLevel="0" collapsed="false">
      <c r="A679" s="28" t="n">
        <v>33315</v>
      </c>
      <c r="B679" s="28" t="n">
        <v>33321</v>
      </c>
      <c r="C679" s="21" t="n">
        <v>0</v>
      </c>
      <c r="D679" s="21" t="n">
        <v>0</v>
      </c>
      <c r="E679" s="21" t="n">
        <v>0</v>
      </c>
      <c r="F679" s="21" t="n">
        <v>0</v>
      </c>
      <c r="G679" s="30" t="s">
        <v>3432</v>
      </c>
    </row>
    <row r="680" customFormat="false" ht="15" hidden="false" customHeight="false" outlineLevel="0" collapsed="false">
      <c r="A680" s="28" t="n">
        <v>33322</v>
      </c>
      <c r="B680" s="28" t="n">
        <v>33328</v>
      </c>
      <c r="C680" s="21" t="n">
        <v>0</v>
      </c>
      <c r="D680" s="21" t="n">
        <v>0</v>
      </c>
      <c r="E680" s="21" t="n">
        <v>0</v>
      </c>
      <c r="F680" s="21" t="n">
        <v>0</v>
      </c>
      <c r="G680" s="30" t="s">
        <v>3432</v>
      </c>
    </row>
    <row r="681" customFormat="false" ht="15" hidden="false" customHeight="false" outlineLevel="0" collapsed="false">
      <c r="A681" s="28" t="n">
        <v>33329</v>
      </c>
      <c r="B681" s="28" t="n">
        <v>33335</v>
      </c>
      <c r="C681" s="21" t="n">
        <v>0</v>
      </c>
      <c r="D681" s="21" t="n">
        <v>0</v>
      </c>
      <c r="E681" s="21" t="n">
        <v>0</v>
      </c>
      <c r="F681" s="21" t="n">
        <v>0</v>
      </c>
      <c r="G681" s="30" t="s">
        <v>3432</v>
      </c>
    </row>
    <row r="682" customFormat="false" ht="15" hidden="false" customHeight="false" outlineLevel="0" collapsed="false">
      <c r="A682" s="28" t="n">
        <v>33336</v>
      </c>
      <c r="B682" s="28" t="n">
        <v>33342</v>
      </c>
      <c r="C682" s="21" t="n">
        <v>0</v>
      </c>
      <c r="D682" s="21" t="n">
        <v>0</v>
      </c>
      <c r="E682" s="21" t="n">
        <v>0</v>
      </c>
      <c r="F682" s="21" t="n">
        <v>0</v>
      </c>
      <c r="G682" s="30" t="s">
        <v>3432</v>
      </c>
    </row>
    <row r="683" customFormat="false" ht="15" hidden="false" customHeight="false" outlineLevel="0" collapsed="false">
      <c r="A683" s="28" t="n">
        <v>33343</v>
      </c>
      <c r="B683" s="28" t="n">
        <v>33349</v>
      </c>
      <c r="C683" s="21" t="n">
        <v>0</v>
      </c>
      <c r="D683" s="21" t="n">
        <v>0</v>
      </c>
      <c r="E683" s="21" t="n">
        <v>0</v>
      </c>
      <c r="F683" s="21" t="n">
        <v>0</v>
      </c>
      <c r="G683" s="30" t="s">
        <v>3432</v>
      </c>
    </row>
    <row r="684" customFormat="false" ht="15" hidden="false" customHeight="false" outlineLevel="0" collapsed="false">
      <c r="A684" s="28" t="n">
        <v>33350</v>
      </c>
      <c r="B684" s="28" t="n">
        <v>33356</v>
      </c>
      <c r="C684" s="21" t="n">
        <v>0</v>
      </c>
      <c r="D684" s="21" t="n">
        <v>0</v>
      </c>
      <c r="E684" s="21" t="n">
        <v>0</v>
      </c>
      <c r="F684" s="21" t="n">
        <v>0</v>
      </c>
      <c r="G684" s="30" t="s">
        <v>3432</v>
      </c>
    </row>
    <row r="685" customFormat="false" ht="15" hidden="false" customHeight="false" outlineLevel="0" collapsed="false">
      <c r="A685" s="28" t="n">
        <v>33357</v>
      </c>
      <c r="B685" s="28" t="n">
        <v>33363</v>
      </c>
      <c r="C685" s="21" t="n">
        <v>0</v>
      </c>
      <c r="D685" s="21" t="n">
        <v>0</v>
      </c>
      <c r="E685" s="21" t="n">
        <v>0</v>
      </c>
      <c r="F685" s="21" t="n">
        <v>0</v>
      </c>
      <c r="G685" s="30" t="s">
        <v>3432</v>
      </c>
    </row>
    <row r="686" customFormat="false" ht="15" hidden="false" customHeight="false" outlineLevel="0" collapsed="false">
      <c r="A686" s="28" t="n">
        <v>33364</v>
      </c>
      <c r="B686" s="28" t="n">
        <v>33370</v>
      </c>
      <c r="C686" s="21" t="n">
        <v>0</v>
      </c>
      <c r="D686" s="21" t="n">
        <v>0</v>
      </c>
      <c r="E686" s="21" t="n">
        <v>0</v>
      </c>
      <c r="F686" s="21" t="n">
        <v>0</v>
      </c>
      <c r="G686" s="30" t="s">
        <v>3432</v>
      </c>
    </row>
    <row r="687" customFormat="false" ht="15" hidden="false" customHeight="false" outlineLevel="0" collapsed="false">
      <c r="A687" s="28" t="n">
        <v>33371</v>
      </c>
      <c r="B687" s="28" t="n">
        <v>33377</v>
      </c>
      <c r="C687" s="21" t="n">
        <v>0</v>
      </c>
      <c r="D687" s="21" t="n">
        <v>0</v>
      </c>
      <c r="E687" s="21" t="n">
        <v>0</v>
      </c>
      <c r="F687" s="21" t="n">
        <v>0</v>
      </c>
      <c r="G687" s="30" t="s">
        <v>3432</v>
      </c>
    </row>
    <row r="688" customFormat="false" ht="15" hidden="false" customHeight="false" outlineLevel="0" collapsed="false">
      <c r="A688" s="28" t="n">
        <v>33378</v>
      </c>
      <c r="B688" s="28" t="n">
        <v>33384</v>
      </c>
      <c r="C688" s="21" t="n">
        <v>0</v>
      </c>
      <c r="D688" s="21" t="n">
        <v>0</v>
      </c>
      <c r="E688" s="21" t="n">
        <v>0</v>
      </c>
      <c r="F688" s="21" t="n">
        <v>0</v>
      </c>
      <c r="G688" s="30" t="s">
        <v>3432</v>
      </c>
    </row>
    <row r="689" customFormat="false" ht="15" hidden="false" customHeight="false" outlineLevel="0" collapsed="false">
      <c r="A689" s="28" t="n">
        <v>33385</v>
      </c>
      <c r="B689" s="28" t="n">
        <v>33391</v>
      </c>
      <c r="C689" s="21" t="n">
        <v>0</v>
      </c>
      <c r="D689" s="21" t="n">
        <v>0</v>
      </c>
      <c r="E689" s="21" t="n">
        <v>0</v>
      </c>
      <c r="F689" s="21" t="n">
        <v>0</v>
      </c>
      <c r="G689" s="30" t="s">
        <v>3432</v>
      </c>
    </row>
    <row r="690" customFormat="false" ht="15" hidden="false" customHeight="false" outlineLevel="0" collapsed="false">
      <c r="A690" s="28" t="n">
        <v>33392</v>
      </c>
      <c r="B690" s="28" t="n">
        <v>33398</v>
      </c>
      <c r="C690" s="21" t="n">
        <v>0</v>
      </c>
      <c r="D690" s="21" t="n">
        <v>0</v>
      </c>
      <c r="E690" s="21" t="n">
        <v>0</v>
      </c>
      <c r="F690" s="21" t="n">
        <v>0</v>
      </c>
      <c r="G690" s="30" t="s">
        <v>3432</v>
      </c>
    </row>
    <row r="691" customFormat="false" ht="15" hidden="false" customHeight="false" outlineLevel="0" collapsed="false">
      <c r="A691" s="28" t="n">
        <v>33399</v>
      </c>
      <c r="B691" s="28" t="n">
        <v>33405</v>
      </c>
      <c r="C691" s="21" t="n">
        <v>0</v>
      </c>
      <c r="D691" s="21" t="n">
        <v>0</v>
      </c>
      <c r="E691" s="21" t="n">
        <v>0</v>
      </c>
      <c r="F691" s="21" t="n">
        <v>0</v>
      </c>
      <c r="G691" s="30" t="s">
        <v>3432</v>
      </c>
    </row>
    <row r="692" customFormat="false" ht="15" hidden="false" customHeight="false" outlineLevel="0" collapsed="false">
      <c r="A692" s="28" t="n">
        <v>33406</v>
      </c>
      <c r="B692" s="28" t="n">
        <v>33412</v>
      </c>
      <c r="C692" s="21" t="n">
        <v>0</v>
      </c>
      <c r="D692" s="21" t="n">
        <v>0</v>
      </c>
      <c r="E692" s="21" t="n">
        <v>0</v>
      </c>
      <c r="F692" s="21" t="n">
        <v>0</v>
      </c>
      <c r="G692" s="30" t="s">
        <v>3432</v>
      </c>
    </row>
    <row r="693" customFormat="false" ht="15" hidden="false" customHeight="false" outlineLevel="0" collapsed="false">
      <c r="A693" s="28" t="n">
        <v>33413</v>
      </c>
      <c r="B693" s="28" t="n">
        <v>33419</v>
      </c>
      <c r="C693" s="21" t="n">
        <v>0</v>
      </c>
      <c r="D693" s="21" t="n">
        <v>0</v>
      </c>
      <c r="E693" s="21" t="n">
        <v>0</v>
      </c>
      <c r="F693" s="21" t="n">
        <v>0</v>
      </c>
      <c r="G693" s="30" t="s">
        <v>3432</v>
      </c>
    </row>
    <row r="694" customFormat="false" ht="15" hidden="false" customHeight="false" outlineLevel="0" collapsed="false">
      <c r="A694" s="28" t="n">
        <v>33420</v>
      </c>
      <c r="B694" s="28" t="n">
        <v>33426</v>
      </c>
      <c r="C694" s="21" t="n">
        <v>0</v>
      </c>
      <c r="D694" s="21" t="n">
        <v>0</v>
      </c>
      <c r="E694" s="21" t="n">
        <v>0</v>
      </c>
      <c r="F694" s="21" t="n">
        <v>0</v>
      </c>
      <c r="G694" s="30" t="s">
        <v>3432</v>
      </c>
    </row>
    <row r="695" customFormat="false" ht="15" hidden="false" customHeight="false" outlineLevel="0" collapsed="false">
      <c r="A695" s="28" t="n">
        <v>33427</v>
      </c>
      <c r="B695" s="28" t="n">
        <v>33433</v>
      </c>
      <c r="C695" s="21" t="n">
        <v>0</v>
      </c>
      <c r="D695" s="21" t="n">
        <v>0</v>
      </c>
      <c r="E695" s="21" t="n">
        <v>0</v>
      </c>
      <c r="F695" s="21" t="n">
        <v>0</v>
      </c>
      <c r="G695" s="30" t="s">
        <v>3432</v>
      </c>
    </row>
    <row r="696" customFormat="false" ht="15" hidden="false" customHeight="false" outlineLevel="0" collapsed="false">
      <c r="A696" s="28" t="n">
        <v>33434</v>
      </c>
      <c r="B696" s="28" t="n">
        <v>33440</v>
      </c>
      <c r="C696" s="21" t="n">
        <v>0</v>
      </c>
      <c r="D696" s="21" t="n">
        <v>0</v>
      </c>
      <c r="E696" s="21" t="n">
        <v>0</v>
      </c>
      <c r="F696" s="21" t="n">
        <v>0</v>
      </c>
      <c r="G696" s="30" t="s">
        <v>3432</v>
      </c>
    </row>
    <row r="697" customFormat="false" ht="15" hidden="false" customHeight="false" outlineLevel="0" collapsed="false">
      <c r="A697" s="28" t="n">
        <v>33441</v>
      </c>
      <c r="B697" s="28" t="n">
        <v>33447</v>
      </c>
      <c r="C697" s="21" t="n">
        <v>0</v>
      </c>
      <c r="D697" s="21" t="n">
        <v>0</v>
      </c>
      <c r="E697" s="21" t="n">
        <v>0</v>
      </c>
      <c r="F697" s="21" t="n">
        <v>0</v>
      </c>
      <c r="G697" s="30" t="s">
        <v>3432</v>
      </c>
    </row>
    <row r="698" customFormat="false" ht="15" hidden="false" customHeight="false" outlineLevel="0" collapsed="false">
      <c r="A698" s="28" t="n">
        <v>33448</v>
      </c>
      <c r="B698" s="28" t="n">
        <v>33454</v>
      </c>
      <c r="C698" s="21" t="n">
        <v>0</v>
      </c>
      <c r="D698" s="21" t="n">
        <v>0</v>
      </c>
      <c r="E698" s="21" t="n">
        <v>0</v>
      </c>
      <c r="F698" s="21" t="n">
        <v>0</v>
      </c>
      <c r="G698" s="30" t="s">
        <v>3432</v>
      </c>
    </row>
    <row r="699" customFormat="false" ht="15" hidden="false" customHeight="false" outlineLevel="0" collapsed="false">
      <c r="A699" s="28" t="n">
        <v>33455</v>
      </c>
      <c r="B699" s="28" t="n">
        <v>33461</v>
      </c>
      <c r="C699" s="21" t="n">
        <v>0</v>
      </c>
      <c r="D699" s="21" t="n">
        <v>0</v>
      </c>
      <c r="E699" s="21" t="n">
        <v>0</v>
      </c>
      <c r="F699" s="21" t="n">
        <v>0</v>
      </c>
      <c r="G699" s="30" t="s">
        <v>3432</v>
      </c>
    </row>
    <row r="700" customFormat="false" ht="15" hidden="false" customHeight="false" outlineLevel="0" collapsed="false">
      <c r="A700" s="28" t="n">
        <v>33462</v>
      </c>
      <c r="B700" s="28" t="n">
        <v>33468</v>
      </c>
      <c r="C700" s="21" t="n">
        <v>0</v>
      </c>
      <c r="D700" s="21" t="n">
        <v>0</v>
      </c>
      <c r="E700" s="21" t="n">
        <v>0</v>
      </c>
      <c r="F700" s="21" t="n">
        <v>0</v>
      </c>
      <c r="G700" s="30" t="s">
        <v>3432</v>
      </c>
    </row>
    <row r="701" customFormat="false" ht="15" hidden="false" customHeight="false" outlineLevel="0" collapsed="false">
      <c r="A701" s="28" t="n">
        <v>33469</v>
      </c>
      <c r="B701" s="28" t="n">
        <v>33475</v>
      </c>
      <c r="C701" s="21" t="n">
        <v>0</v>
      </c>
      <c r="D701" s="21" t="n">
        <v>0</v>
      </c>
      <c r="E701" s="21" t="n">
        <v>0</v>
      </c>
      <c r="F701" s="21" t="n">
        <v>0</v>
      </c>
      <c r="G701" s="30" t="s">
        <v>3432</v>
      </c>
    </row>
    <row r="702" customFormat="false" ht="15" hidden="false" customHeight="false" outlineLevel="0" collapsed="false">
      <c r="A702" s="28" t="n">
        <v>33476</v>
      </c>
      <c r="B702" s="28" t="n">
        <v>33482</v>
      </c>
      <c r="C702" s="21" t="n">
        <v>0</v>
      </c>
      <c r="D702" s="21" t="n">
        <v>0</v>
      </c>
      <c r="E702" s="21" t="n">
        <v>0</v>
      </c>
      <c r="F702" s="21" t="n">
        <v>0</v>
      </c>
      <c r="G702" s="30" t="s">
        <v>3432</v>
      </c>
    </row>
    <row r="703" customFormat="false" ht="15" hidden="false" customHeight="false" outlineLevel="0" collapsed="false">
      <c r="A703" s="28" t="n">
        <v>33483</v>
      </c>
      <c r="B703" s="28" t="n">
        <v>33489</v>
      </c>
      <c r="C703" s="21" t="n">
        <v>0</v>
      </c>
      <c r="D703" s="21" t="n">
        <v>0</v>
      </c>
      <c r="E703" s="21" t="n">
        <v>0</v>
      </c>
      <c r="F703" s="21" t="n">
        <v>0</v>
      </c>
      <c r="G703" s="30" t="s">
        <v>3432</v>
      </c>
    </row>
    <row r="704" customFormat="false" ht="15" hidden="false" customHeight="false" outlineLevel="0" collapsed="false">
      <c r="A704" s="28" t="n">
        <v>33490</v>
      </c>
      <c r="B704" s="28" t="n">
        <v>33496</v>
      </c>
      <c r="C704" s="21" t="n">
        <v>0</v>
      </c>
      <c r="D704" s="21" t="n">
        <v>0</v>
      </c>
      <c r="E704" s="21" t="n">
        <v>0</v>
      </c>
      <c r="F704" s="21" t="n">
        <v>0</v>
      </c>
      <c r="G704" s="30" t="s">
        <v>3432</v>
      </c>
    </row>
    <row r="705" customFormat="false" ht="15" hidden="false" customHeight="false" outlineLevel="0" collapsed="false">
      <c r="A705" s="28" t="n">
        <v>33497</v>
      </c>
      <c r="B705" s="28" t="n">
        <v>33503</v>
      </c>
      <c r="C705" s="21" t="n">
        <v>0</v>
      </c>
      <c r="D705" s="21" t="n">
        <v>0</v>
      </c>
      <c r="E705" s="21" t="n">
        <v>0</v>
      </c>
      <c r="F705" s="21" t="n">
        <v>0</v>
      </c>
      <c r="G705" s="30" t="s">
        <v>3432</v>
      </c>
    </row>
    <row r="706" customFormat="false" ht="15" hidden="false" customHeight="false" outlineLevel="0" collapsed="false">
      <c r="A706" s="28" t="n">
        <v>33504</v>
      </c>
      <c r="B706" s="28" t="n">
        <v>33510</v>
      </c>
      <c r="C706" s="21" t="n">
        <v>0</v>
      </c>
      <c r="D706" s="21" t="n">
        <v>0</v>
      </c>
      <c r="E706" s="21" t="n">
        <v>0</v>
      </c>
      <c r="F706" s="21" t="n">
        <v>0</v>
      </c>
      <c r="G706" s="30" t="s">
        <v>3432</v>
      </c>
    </row>
    <row r="707" customFormat="false" ht="15" hidden="false" customHeight="false" outlineLevel="0" collapsed="false">
      <c r="A707" s="28" t="n">
        <v>33511</v>
      </c>
      <c r="B707" s="28" t="n">
        <v>33517</v>
      </c>
      <c r="C707" s="21" t="n">
        <v>0</v>
      </c>
      <c r="D707" s="21" t="n">
        <v>0</v>
      </c>
      <c r="E707" s="21" t="n">
        <v>0</v>
      </c>
      <c r="F707" s="21" t="n">
        <v>0</v>
      </c>
      <c r="G707" s="30" t="s">
        <v>3432</v>
      </c>
    </row>
    <row r="708" customFormat="false" ht="15" hidden="false" customHeight="false" outlineLevel="0" collapsed="false">
      <c r="A708" s="28" t="n">
        <v>33518</v>
      </c>
      <c r="B708" s="28" t="n">
        <v>33524</v>
      </c>
      <c r="C708" s="21" t="n">
        <v>0</v>
      </c>
      <c r="D708" s="21" t="n">
        <v>0</v>
      </c>
      <c r="E708" s="21" t="n">
        <v>0</v>
      </c>
      <c r="F708" s="21" t="n">
        <v>0</v>
      </c>
      <c r="G708" s="30" t="s">
        <v>3432</v>
      </c>
    </row>
    <row r="709" customFormat="false" ht="15" hidden="false" customHeight="false" outlineLevel="0" collapsed="false">
      <c r="A709" s="28" t="n">
        <v>33525</v>
      </c>
      <c r="B709" s="28" t="n">
        <v>33531</v>
      </c>
      <c r="C709" s="21" t="n">
        <v>0</v>
      </c>
      <c r="D709" s="21" t="n">
        <v>0</v>
      </c>
      <c r="E709" s="21" t="n">
        <v>0</v>
      </c>
      <c r="F709" s="21" t="n">
        <v>0</v>
      </c>
      <c r="G709" s="30" t="s">
        <v>3432</v>
      </c>
    </row>
    <row r="710" customFormat="false" ht="15" hidden="false" customHeight="false" outlineLevel="0" collapsed="false">
      <c r="A710" s="28" t="n">
        <v>33532</v>
      </c>
      <c r="B710" s="28" t="n">
        <v>33538</v>
      </c>
      <c r="C710" s="21" t="n">
        <v>0</v>
      </c>
      <c r="D710" s="21" t="n">
        <v>0</v>
      </c>
      <c r="E710" s="21" t="n">
        <v>0</v>
      </c>
      <c r="F710" s="21" t="n">
        <v>0</v>
      </c>
      <c r="G710" s="30" t="s">
        <v>3432</v>
      </c>
    </row>
    <row r="711" customFormat="false" ht="15" hidden="false" customHeight="false" outlineLevel="0" collapsed="false">
      <c r="A711" s="28" t="n">
        <v>33539</v>
      </c>
      <c r="B711" s="28" t="n">
        <v>33545</v>
      </c>
      <c r="C711" s="21" t="n">
        <v>0</v>
      </c>
      <c r="D711" s="21" t="n">
        <v>0</v>
      </c>
      <c r="E711" s="21" t="n">
        <v>0</v>
      </c>
      <c r="F711" s="21" t="n">
        <v>0</v>
      </c>
      <c r="G711" s="30" t="s">
        <v>3432</v>
      </c>
    </row>
    <row r="712" customFormat="false" ht="15" hidden="false" customHeight="false" outlineLevel="0" collapsed="false">
      <c r="A712" s="28" t="n">
        <v>33546</v>
      </c>
      <c r="B712" s="28" t="n">
        <v>33552</v>
      </c>
      <c r="C712" s="21" t="n">
        <v>0</v>
      </c>
      <c r="D712" s="21" t="n">
        <v>0</v>
      </c>
      <c r="E712" s="21" t="n">
        <v>0</v>
      </c>
      <c r="F712" s="21" t="n">
        <v>0</v>
      </c>
      <c r="G712" s="30" t="s">
        <v>3432</v>
      </c>
    </row>
    <row r="713" customFormat="false" ht="15" hidden="false" customHeight="false" outlineLevel="0" collapsed="false">
      <c r="A713" s="28" t="n">
        <v>33553</v>
      </c>
      <c r="B713" s="28" t="n">
        <v>33559</v>
      </c>
      <c r="C713" s="21" t="n">
        <v>0</v>
      </c>
      <c r="D713" s="21" t="n">
        <v>0</v>
      </c>
      <c r="E713" s="21" t="n">
        <v>0</v>
      </c>
      <c r="F713" s="21" t="n">
        <v>0</v>
      </c>
      <c r="G713" s="30" t="s">
        <v>3432</v>
      </c>
    </row>
    <row r="714" customFormat="false" ht="15" hidden="false" customHeight="false" outlineLevel="0" collapsed="false">
      <c r="A714" s="28" t="n">
        <v>33560</v>
      </c>
      <c r="B714" s="28" t="n">
        <v>33566</v>
      </c>
      <c r="C714" s="21" t="n">
        <v>0</v>
      </c>
      <c r="D714" s="21" t="n">
        <v>0</v>
      </c>
      <c r="E714" s="21" t="n">
        <v>0</v>
      </c>
      <c r="F714" s="21" t="n">
        <v>0</v>
      </c>
      <c r="G714" s="30" t="s">
        <v>3432</v>
      </c>
    </row>
    <row r="715" customFormat="false" ht="15" hidden="false" customHeight="false" outlineLevel="0" collapsed="false">
      <c r="A715" s="28" t="n">
        <v>33567</v>
      </c>
      <c r="B715" s="28" t="n">
        <v>33573</v>
      </c>
      <c r="C715" s="21" t="n">
        <v>0</v>
      </c>
      <c r="D715" s="21" t="n">
        <v>0</v>
      </c>
      <c r="E715" s="21" t="n">
        <v>0</v>
      </c>
      <c r="F715" s="21" t="n">
        <v>0</v>
      </c>
      <c r="G715" s="30" t="s">
        <v>3432</v>
      </c>
    </row>
    <row r="716" customFormat="false" ht="15" hidden="false" customHeight="false" outlineLevel="0" collapsed="false">
      <c r="A716" s="28" t="n">
        <v>33574</v>
      </c>
      <c r="B716" s="28" t="n">
        <v>33580</v>
      </c>
      <c r="C716" s="21" t="n">
        <v>0</v>
      </c>
      <c r="D716" s="21" t="n">
        <v>0</v>
      </c>
      <c r="E716" s="21" t="n">
        <v>0</v>
      </c>
      <c r="F716" s="21" t="n">
        <v>0</v>
      </c>
      <c r="G716" s="30" t="s">
        <v>3432</v>
      </c>
    </row>
    <row r="717" customFormat="false" ht="15" hidden="false" customHeight="false" outlineLevel="0" collapsed="false">
      <c r="A717" s="28" t="n">
        <v>33581</v>
      </c>
      <c r="B717" s="28" t="n">
        <v>33587</v>
      </c>
      <c r="C717" s="21" t="n">
        <v>0</v>
      </c>
      <c r="D717" s="21" t="n">
        <v>0</v>
      </c>
      <c r="E717" s="21" t="n">
        <v>0</v>
      </c>
      <c r="F717" s="21" t="n">
        <v>0</v>
      </c>
      <c r="G717" s="30" t="s">
        <v>3432</v>
      </c>
    </row>
    <row r="718" customFormat="false" ht="15" hidden="false" customHeight="false" outlineLevel="0" collapsed="false">
      <c r="A718" s="28" t="n">
        <v>33588</v>
      </c>
      <c r="B718" s="28" t="n">
        <v>33594</v>
      </c>
      <c r="C718" s="21" t="n">
        <v>0</v>
      </c>
      <c r="D718" s="21" t="n">
        <v>0</v>
      </c>
      <c r="E718" s="21" t="n">
        <v>0</v>
      </c>
      <c r="F718" s="21" t="n">
        <v>0</v>
      </c>
      <c r="G718" s="30" t="s">
        <v>3432</v>
      </c>
    </row>
    <row r="719" customFormat="false" ht="15" hidden="false" customHeight="false" outlineLevel="0" collapsed="false">
      <c r="A719" s="28" t="n">
        <v>33595</v>
      </c>
      <c r="B719" s="28" t="n">
        <v>33601</v>
      </c>
      <c r="C719" s="21" t="n">
        <v>0</v>
      </c>
      <c r="D719" s="21" t="n">
        <v>0</v>
      </c>
      <c r="E719" s="21" t="n">
        <v>0</v>
      </c>
      <c r="F719" s="21" t="n">
        <v>0</v>
      </c>
      <c r="G719" s="30" t="s">
        <v>3432</v>
      </c>
    </row>
    <row r="720" customFormat="false" ht="15" hidden="false" customHeight="false" outlineLevel="0" collapsed="false">
      <c r="A720" s="28" t="n">
        <v>33602</v>
      </c>
      <c r="B720" s="28" t="n">
        <v>33608</v>
      </c>
      <c r="C720" s="21" t="n">
        <v>0</v>
      </c>
      <c r="D720" s="21" t="n">
        <v>0</v>
      </c>
      <c r="E720" s="21" t="n">
        <v>0</v>
      </c>
      <c r="F720" s="21" t="n">
        <v>0</v>
      </c>
      <c r="G720" s="30" t="s">
        <v>3432</v>
      </c>
    </row>
    <row r="721" customFormat="false" ht="15" hidden="false" customHeight="false" outlineLevel="0" collapsed="false">
      <c r="A721" s="28" t="n">
        <v>33609</v>
      </c>
      <c r="B721" s="28" t="n">
        <v>33615</v>
      </c>
      <c r="C721" s="21" t="n">
        <v>0</v>
      </c>
      <c r="D721" s="21" t="n">
        <v>0</v>
      </c>
      <c r="E721" s="21" t="n">
        <v>0</v>
      </c>
      <c r="F721" s="21" t="n">
        <v>0</v>
      </c>
      <c r="G721" s="30" t="s">
        <v>3432</v>
      </c>
    </row>
    <row r="722" customFormat="false" ht="15" hidden="false" customHeight="false" outlineLevel="0" collapsed="false">
      <c r="A722" s="28" t="n">
        <v>33616</v>
      </c>
      <c r="B722" s="28" t="n">
        <v>33622</v>
      </c>
      <c r="C722" s="21" t="n">
        <v>0</v>
      </c>
      <c r="D722" s="21" t="n">
        <v>0</v>
      </c>
      <c r="E722" s="21" t="n">
        <v>0</v>
      </c>
      <c r="F722" s="21" t="n">
        <v>0</v>
      </c>
      <c r="G722" s="30" t="s">
        <v>3432</v>
      </c>
    </row>
    <row r="723" customFormat="false" ht="15" hidden="false" customHeight="false" outlineLevel="0" collapsed="false">
      <c r="A723" s="28" t="n">
        <v>33623</v>
      </c>
      <c r="B723" s="28" t="n">
        <v>33629</v>
      </c>
      <c r="C723" s="21" t="n">
        <v>0</v>
      </c>
      <c r="D723" s="21" t="n">
        <v>0</v>
      </c>
      <c r="E723" s="21" t="n">
        <v>0</v>
      </c>
      <c r="F723" s="21" t="n">
        <v>0</v>
      </c>
      <c r="G723" s="30" t="s">
        <v>3432</v>
      </c>
    </row>
    <row r="724" customFormat="false" ht="15" hidden="false" customHeight="false" outlineLevel="0" collapsed="false">
      <c r="A724" s="28" t="n">
        <v>33630</v>
      </c>
      <c r="B724" s="28" t="n">
        <v>33636</v>
      </c>
      <c r="C724" s="21" t="n">
        <v>0</v>
      </c>
      <c r="D724" s="21" t="n">
        <v>0</v>
      </c>
      <c r="E724" s="21" t="n">
        <v>0</v>
      </c>
      <c r="F724" s="21" t="n">
        <v>0</v>
      </c>
      <c r="G724" s="30" t="s">
        <v>3432</v>
      </c>
    </row>
    <row r="725" customFormat="false" ht="15" hidden="false" customHeight="false" outlineLevel="0" collapsed="false">
      <c r="A725" s="28" t="n">
        <v>33637</v>
      </c>
      <c r="B725" s="28" t="n">
        <v>33643</v>
      </c>
      <c r="C725" s="21" t="n">
        <v>0</v>
      </c>
      <c r="D725" s="21" t="n">
        <v>0</v>
      </c>
      <c r="E725" s="21" t="n">
        <v>0</v>
      </c>
      <c r="F725" s="21" t="n">
        <v>0</v>
      </c>
      <c r="G725" s="30" t="s">
        <v>3432</v>
      </c>
    </row>
    <row r="726" customFormat="false" ht="15" hidden="false" customHeight="false" outlineLevel="0" collapsed="false">
      <c r="A726" s="28" t="n">
        <v>33644</v>
      </c>
      <c r="B726" s="28" t="n">
        <v>33650</v>
      </c>
      <c r="C726" s="21" t="n">
        <v>0</v>
      </c>
      <c r="D726" s="21" t="n">
        <v>0</v>
      </c>
      <c r="E726" s="21" t="n">
        <v>0</v>
      </c>
      <c r="F726" s="21" t="n">
        <v>0</v>
      </c>
      <c r="G726" s="30" t="s">
        <v>3432</v>
      </c>
    </row>
    <row r="727" customFormat="false" ht="15" hidden="false" customHeight="false" outlineLevel="0" collapsed="false">
      <c r="A727" s="28" t="n">
        <v>33651</v>
      </c>
      <c r="B727" s="28" t="n">
        <v>33657</v>
      </c>
      <c r="C727" s="21" t="n">
        <v>0</v>
      </c>
      <c r="D727" s="21" t="n">
        <v>0</v>
      </c>
      <c r="E727" s="21" t="n">
        <v>0</v>
      </c>
      <c r="F727" s="21" t="n">
        <v>0</v>
      </c>
      <c r="G727" s="30" t="s">
        <v>3432</v>
      </c>
    </row>
    <row r="728" customFormat="false" ht="15" hidden="false" customHeight="false" outlineLevel="0" collapsed="false">
      <c r="A728" s="28" t="n">
        <v>33658</v>
      </c>
      <c r="B728" s="28" t="n">
        <v>33664</v>
      </c>
      <c r="C728" s="21" t="n">
        <v>0</v>
      </c>
      <c r="D728" s="21" t="n">
        <v>0</v>
      </c>
      <c r="E728" s="21" t="n">
        <v>0</v>
      </c>
      <c r="F728" s="21" t="n">
        <v>0</v>
      </c>
      <c r="G728" s="30" t="s">
        <v>3432</v>
      </c>
    </row>
    <row r="729" customFormat="false" ht="15" hidden="false" customHeight="false" outlineLevel="0" collapsed="false">
      <c r="A729" s="28" t="n">
        <v>33665</v>
      </c>
      <c r="B729" s="28" t="n">
        <v>33671</v>
      </c>
      <c r="C729" s="21" t="n">
        <v>0</v>
      </c>
      <c r="D729" s="21" t="n">
        <v>0</v>
      </c>
      <c r="E729" s="21" t="n">
        <v>0</v>
      </c>
      <c r="F729" s="21" t="n">
        <v>0</v>
      </c>
      <c r="G729" s="30" t="s">
        <v>3432</v>
      </c>
    </row>
    <row r="730" customFormat="false" ht="15" hidden="false" customHeight="false" outlineLevel="0" collapsed="false">
      <c r="A730" s="28" t="n">
        <v>33672</v>
      </c>
      <c r="B730" s="28" t="n">
        <v>33678</v>
      </c>
      <c r="C730" s="21" t="n">
        <v>0</v>
      </c>
      <c r="D730" s="21" t="n">
        <v>0</v>
      </c>
      <c r="E730" s="21" t="n">
        <v>0</v>
      </c>
      <c r="F730" s="21" t="n">
        <v>0</v>
      </c>
      <c r="G730" s="30" t="s">
        <v>3432</v>
      </c>
    </row>
    <row r="731" customFormat="false" ht="15" hidden="false" customHeight="false" outlineLevel="0" collapsed="false">
      <c r="A731" s="28" t="n">
        <v>33679</v>
      </c>
      <c r="B731" s="28" t="n">
        <v>33685</v>
      </c>
      <c r="C731" s="21" t="n">
        <v>0</v>
      </c>
      <c r="D731" s="21" t="n">
        <v>0</v>
      </c>
      <c r="E731" s="21" t="n">
        <v>0</v>
      </c>
      <c r="F731" s="21" t="n">
        <v>0</v>
      </c>
      <c r="G731" s="30" t="s">
        <v>3432</v>
      </c>
    </row>
    <row r="732" customFormat="false" ht="15" hidden="false" customHeight="false" outlineLevel="0" collapsed="false">
      <c r="A732" s="28" t="n">
        <v>33686</v>
      </c>
      <c r="B732" s="28" t="n">
        <v>33692</v>
      </c>
      <c r="C732" s="21" t="n">
        <v>0</v>
      </c>
      <c r="D732" s="21" t="n">
        <v>0</v>
      </c>
      <c r="E732" s="21" t="n">
        <v>0</v>
      </c>
      <c r="F732" s="21" t="n">
        <v>0</v>
      </c>
      <c r="G732" s="30" t="s">
        <v>3432</v>
      </c>
    </row>
    <row r="733" customFormat="false" ht="15" hidden="false" customHeight="false" outlineLevel="0" collapsed="false">
      <c r="A733" s="28" t="n">
        <v>33693</v>
      </c>
      <c r="B733" s="28" t="n">
        <v>33699</v>
      </c>
      <c r="C733" s="21" t="n">
        <v>0</v>
      </c>
      <c r="D733" s="21" t="n">
        <v>0</v>
      </c>
      <c r="E733" s="21" t="n">
        <v>0</v>
      </c>
      <c r="F733" s="21" t="n">
        <v>0</v>
      </c>
      <c r="G733" s="30" t="s">
        <v>3432</v>
      </c>
    </row>
    <row r="734" customFormat="false" ht="15" hidden="false" customHeight="false" outlineLevel="0" collapsed="false">
      <c r="A734" s="28" t="n">
        <v>33700</v>
      </c>
      <c r="B734" s="28" t="n">
        <v>33706</v>
      </c>
      <c r="C734" s="21" t="n">
        <v>0</v>
      </c>
      <c r="D734" s="21" t="n">
        <v>0</v>
      </c>
      <c r="E734" s="21" t="n">
        <v>0</v>
      </c>
      <c r="F734" s="21" t="n">
        <v>0</v>
      </c>
      <c r="G734" s="30" t="s">
        <v>3432</v>
      </c>
    </row>
    <row r="735" customFormat="false" ht="15" hidden="false" customHeight="false" outlineLevel="0" collapsed="false">
      <c r="A735" s="28" t="n">
        <v>33707</v>
      </c>
      <c r="B735" s="28" t="n">
        <v>33713</v>
      </c>
      <c r="C735" s="21" t="n">
        <v>0</v>
      </c>
      <c r="D735" s="21" t="n">
        <v>0</v>
      </c>
      <c r="E735" s="21" t="n">
        <v>0</v>
      </c>
      <c r="F735" s="21" t="n">
        <v>0</v>
      </c>
      <c r="G735" s="30" t="s">
        <v>3432</v>
      </c>
    </row>
    <row r="736" customFormat="false" ht="15" hidden="false" customHeight="false" outlineLevel="0" collapsed="false">
      <c r="A736" s="28" t="n">
        <v>33714</v>
      </c>
      <c r="B736" s="28" t="n">
        <v>33720</v>
      </c>
      <c r="C736" s="21" t="n">
        <v>0</v>
      </c>
      <c r="D736" s="21" t="n">
        <v>0</v>
      </c>
      <c r="E736" s="21" t="n">
        <v>0</v>
      </c>
      <c r="F736" s="21" t="n">
        <v>0</v>
      </c>
      <c r="G736" s="30" t="s">
        <v>3432</v>
      </c>
    </row>
    <row r="737" customFormat="false" ht="15" hidden="false" customHeight="false" outlineLevel="0" collapsed="false">
      <c r="A737" s="28" t="n">
        <v>33721</v>
      </c>
      <c r="B737" s="28" t="n">
        <v>33727</v>
      </c>
      <c r="C737" s="21" t="n">
        <v>0</v>
      </c>
      <c r="D737" s="21" t="n">
        <v>0</v>
      </c>
      <c r="E737" s="21" t="n">
        <v>0</v>
      </c>
      <c r="F737" s="21" t="n">
        <v>0</v>
      </c>
      <c r="G737" s="30" t="s">
        <v>3432</v>
      </c>
    </row>
    <row r="738" customFormat="false" ht="15" hidden="false" customHeight="false" outlineLevel="0" collapsed="false">
      <c r="A738" s="28" t="n">
        <v>33728</v>
      </c>
      <c r="B738" s="28" t="n">
        <v>33734</v>
      </c>
      <c r="C738" s="21" t="n">
        <v>0</v>
      </c>
      <c r="D738" s="21" t="n">
        <v>0</v>
      </c>
      <c r="E738" s="21" t="n">
        <v>0</v>
      </c>
      <c r="F738" s="21" t="n">
        <v>0</v>
      </c>
      <c r="G738" s="30" t="s">
        <v>3432</v>
      </c>
    </row>
    <row r="739" customFormat="false" ht="15" hidden="false" customHeight="false" outlineLevel="0" collapsed="false">
      <c r="A739" s="28" t="n">
        <v>33735</v>
      </c>
      <c r="B739" s="28" t="n">
        <v>33741</v>
      </c>
      <c r="C739" s="21" t="n">
        <v>0</v>
      </c>
      <c r="D739" s="21" t="n">
        <v>0</v>
      </c>
      <c r="E739" s="21" t="n">
        <v>0</v>
      </c>
      <c r="F739" s="21" t="n">
        <v>0</v>
      </c>
      <c r="G739" s="30" t="s">
        <v>3432</v>
      </c>
    </row>
    <row r="740" customFormat="false" ht="15" hidden="false" customHeight="false" outlineLevel="0" collapsed="false">
      <c r="A740" s="28" t="n">
        <v>33742</v>
      </c>
      <c r="B740" s="28" t="n">
        <v>33748</v>
      </c>
      <c r="C740" s="21" t="n">
        <v>0</v>
      </c>
      <c r="D740" s="21" t="n">
        <v>0</v>
      </c>
      <c r="E740" s="21" t="n">
        <v>0</v>
      </c>
      <c r="F740" s="21" t="n">
        <v>0</v>
      </c>
      <c r="G740" s="30" t="s">
        <v>3432</v>
      </c>
    </row>
    <row r="741" customFormat="false" ht="15" hidden="false" customHeight="false" outlineLevel="0" collapsed="false">
      <c r="A741" s="28" t="n">
        <v>33749</v>
      </c>
      <c r="B741" s="28" t="n">
        <v>33755</v>
      </c>
      <c r="C741" s="21" t="n">
        <v>0</v>
      </c>
      <c r="D741" s="21" t="n">
        <v>0</v>
      </c>
      <c r="E741" s="21" t="n">
        <v>0</v>
      </c>
      <c r="F741" s="21" t="n">
        <v>0</v>
      </c>
      <c r="G741" s="30" t="s">
        <v>3432</v>
      </c>
    </row>
    <row r="742" customFormat="false" ht="15" hidden="false" customHeight="false" outlineLevel="0" collapsed="false">
      <c r="A742" s="28" t="n">
        <v>33756</v>
      </c>
      <c r="B742" s="28" t="n">
        <v>33762</v>
      </c>
      <c r="C742" s="21" t="n">
        <v>0</v>
      </c>
      <c r="D742" s="21" t="n">
        <v>0</v>
      </c>
      <c r="E742" s="21" t="n">
        <v>0</v>
      </c>
      <c r="F742" s="21" t="n">
        <v>0</v>
      </c>
      <c r="G742" s="30" t="s">
        <v>3432</v>
      </c>
    </row>
    <row r="743" customFormat="false" ht="15" hidden="false" customHeight="false" outlineLevel="0" collapsed="false">
      <c r="A743" s="28" t="n">
        <v>33763</v>
      </c>
      <c r="B743" s="28" t="n">
        <v>33769</v>
      </c>
      <c r="C743" s="21" t="n">
        <v>0</v>
      </c>
      <c r="D743" s="21" t="n">
        <v>0</v>
      </c>
      <c r="E743" s="21" t="n">
        <v>0</v>
      </c>
      <c r="F743" s="21" t="n">
        <v>0</v>
      </c>
      <c r="G743" s="30" t="s">
        <v>3432</v>
      </c>
    </row>
    <row r="744" customFormat="false" ht="15" hidden="false" customHeight="false" outlineLevel="0" collapsed="false">
      <c r="A744" s="28" t="n">
        <v>33770</v>
      </c>
      <c r="B744" s="28" t="n">
        <v>33776</v>
      </c>
      <c r="C744" s="21" t="n">
        <v>0</v>
      </c>
      <c r="D744" s="21" t="n">
        <v>0</v>
      </c>
      <c r="E744" s="21" t="n">
        <v>0</v>
      </c>
      <c r="F744" s="21" t="n">
        <v>0</v>
      </c>
      <c r="G744" s="30" t="s">
        <v>3432</v>
      </c>
    </row>
    <row r="745" customFormat="false" ht="15" hidden="false" customHeight="false" outlineLevel="0" collapsed="false">
      <c r="A745" s="28" t="n">
        <v>33777</v>
      </c>
      <c r="B745" s="28" t="n">
        <v>33783</v>
      </c>
      <c r="C745" s="21" t="n">
        <v>0</v>
      </c>
      <c r="D745" s="21" t="n">
        <v>0</v>
      </c>
      <c r="E745" s="21" t="n">
        <v>0</v>
      </c>
      <c r="F745" s="21" t="n">
        <v>0</v>
      </c>
      <c r="G745" s="30" t="s">
        <v>3432</v>
      </c>
    </row>
    <row r="746" customFormat="false" ht="15" hidden="false" customHeight="false" outlineLevel="0" collapsed="false">
      <c r="A746" s="28" t="n">
        <v>33784</v>
      </c>
      <c r="B746" s="28" t="n">
        <v>33790</v>
      </c>
      <c r="C746" s="21" t="n">
        <v>0</v>
      </c>
      <c r="D746" s="21" t="n">
        <v>0</v>
      </c>
      <c r="E746" s="21" t="n">
        <v>0</v>
      </c>
      <c r="F746" s="21" t="n">
        <v>0</v>
      </c>
      <c r="G746" s="30" t="s">
        <v>3432</v>
      </c>
    </row>
    <row r="747" customFormat="false" ht="15" hidden="false" customHeight="false" outlineLevel="0" collapsed="false">
      <c r="A747" s="28" t="n">
        <v>33791</v>
      </c>
      <c r="B747" s="28" t="n">
        <v>33797</v>
      </c>
      <c r="C747" s="21" t="n">
        <v>0</v>
      </c>
      <c r="D747" s="21" t="n">
        <v>0</v>
      </c>
      <c r="E747" s="21" t="n">
        <v>0</v>
      </c>
      <c r="F747" s="21" t="n">
        <v>0</v>
      </c>
      <c r="G747" s="30" t="s">
        <v>3432</v>
      </c>
    </row>
    <row r="748" customFormat="false" ht="15" hidden="false" customHeight="false" outlineLevel="0" collapsed="false">
      <c r="A748" s="28" t="n">
        <v>33798</v>
      </c>
      <c r="B748" s="28" t="n">
        <v>33804</v>
      </c>
      <c r="C748" s="21" t="n">
        <v>0</v>
      </c>
      <c r="D748" s="21" t="n">
        <v>0</v>
      </c>
      <c r="E748" s="21" t="n">
        <v>0</v>
      </c>
      <c r="F748" s="21" t="n">
        <v>0</v>
      </c>
      <c r="G748" s="30" t="s">
        <v>3432</v>
      </c>
    </row>
    <row r="749" customFormat="false" ht="15" hidden="false" customHeight="false" outlineLevel="0" collapsed="false">
      <c r="A749" s="28" t="n">
        <v>33805</v>
      </c>
      <c r="B749" s="28" t="n">
        <v>33811</v>
      </c>
      <c r="C749" s="21" t="n">
        <v>0</v>
      </c>
      <c r="D749" s="21" t="n">
        <v>0</v>
      </c>
      <c r="E749" s="21" t="n">
        <v>0</v>
      </c>
      <c r="F749" s="21" t="n">
        <v>0</v>
      </c>
      <c r="G749" s="30" t="s">
        <v>3432</v>
      </c>
    </row>
    <row r="750" customFormat="false" ht="15" hidden="false" customHeight="false" outlineLevel="0" collapsed="false">
      <c r="A750" s="28" t="n">
        <v>33812</v>
      </c>
      <c r="B750" s="28" t="n">
        <v>33818</v>
      </c>
      <c r="C750" s="21" t="n">
        <v>0</v>
      </c>
      <c r="D750" s="21" t="n">
        <v>0</v>
      </c>
      <c r="E750" s="21" t="n">
        <v>0</v>
      </c>
      <c r="F750" s="21" t="n">
        <v>0</v>
      </c>
      <c r="G750" s="30" t="s">
        <v>3432</v>
      </c>
    </row>
    <row r="751" customFormat="false" ht="15" hidden="false" customHeight="false" outlineLevel="0" collapsed="false">
      <c r="A751" s="28" t="n">
        <v>33819</v>
      </c>
      <c r="B751" s="28" t="n">
        <v>33825</v>
      </c>
      <c r="C751" s="21" t="n">
        <v>0</v>
      </c>
      <c r="D751" s="21" t="n">
        <v>0</v>
      </c>
      <c r="E751" s="21" t="n">
        <v>0</v>
      </c>
      <c r="F751" s="21" t="n">
        <v>0</v>
      </c>
      <c r="G751" s="30" t="s">
        <v>3432</v>
      </c>
    </row>
    <row r="752" customFormat="false" ht="15" hidden="false" customHeight="false" outlineLevel="0" collapsed="false">
      <c r="A752" s="28" t="n">
        <v>33826</v>
      </c>
      <c r="B752" s="28" t="n">
        <v>33832</v>
      </c>
      <c r="C752" s="21" t="n">
        <v>0</v>
      </c>
      <c r="D752" s="21" t="n">
        <v>0</v>
      </c>
      <c r="E752" s="21" t="n">
        <v>0</v>
      </c>
      <c r="F752" s="21" t="n">
        <v>0</v>
      </c>
      <c r="G752" s="30" t="s">
        <v>3432</v>
      </c>
    </row>
    <row r="753" customFormat="false" ht="15" hidden="false" customHeight="false" outlineLevel="0" collapsed="false">
      <c r="A753" s="28" t="n">
        <v>33833</v>
      </c>
      <c r="B753" s="28" t="n">
        <v>33839</v>
      </c>
      <c r="C753" s="21" t="n">
        <v>0</v>
      </c>
      <c r="D753" s="21" t="n">
        <v>0</v>
      </c>
      <c r="E753" s="21" t="n">
        <v>0</v>
      </c>
      <c r="F753" s="21" t="n">
        <v>0</v>
      </c>
      <c r="G753" s="30" t="s">
        <v>3432</v>
      </c>
    </row>
    <row r="754" customFormat="false" ht="15" hidden="false" customHeight="false" outlineLevel="0" collapsed="false">
      <c r="A754" s="28" t="n">
        <v>33840</v>
      </c>
      <c r="B754" s="28" t="n">
        <v>33846</v>
      </c>
      <c r="C754" s="21" t="n">
        <v>0</v>
      </c>
      <c r="D754" s="21" t="n">
        <v>0</v>
      </c>
      <c r="E754" s="21" t="n">
        <v>0</v>
      </c>
      <c r="F754" s="21" t="n">
        <v>0</v>
      </c>
      <c r="G754" s="30" t="s">
        <v>3432</v>
      </c>
    </row>
    <row r="755" customFormat="false" ht="15" hidden="false" customHeight="false" outlineLevel="0" collapsed="false">
      <c r="A755" s="28" t="n">
        <v>33847</v>
      </c>
      <c r="B755" s="28" t="n">
        <v>33853</v>
      </c>
      <c r="C755" s="21" t="n">
        <v>0</v>
      </c>
      <c r="D755" s="21" t="n">
        <v>0</v>
      </c>
      <c r="E755" s="21" t="n">
        <v>0</v>
      </c>
      <c r="F755" s="21" t="n">
        <v>0</v>
      </c>
      <c r="G755" s="30" t="s">
        <v>3432</v>
      </c>
    </row>
    <row r="756" customFormat="false" ht="15" hidden="false" customHeight="false" outlineLevel="0" collapsed="false">
      <c r="A756" s="28" t="n">
        <v>33854</v>
      </c>
      <c r="B756" s="28" t="n">
        <v>33860</v>
      </c>
      <c r="C756" s="21" t="n">
        <v>0</v>
      </c>
      <c r="D756" s="21" t="n">
        <v>0</v>
      </c>
      <c r="E756" s="21" t="n">
        <v>0</v>
      </c>
      <c r="F756" s="21" t="n">
        <v>0</v>
      </c>
      <c r="G756" s="30" t="s">
        <v>3432</v>
      </c>
    </row>
    <row r="757" customFormat="false" ht="15" hidden="false" customHeight="false" outlineLevel="0" collapsed="false">
      <c r="A757" s="28" t="n">
        <v>33861</v>
      </c>
      <c r="B757" s="28" t="n">
        <v>33867</v>
      </c>
      <c r="C757" s="21" t="n">
        <v>0</v>
      </c>
      <c r="D757" s="21" t="n">
        <v>0</v>
      </c>
      <c r="E757" s="21" t="n">
        <v>0</v>
      </c>
      <c r="F757" s="21" t="n">
        <v>0</v>
      </c>
      <c r="G757" s="30" t="s">
        <v>3432</v>
      </c>
    </row>
    <row r="758" customFormat="false" ht="15" hidden="false" customHeight="false" outlineLevel="0" collapsed="false">
      <c r="A758" s="28" t="n">
        <v>33868</v>
      </c>
      <c r="B758" s="28" t="n">
        <v>33874</v>
      </c>
      <c r="C758" s="21" t="n">
        <v>0</v>
      </c>
      <c r="D758" s="21" t="n">
        <v>0</v>
      </c>
      <c r="E758" s="21" t="n">
        <v>0</v>
      </c>
      <c r="F758" s="21" t="n">
        <v>0</v>
      </c>
      <c r="G758" s="30" t="s">
        <v>3432</v>
      </c>
    </row>
    <row r="759" customFormat="false" ht="15" hidden="false" customHeight="false" outlineLevel="0" collapsed="false">
      <c r="A759" s="28" t="n">
        <v>33875</v>
      </c>
      <c r="B759" s="28" t="n">
        <v>33881</v>
      </c>
      <c r="C759" s="21" t="n">
        <v>0</v>
      </c>
      <c r="D759" s="21" t="n">
        <v>0</v>
      </c>
      <c r="E759" s="21" t="n">
        <v>0</v>
      </c>
      <c r="F759" s="21" t="n">
        <v>0</v>
      </c>
      <c r="G759" s="30" t="s">
        <v>3432</v>
      </c>
    </row>
    <row r="760" customFormat="false" ht="15" hidden="false" customHeight="false" outlineLevel="0" collapsed="false">
      <c r="A760" s="28" t="n">
        <v>33882</v>
      </c>
      <c r="B760" s="28" t="n">
        <v>33888</v>
      </c>
      <c r="C760" s="21" t="n">
        <v>0</v>
      </c>
      <c r="D760" s="21" t="n">
        <v>0</v>
      </c>
      <c r="E760" s="21" t="n">
        <v>0</v>
      </c>
      <c r="F760" s="21" t="n">
        <v>0</v>
      </c>
      <c r="G760" s="30" t="s">
        <v>3432</v>
      </c>
    </row>
    <row r="761" customFormat="false" ht="15" hidden="false" customHeight="false" outlineLevel="0" collapsed="false">
      <c r="A761" s="28" t="n">
        <v>33889</v>
      </c>
      <c r="B761" s="28" t="n">
        <v>33895</v>
      </c>
      <c r="C761" s="21" t="n">
        <v>0</v>
      </c>
      <c r="D761" s="21" t="n">
        <v>0</v>
      </c>
      <c r="E761" s="21" t="n">
        <v>0</v>
      </c>
      <c r="F761" s="21" t="n">
        <v>0</v>
      </c>
      <c r="G761" s="30" t="s">
        <v>3432</v>
      </c>
    </row>
    <row r="762" customFormat="false" ht="15" hidden="false" customHeight="false" outlineLevel="0" collapsed="false">
      <c r="A762" s="28" t="n">
        <v>33896</v>
      </c>
      <c r="B762" s="28" t="n">
        <v>33902</v>
      </c>
      <c r="C762" s="21" t="n">
        <v>0</v>
      </c>
      <c r="D762" s="21" t="n">
        <v>0</v>
      </c>
      <c r="E762" s="21" t="n">
        <v>0</v>
      </c>
      <c r="F762" s="21" t="n">
        <v>0</v>
      </c>
      <c r="G762" s="30" t="s">
        <v>3432</v>
      </c>
    </row>
    <row r="763" customFormat="false" ht="15" hidden="false" customHeight="false" outlineLevel="0" collapsed="false">
      <c r="A763" s="28" t="n">
        <v>33903</v>
      </c>
      <c r="B763" s="28" t="n">
        <v>33909</v>
      </c>
      <c r="C763" s="21" t="n">
        <v>0</v>
      </c>
      <c r="D763" s="21" t="n">
        <v>0</v>
      </c>
      <c r="E763" s="21" t="n">
        <v>0</v>
      </c>
      <c r="F763" s="21" t="n">
        <v>0</v>
      </c>
      <c r="G763" s="30" t="s">
        <v>3432</v>
      </c>
    </row>
    <row r="764" customFormat="false" ht="15" hidden="false" customHeight="false" outlineLevel="0" collapsed="false">
      <c r="A764" s="28" t="n">
        <v>33910</v>
      </c>
      <c r="B764" s="28" t="n">
        <v>33916</v>
      </c>
      <c r="C764" s="21" t="n">
        <v>0</v>
      </c>
      <c r="D764" s="21" t="n">
        <v>0</v>
      </c>
      <c r="E764" s="21" t="n">
        <v>0</v>
      </c>
      <c r="F764" s="21" t="n">
        <v>0</v>
      </c>
      <c r="G764" s="30" t="s">
        <v>3432</v>
      </c>
    </row>
    <row r="765" customFormat="false" ht="15" hidden="false" customHeight="false" outlineLevel="0" collapsed="false">
      <c r="A765" s="28" t="n">
        <v>33917</v>
      </c>
      <c r="B765" s="28" t="n">
        <v>33923</v>
      </c>
      <c r="C765" s="21" t="n">
        <v>0</v>
      </c>
      <c r="D765" s="21" t="n">
        <v>0</v>
      </c>
      <c r="E765" s="21" t="n">
        <v>0</v>
      </c>
      <c r="F765" s="21" t="n">
        <v>0</v>
      </c>
      <c r="G765" s="30" t="s">
        <v>3432</v>
      </c>
    </row>
    <row r="766" customFormat="false" ht="15" hidden="false" customHeight="false" outlineLevel="0" collapsed="false">
      <c r="A766" s="28" t="n">
        <v>33924</v>
      </c>
      <c r="B766" s="28" t="n">
        <v>33930</v>
      </c>
      <c r="C766" s="21" t="n">
        <v>0</v>
      </c>
      <c r="D766" s="21" t="n">
        <v>0</v>
      </c>
      <c r="E766" s="21" t="n">
        <v>0</v>
      </c>
      <c r="F766" s="21" t="n">
        <v>0</v>
      </c>
      <c r="G766" s="30" t="s">
        <v>3432</v>
      </c>
    </row>
    <row r="767" customFormat="false" ht="15" hidden="false" customHeight="false" outlineLevel="0" collapsed="false">
      <c r="A767" s="28" t="n">
        <v>33931</v>
      </c>
      <c r="B767" s="28" t="n">
        <v>33937</v>
      </c>
      <c r="C767" s="21" t="n">
        <v>0</v>
      </c>
      <c r="D767" s="21" t="n">
        <v>0</v>
      </c>
      <c r="E767" s="21" t="n">
        <v>0</v>
      </c>
      <c r="F767" s="21" t="n">
        <v>0</v>
      </c>
      <c r="G767" s="30" t="s">
        <v>3432</v>
      </c>
    </row>
    <row r="768" customFormat="false" ht="15" hidden="false" customHeight="false" outlineLevel="0" collapsed="false">
      <c r="A768" s="28" t="n">
        <v>33938</v>
      </c>
      <c r="B768" s="28" t="n">
        <v>33944</v>
      </c>
      <c r="C768" s="21" t="n">
        <v>0</v>
      </c>
      <c r="D768" s="21" t="n">
        <v>0</v>
      </c>
      <c r="E768" s="21" t="n">
        <v>0</v>
      </c>
      <c r="F768" s="21" t="n">
        <v>0</v>
      </c>
      <c r="G768" s="30" t="s">
        <v>3432</v>
      </c>
    </row>
    <row r="769" customFormat="false" ht="15" hidden="false" customHeight="false" outlineLevel="0" collapsed="false">
      <c r="A769" s="28" t="n">
        <v>33945</v>
      </c>
      <c r="B769" s="28" t="n">
        <v>33951</v>
      </c>
      <c r="C769" s="21" t="n">
        <v>0</v>
      </c>
      <c r="D769" s="21" t="n">
        <v>0</v>
      </c>
      <c r="E769" s="21" t="n">
        <v>0</v>
      </c>
      <c r="F769" s="21" t="n">
        <v>0</v>
      </c>
      <c r="G769" s="30" t="s">
        <v>3432</v>
      </c>
    </row>
    <row r="770" customFormat="false" ht="15" hidden="false" customHeight="false" outlineLevel="0" collapsed="false">
      <c r="A770" s="28" t="n">
        <v>33952</v>
      </c>
      <c r="B770" s="28" t="n">
        <v>33958</v>
      </c>
      <c r="C770" s="21" t="n">
        <v>0</v>
      </c>
      <c r="D770" s="21" t="n">
        <v>0</v>
      </c>
      <c r="E770" s="21" t="n">
        <v>0</v>
      </c>
      <c r="F770" s="21" t="n">
        <v>0</v>
      </c>
      <c r="G770" s="30" t="s">
        <v>3432</v>
      </c>
    </row>
    <row r="771" customFormat="false" ht="15" hidden="false" customHeight="false" outlineLevel="0" collapsed="false">
      <c r="A771" s="28" t="n">
        <v>33959</v>
      </c>
      <c r="B771" s="28" t="n">
        <v>33965</v>
      </c>
      <c r="C771" s="21" t="n">
        <v>0</v>
      </c>
      <c r="D771" s="21" t="n">
        <v>0</v>
      </c>
      <c r="E771" s="21" t="n">
        <v>0</v>
      </c>
      <c r="F771" s="21" t="n">
        <v>0</v>
      </c>
      <c r="G771" s="30" t="s">
        <v>3432</v>
      </c>
    </row>
    <row r="772" customFormat="false" ht="15" hidden="false" customHeight="false" outlineLevel="0" collapsed="false">
      <c r="A772" s="28" t="n">
        <v>33966</v>
      </c>
      <c r="B772" s="28" t="n">
        <v>33972</v>
      </c>
      <c r="C772" s="21" t="n">
        <v>0</v>
      </c>
      <c r="D772" s="21" t="n">
        <v>0</v>
      </c>
      <c r="E772" s="21" t="n">
        <v>0</v>
      </c>
      <c r="F772" s="21" t="n">
        <v>0</v>
      </c>
      <c r="G772" s="30" t="s">
        <v>3432</v>
      </c>
    </row>
    <row r="773" customFormat="false" ht="15" hidden="false" customHeight="false" outlineLevel="0" collapsed="false">
      <c r="A773" s="28" t="n">
        <v>33973</v>
      </c>
      <c r="B773" s="28" t="n">
        <v>33979</v>
      </c>
      <c r="C773" s="21" t="n">
        <v>0</v>
      </c>
      <c r="D773" s="21" t="n">
        <v>0</v>
      </c>
      <c r="E773" s="21" t="n">
        <v>0</v>
      </c>
      <c r="F773" s="21" t="n">
        <v>0</v>
      </c>
      <c r="G773" s="30" t="s">
        <v>3432</v>
      </c>
    </row>
    <row r="774" customFormat="false" ht="15" hidden="false" customHeight="false" outlineLevel="0" collapsed="false">
      <c r="A774" s="28" t="n">
        <v>33980</v>
      </c>
      <c r="B774" s="28" t="n">
        <v>33986</v>
      </c>
      <c r="C774" s="21" t="n">
        <v>0</v>
      </c>
      <c r="D774" s="21" t="n">
        <v>0</v>
      </c>
      <c r="E774" s="21" t="n">
        <v>0</v>
      </c>
      <c r="F774" s="21" t="n">
        <v>0</v>
      </c>
      <c r="G774" s="30" t="s">
        <v>3432</v>
      </c>
    </row>
    <row r="775" customFormat="false" ht="15" hidden="false" customHeight="false" outlineLevel="0" collapsed="false">
      <c r="A775" s="28" t="n">
        <v>33987</v>
      </c>
      <c r="B775" s="28" t="n">
        <v>33993</v>
      </c>
      <c r="C775" s="21" t="n">
        <v>0</v>
      </c>
      <c r="D775" s="21" t="n">
        <v>0</v>
      </c>
      <c r="E775" s="21" t="n">
        <v>0</v>
      </c>
      <c r="F775" s="21" t="n">
        <v>0</v>
      </c>
      <c r="G775" s="30" t="s">
        <v>3432</v>
      </c>
    </row>
    <row r="776" customFormat="false" ht="15" hidden="false" customHeight="false" outlineLevel="0" collapsed="false">
      <c r="A776" s="28" t="n">
        <v>33994</v>
      </c>
      <c r="B776" s="28" t="n">
        <v>34000</v>
      </c>
      <c r="C776" s="21" t="n">
        <v>0</v>
      </c>
      <c r="D776" s="21" t="n">
        <v>0</v>
      </c>
      <c r="E776" s="21" t="n">
        <v>0</v>
      </c>
      <c r="F776" s="21" t="n">
        <v>0</v>
      </c>
      <c r="G776" s="30" t="s">
        <v>3432</v>
      </c>
    </row>
    <row r="777" customFormat="false" ht="15" hidden="false" customHeight="false" outlineLevel="0" collapsed="false">
      <c r="A777" s="28" t="n">
        <v>34001</v>
      </c>
      <c r="B777" s="28" t="n">
        <v>34007</v>
      </c>
      <c r="C777" s="21" t="n">
        <v>0</v>
      </c>
      <c r="D777" s="21" t="n">
        <v>0</v>
      </c>
      <c r="E777" s="21" t="n">
        <v>0</v>
      </c>
      <c r="F777" s="21" t="n">
        <v>0</v>
      </c>
      <c r="G777" s="30" t="s">
        <v>3432</v>
      </c>
    </row>
    <row r="778" customFormat="false" ht="15" hidden="false" customHeight="false" outlineLevel="0" collapsed="false">
      <c r="A778" s="28" t="n">
        <v>34008</v>
      </c>
      <c r="B778" s="28" t="n">
        <v>34014</v>
      </c>
      <c r="C778" s="21" t="n">
        <v>0</v>
      </c>
      <c r="D778" s="21" t="n">
        <v>0</v>
      </c>
      <c r="E778" s="21" t="n">
        <v>0</v>
      </c>
      <c r="F778" s="21" t="n">
        <v>0</v>
      </c>
      <c r="G778" s="30" t="s">
        <v>3432</v>
      </c>
    </row>
    <row r="779" customFormat="false" ht="15" hidden="false" customHeight="false" outlineLevel="0" collapsed="false">
      <c r="A779" s="28" t="n">
        <v>34015</v>
      </c>
      <c r="B779" s="28" t="n">
        <v>34021</v>
      </c>
      <c r="C779" s="21" t="n">
        <v>0</v>
      </c>
      <c r="D779" s="21" t="n">
        <v>0</v>
      </c>
      <c r="E779" s="21" t="n">
        <v>0</v>
      </c>
      <c r="F779" s="21" t="n">
        <v>0</v>
      </c>
      <c r="G779" s="30" t="s">
        <v>3432</v>
      </c>
    </row>
    <row r="780" customFormat="false" ht="15" hidden="false" customHeight="false" outlineLevel="0" collapsed="false">
      <c r="A780" s="28" t="n">
        <v>34022</v>
      </c>
      <c r="B780" s="28" t="n">
        <v>34028</v>
      </c>
      <c r="C780" s="21" t="n">
        <v>0</v>
      </c>
      <c r="D780" s="21" t="n">
        <v>0</v>
      </c>
      <c r="E780" s="21" t="n">
        <v>0</v>
      </c>
      <c r="F780" s="21" t="n">
        <v>0</v>
      </c>
      <c r="G780" s="30" t="s">
        <v>3432</v>
      </c>
    </row>
    <row r="781" customFormat="false" ht="15" hidden="false" customHeight="false" outlineLevel="0" collapsed="false">
      <c r="A781" s="28" t="n">
        <v>34029</v>
      </c>
      <c r="B781" s="28" t="n">
        <v>34035</v>
      </c>
      <c r="C781" s="21" t="n">
        <v>0</v>
      </c>
      <c r="D781" s="21" t="n">
        <v>0</v>
      </c>
      <c r="E781" s="21" t="n">
        <v>0</v>
      </c>
      <c r="F781" s="21" t="n">
        <v>0</v>
      </c>
      <c r="G781" s="30" t="s">
        <v>3432</v>
      </c>
    </row>
    <row r="782" customFormat="false" ht="15" hidden="false" customHeight="false" outlineLevel="0" collapsed="false">
      <c r="A782" s="28" t="n">
        <v>34036</v>
      </c>
      <c r="B782" s="28" t="n">
        <v>34042</v>
      </c>
      <c r="C782" s="21" t="n">
        <v>0</v>
      </c>
      <c r="D782" s="21" t="n">
        <v>0</v>
      </c>
      <c r="E782" s="21" t="n">
        <v>0</v>
      </c>
      <c r="F782" s="21" t="n">
        <v>0</v>
      </c>
      <c r="G782" s="30" t="s">
        <v>3432</v>
      </c>
    </row>
    <row r="783" customFormat="false" ht="15" hidden="false" customHeight="false" outlineLevel="0" collapsed="false">
      <c r="A783" s="28" t="n">
        <v>34043</v>
      </c>
      <c r="B783" s="28" t="n">
        <v>34049</v>
      </c>
      <c r="C783" s="21" t="n">
        <v>0</v>
      </c>
      <c r="D783" s="21" t="n">
        <v>0</v>
      </c>
      <c r="E783" s="21" t="n">
        <v>0</v>
      </c>
      <c r="F783" s="21" t="n">
        <v>0</v>
      </c>
      <c r="G783" s="30" t="s">
        <v>3432</v>
      </c>
    </row>
    <row r="784" customFormat="false" ht="15" hidden="false" customHeight="false" outlineLevel="0" collapsed="false">
      <c r="A784" s="28" t="n">
        <v>34050</v>
      </c>
      <c r="B784" s="28" t="n">
        <v>34056</v>
      </c>
      <c r="C784" s="21" t="n">
        <v>0</v>
      </c>
      <c r="D784" s="21" t="n">
        <v>0</v>
      </c>
      <c r="E784" s="21" t="n">
        <v>0</v>
      </c>
      <c r="F784" s="21" t="n">
        <v>0</v>
      </c>
      <c r="G784" s="30" t="s">
        <v>3432</v>
      </c>
    </row>
    <row r="785" customFormat="false" ht="15" hidden="false" customHeight="false" outlineLevel="0" collapsed="false">
      <c r="A785" s="28" t="n">
        <v>34057</v>
      </c>
      <c r="B785" s="28" t="n">
        <v>34063</v>
      </c>
      <c r="C785" s="21" t="n">
        <v>0</v>
      </c>
      <c r="D785" s="21" t="n">
        <v>0</v>
      </c>
      <c r="E785" s="21" t="n">
        <v>0</v>
      </c>
      <c r="F785" s="21" t="n">
        <v>0</v>
      </c>
      <c r="G785" s="30" t="s">
        <v>3432</v>
      </c>
    </row>
    <row r="786" customFormat="false" ht="15" hidden="false" customHeight="false" outlineLevel="0" collapsed="false">
      <c r="A786" s="28" t="n">
        <v>34064</v>
      </c>
      <c r="B786" s="28" t="n">
        <v>34070</v>
      </c>
      <c r="C786" s="21" t="n">
        <v>0</v>
      </c>
      <c r="D786" s="21" t="n">
        <v>0</v>
      </c>
      <c r="E786" s="21" t="n">
        <v>0</v>
      </c>
      <c r="F786" s="21" t="n">
        <v>0</v>
      </c>
      <c r="G786" s="30" t="s">
        <v>3432</v>
      </c>
    </row>
    <row r="787" customFormat="false" ht="15" hidden="false" customHeight="false" outlineLevel="0" collapsed="false">
      <c r="A787" s="28" t="n">
        <v>34071</v>
      </c>
      <c r="B787" s="28" t="n">
        <v>34077</v>
      </c>
      <c r="C787" s="21" t="n">
        <v>0</v>
      </c>
      <c r="D787" s="21" t="n">
        <v>0</v>
      </c>
      <c r="E787" s="21" t="n">
        <v>0</v>
      </c>
      <c r="F787" s="21" t="n">
        <v>0</v>
      </c>
      <c r="G787" s="30" t="s">
        <v>3432</v>
      </c>
    </row>
    <row r="788" customFormat="false" ht="15" hidden="false" customHeight="false" outlineLevel="0" collapsed="false">
      <c r="A788" s="28" t="n">
        <v>34078</v>
      </c>
      <c r="B788" s="28" t="n">
        <v>34084</v>
      </c>
      <c r="C788" s="21" t="n">
        <v>0</v>
      </c>
      <c r="D788" s="21" t="n">
        <v>0</v>
      </c>
      <c r="E788" s="21" t="n">
        <v>0</v>
      </c>
      <c r="F788" s="21" t="n">
        <v>0</v>
      </c>
      <c r="G788" s="30" t="s">
        <v>3432</v>
      </c>
    </row>
    <row r="789" customFormat="false" ht="15" hidden="false" customHeight="false" outlineLevel="0" collapsed="false">
      <c r="A789" s="28" t="n">
        <v>34085</v>
      </c>
      <c r="B789" s="28" t="n">
        <v>34091</v>
      </c>
      <c r="C789" s="21" t="n">
        <v>0</v>
      </c>
      <c r="D789" s="21" t="n">
        <v>0</v>
      </c>
      <c r="E789" s="21" t="n">
        <v>0</v>
      </c>
      <c r="F789" s="21" t="n">
        <v>0</v>
      </c>
      <c r="G789" s="30" t="s">
        <v>3432</v>
      </c>
    </row>
    <row r="790" customFormat="false" ht="15" hidden="false" customHeight="false" outlineLevel="0" collapsed="false">
      <c r="A790" s="28" t="n">
        <v>34092</v>
      </c>
      <c r="B790" s="28" t="n">
        <v>34098</v>
      </c>
      <c r="C790" s="21" t="n">
        <v>0</v>
      </c>
      <c r="D790" s="21" t="n">
        <v>0</v>
      </c>
      <c r="E790" s="21" t="n">
        <v>0</v>
      </c>
      <c r="F790" s="21" t="n">
        <v>0</v>
      </c>
      <c r="G790" s="30" t="s">
        <v>3432</v>
      </c>
    </row>
    <row r="791" customFormat="false" ht="15" hidden="false" customHeight="false" outlineLevel="0" collapsed="false">
      <c r="A791" s="28" t="n">
        <v>34099</v>
      </c>
      <c r="B791" s="28" t="n">
        <v>34105</v>
      </c>
      <c r="C791" s="21" t="n">
        <v>0</v>
      </c>
      <c r="D791" s="21" t="n">
        <v>0</v>
      </c>
      <c r="E791" s="21" t="n">
        <v>0</v>
      </c>
      <c r="F791" s="21" t="n">
        <v>0</v>
      </c>
      <c r="G791" s="30" t="s">
        <v>3432</v>
      </c>
    </row>
    <row r="792" customFormat="false" ht="15" hidden="false" customHeight="false" outlineLevel="0" collapsed="false">
      <c r="A792" s="28" t="n">
        <v>34106</v>
      </c>
      <c r="B792" s="28" t="n">
        <v>34112</v>
      </c>
      <c r="C792" s="21" t="n">
        <v>0</v>
      </c>
      <c r="D792" s="21" t="n">
        <v>0</v>
      </c>
      <c r="E792" s="21" t="n">
        <v>0</v>
      </c>
      <c r="F792" s="21" t="n">
        <v>0</v>
      </c>
      <c r="G792" s="30" t="s">
        <v>3432</v>
      </c>
    </row>
    <row r="793" customFormat="false" ht="15" hidden="false" customHeight="false" outlineLevel="0" collapsed="false">
      <c r="A793" s="28" t="n">
        <v>34113</v>
      </c>
      <c r="B793" s="28" t="n">
        <v>34119</v>
      </c>
      <c r="C793" s="21" t="n">
        <v>0</v>
      </c>
      <c r="D793" s="21" t="n">
        <v>0</v>
      </c>
      <c r="E793" s="21" t="n">
        <v>0</v>
      </c>
      <c r="F793" s="21" t="n">
        <v>0</v>
      </c>
      <c r="G793" s="30" t="s">
        <v>3432</v>
      </c>
    </row>
    <row r="794" customFormat="false" ht="15" hidden="false" customHeight="false" outlineLevel="0" collapsed="false">
      <c r="A794" s="28" t="n">
        <v>34120</v>
      </c>
      <c r="B794" s="28" t="n">
        <v>34126</v>
      </c>
      <c r="C794" s="21" t="n">
        <v>0</v>
      </c>
      <c r="D794" s="21" t="n">
        <v>0</v>
      </c>
      <c r="E794" s="21" t="n">
        <v>0</v>
      </c>
      <c r="F794" s="21" t="n">
        <v>0</v>
      </c>
      <c r="G794" s="30" t="s">
        <v>3432</v>
      </c>
    </row>
    <row r="795" customFormat="false" ht="15" hidden="false" customHeight="false" outlineLevel="0" collapsed="false">
      <c r="A795" s="28" t="n">
        <v>34127</v>
      </c>
      <c r="B795" s="28" t="n">
        <v>34133</v>
      </c>
      <c r="C795" s="21" t="n">
        <v>0</v>
      </c>
      <c r="D795" s="21" t="n">
        <v>0</v>
      </c>
      <c r="E795" s="21" t="n">
        <v>0</v>
      </c>
      <c r="F795" s="21" t="n">
        <v>0</v>
      </c>
      <c r="G795" s="30" t="s">
        <v>3432</v>
      </c>
    </row>
    <row r="796" customFormat="false" ht="15" hidden="false" customHeight="false" outlineLevel="0" collapsed="false">
      <c r="A796" s="28" t="n">
        <v>34134</v>
      </c>
      <c r="B796" s="28" t="n">
        <v>34140</v>
      </c>
      <c r="C796" s="21" t="n">
        <v>0</v>
      </c>
      <c r="D796" s="21" t="n">
        <v>0</v>
      </c>
      <c r="E796" s="21" t="n">
        <v>0</v>
      </c>
      <c r="F796" s="21" t="n">
        <v>0</v>
      </c>
      <c r="G796" s="30" t="s">
        <v>3432</v>
      </c>
    </row>
    <row r="797" customFormat="false" ht="15" hidden="false" customHeight="false" outlineLevel="0" collapsed="false">
      <c r="A797" s="28" t="n">
        <v>34141</v>
      </c>
      <c r="B797" s="28" t="n">
        <v>34147</v>
      </c>
      <c r="C797" s="21" t="n">
        <v>0</v>
      </c>
      <c r="D797" s="21" t="n">
        <v>0</v>
      </c>
      <c r="E797" s="21" t="n">
        <v>0</v>
      </c>
      <c r="F797" s="21" t="n">
        <v>0</v>
      </c>
      <c r="G797" s="30" t="s">
        <v>3432</v>
      </c>
    </row>
    <row r="798" customFormat="false" ht="15" hidden="false" customHeight="false" outlineLevel="0" collapsed="false">
      <c r="A798" s="28" t="n">
        <v>34148</v>
      </c>
      <c r="B798" s="28" t="n">
        <v>34154</v>
      </c>
      <c r="C798" s="21" t="n">
        <v>0</v>
      </c>
      <c r="D798" s="21" t="n">
        <v>0</v>
      </c>
      <c r="E798" s="21" t="n">
        <v>0</v>
      </c>
      <c r="F798" s="21" t="n">
        <v>0</v>
      </c>
      <c r="G798" s="30" t="s">
        <v>3432</v>
      </c>
    </row>
    <row r="799" customFormat="false" ht="15" hidden="false" customHeight="false" outlineLevel="0" collapsed="false">
      <c r="A799" s="28" t="n">
        <v>34155</v>
      </c>
      <c r="B799" s="28" t="n">
        <v>34161</v>
      </c>
      <c r="C799" s="21" t="n">
        <v>0</v>
      </c>
      <c r="D799" s="21" t="n">
        <v>0</v>
      </c>
      <c r="E799" s="21" t="n">
        <v>0</v>
      </c>
      <c r="F799" s="21" t="n">
        <v>0</v>
      </c>
      <c r="G799" s="30" t="s">
        <v>3432</v>
      </c>
    </row>
    <row r="800" customFormat="false" ht="15" hidden="false" customHeight="false" outlineLevel="0" collapsed="false">
      <c r="A800" s="28" t="n">
        <v>34162</v>
      </c>
      <c r="B800" s="28" t="n">
        <v>34168</v>
      </c>
      <c r="C800" s="21" t="n">
        <v>0</v>
      </c>
      <c r="D800" s="21" t="n">
        <v>0</v>
      </c>
      <c r="E800" s="21" t="n">
        <v>0</v>
      </c>
      <c r="F800" s="21" t="n">
        <v>0</v>
      </c>
      <c r="G800" s="30" t="s">
        <v>3432</v>
      </c>
    </row>
    <row r="801" customFormat="false" ht="15" hidden="false" customHeight="false" outlineLevel="0" collapsed="false">
      <c r="A801" s="28" t="n">
        <v>34169</v>
      </c>
      <c r="B801" s="28" t="n">
        <v>34175</v>
      </c>
      <c r="C801" s="21" t="n">
        <v>0</v>
      </c>
      <c r="D801" s="21" t="n">
        <v>0</v>
      </c>
      <c r="E801" s="21" t="n">
        <v>0</v>
      </c>
      <c r="F801" s="21" t="n">
        <v>0</v>
      </c>
      <c r="G801" s="30" t="s">
        <v>3432</v>
      </c>
    </row>
    <row r="802" customFormat="false" ht="15" hidden="false" customHeight="false" outlineLevel="0" collapsed="false">
      <c r="A802" s="28" t="n">
        <v>34176</v>
      </c>
      <c r="B802" s="28" t="n">
        <v>34182</v>
      </c>
      <c r="C802" s="21" t="n">
        <v>0</v>
      </c>
      <c r="D802" s="21" t="n">
        <v>0</v>
      </c>
      <c r="E802" s="21" t="n">
        <v>0</v>
      </c>
      <c r="F802" s="21" t="n">
        <v>0</v>
      </c>
      <c r="G802" s="30" t="s">
        <v>3432</v>
      </c>
    </row>
    <row r="803" customFormat="false" ht="15" hidden="false" customHeight="false" outlineLevel="0" collapsed="false">
      <c r="A803" s="28" t="n">
        <v>34183</v>
      </c>
      <c r="B803" s="28" t="n">
        <v>34189</v>
      </c>
      <c r="C803" s="21" t="n">
        <v>0</v>
      </c>
      <c r="D803" s="21" t="n">
        <v>0</v>
      </c>
      <c r="E803" s="21" t="n">
        <v>0</v>
      </c>
      <c r="F803" s="21" t="n">
        <v>0</v>
      </c>
      <c r="G803" s="30" t="s">
        <v>3432</v>
      </c>
    </row>
    <row r="804" customFormat="false" ht="15" hidden="false" customHeight="false" outlineLevel="0" collapsed="false">
      <c r="A804" s="28" t="n">
        <v>34190</v>
      </c>
      <c r="B804" s="28" t="n">
        <v>34196</v>
      </c>
      <c r="C804" s="21" t="n">
        <v>0</v>
      </c>
      <c r="D804" s="21" t="n">
        <v>0</v>
      </c>
      <c r="E804" s="21" t="n">
        <v>0</v>
      </c>
      <c r="F804" s="21" t="n">
        <v>0</v>
      </c>
      <c r="G804" s="30" t="s">
        <v>3432</v>
      </c>
    </row>
    <row r="805" customFormat="false" ht="15" hidden="false" customHeight="false" outlineLevel="0" collapsed="false">
      <c r="A805" s="28" t="n">
        <v>34197</v>
      </c>
      <c r="B805" s="28" t="n">
        <v>34203</v>
      </c>
      <c r="C805" s="21" t="n">
        <v>0</v>
      </c>
      <c r="D805" s="21" t="n">
        <v>0</v>
      </c>
      <c r="E805" s="21" t="n">
        <v>0</v>
      </c>
      <c r="F805" s="21" t="n">
        <v>0</v>
      </c>
      <c r="G805" s="30" t="s">
        <v>3432</v>
      </c>
    </row>
    <row r="806" customFormat="false" ht="15" hidden="false" customHeight="false" outlineLevel="0" collapsed="false">
      <c r="A806" s="28" t="n">
        <v>34204</v>
      </c>
      <c r="B806" s="28" t="n">
        <v>34210</v>
      </c>
      <c r="C806" s="21" t="n">
        <v>0</v>
      </c>
      <c r="D806" s="21" t="n">
        <v>0</v>
      </c>
      <c r="E806" s="21" t="n">
        <v>0</v>
      </c>
      <c r="F806" s="21" t="n">
        <v>0</v>
      </c>
      <c r="G806" s="30" t="s">
        <v>3432</v>
      </c>
    </row>
    <row r="807" customFormat="false" ht="15" hidden="false" customHeight="false" outlineLevel="0" collapsed="false">
      <c r="A807" s="28" t="n">
        <v>34211</v>
      </c>
      <c r="B807" s="28" t="n">
        <v>34217</v>
      </c>
      <c r="C807" s="21" t="n">
        <v>0</v>
      </c>
      <c r="D807" s="21" t="n">
        <v>0</v>
      </c>
      <c r="E807" s="21" t="n">
        <v>0</v>
      </c>
      <c r="F807" s="21" t="n">
        <v>0</v>
      </c>
      <c r="G807" s="30" t="s">
        <v>3432</v>
      </c>
    </row>
    <row r="808" customFormat="false" ht="15" hidden="false" customHeight="false" outlineLevel="0" collapsed="false">
      <c r="A808" s="28" t="n">
        <v>34218</v>
      </c>
      <c r="B808" s="28" t="n">
        <v>34224</v>
      </c>
      <c r="C808" s="21" t="n">
        <v>0</v>
      </c>
      <c r="D808" s="21" t="n">
        <v>0</v>
      </c>
      <c r="E808" s="21" t="n">
        <v>0</v>
      </c>
      <c r="F808" s="21" t="n">
        <v>0</v>
      </c>
      <c r="G808" s="30" t="s">
        <v>3432</v>
      </c>
    </row>
    <row r="809" customFormat="false" ht="15" hidden="false" customHeight="false" outlineLevel="0" collapsed="false">
      <c r="A809" s="28" t="n">
        <v>34225</v>
      </c>
      <c r="B809" s="28" t="n">
        <v>34231</v>
      </c>
      <c r="C809" s="21" t="n">
        <v>0</v>
      </c>
      <c r="D809" s="21" t="n">
        <v>0</v>
      </c>
      <c r="E809" s="21" t="n">
        <v>0</v>
      </c>
      <c r="F809" s="21" t="n">
        <v>0</v>
      </c>
      <c r="G809" s="30" t="s">
        <v>3432</v>
      </c>
    </row>
    <row r="810" customFormat="false" ht="15" hidden="false" customHeight="false" outlineLevel="0" collapsed="false">
      <c r="A810" s="28" t="n">
        <v>34232</v>
      </c>
      <c r="B810" s="28" t="n">
        <v>34238</v>
      </c>
      <c r="C810" s="21" t="n">
        <v>0</v>
      </c>
      <c r="D810" s="21" t="n">
        <v>0</v>
      </c>
      <c r="E810" s="21" t="n">
        <v>0</v>
      </c>
      <c r="F810" s="21" t="n">
        <v>0</v>
      </c>
      <c r="G810" s="30" t="s">
        <v>3432</v>
      </c>
    </row>
    <row r="811" customFormat="false" ht="15" hidden="false" customHeight="false" outlineLevel="0" collapsed="false">
      <c r="A811" s="28" t="n">
        <v>34239</v>
      </c>
      <c r="B811" s="28" t="n">
        <v>34245</v>
      </c>
      <c r="C811" s="21" t="n">
        <v>0</v>
      </c>
      <c r="D811" s="21" t="n">
        <v>0</v>
      </c>
      <c r="E811" s="21" t="n">
        <v>0</v>
      </c>
      <c r="F811" s="21" t="n">
        <v>0</v>
      </c>
      <c r="G811" s="30" t="s">
        <v>3432</v>
      </c>
    </row>
    <row r="812" customFormat="false" ht="15" hidden="false" customHeight="false" outlineLevel="0" collapsed="false">
      <c r="A812" s="28" t="n">
        <v>34246</v>
      </c>
      <c r="B812" s="28" t="n">
        <v>34252</v>
      </c>
      <c r="C812" s="21" t="n">
        <v>0</v>
      </c>
      <c r="D812" s="21" t="n">
        <v>0</v>
      </c>
      <c r="E812" s="21" t="n">
        <v>0</v>
      </c>
      <c r="F812" s="21" t="n">
        <v>0</v>
      </c>
      <c r="G812" s="30" t="s">
        <v>3432</v>
      </c>
    </row>
    <row r="813" customFormat="false" ht="15" hidden="false" customHeight="false" outlineLevel="0" collapsed="false">
      <c r="A813" s="28" t="n">
        <v>34253</v>
      </c>
      <c r="B813" s="28" t="n">
        <v>34259</v>
      </c>
      <c r="C813" s="21" t="n">
        <v>0</v>
      </c>
      <c r="D813" s="21" t="n">
        <v>0</v>
      </c>
      <c r="E813" s="21" t="n">
        <v>0</v>
      </c>
      <c r="F813" s="21" t="n">
        <v>0</v>
      </c>
      <c r="G813" s="30" t="s">
        <v>3432</v>
      </c>
    </row>
    <row r="814" customFormat="false" ht="15" hidden="false" customHeight="false" outlineLevel="0" collapsed="false">
      <c r="A814" s="28" t="n">
        <v>34260</v>
      </c>
      <c r="B814" s="28" t="n">
        <v>34266</v>
      </c>
      <c r="C814" s="21" t="n">
        <v>0</v>
      </c>
      <c r="D814" s="21" t="n">
        <v>0</v>
      </c>
      <c r="E814" s="21" t="n">
        <v>0</v>
      </c>
      <c r="F814" s="21" t="n">
        <v>0</v>
      </c>
      <c r="G814" s="30" t="s">
        <v>3432</v>
      </c>
    </row>
    <row r="815" customFormat="false" ht="15" hidden="false" customHeight="false" outlineLevel="0" collapsed="false">
      <c r="A815" s="28" t="n">
        <v>34267</v>
      </c>
      <c r="B815" s="28" t="n">
        <v>34273</v>
      </c>
      <c r="C815" s="21" t="n">
        <v>0</v>
      </c>
      <c r="D815" s="21" t="n">
        <v>0</v>
      </c>
      <c r="E815" s="21" t="n">
        <v>0</v>
      </c>
      <c r="F815" s="21" t="n">
        <v>0</v>
      </c>
      <c r="G815" s="30" t="s">
        <v>3432</v>
      </c>
    </row>
    <row r="816" customFormat="false" ht="15" hidden="false" customHeight="false" outlineLevel="0" collapsed="false">
      <c r="A816" s="28" t="n">
        <v>34274</v>
      </c>
      <c r="B816" s="28" t="n">
        <v>34280</v>
      </c>
      <c r="C816" s="21" t="n">
        <v>0</v>
      </c>
      <c r="D816" s="21" t="n">
        <v>0</v>
      </c>
      <c r="E816" s="21" t="n">
        <v>0</v>
      </c>
      <c r="F816" s="21" t="n">
        <v>0</v>
      </c>
      <c r="G816" s="30" t="s">
        <v>3432</v>
      </c>
    </row>
    <row r="817" customFormat="false" ht="15" hidden="false" customHeight="false" outlineLevel="0" collapsed="false">
      <c r="A817" s="28" t="n">
        <v>34281</v>
      </c>
      <c r="B817" s="28" t="n">
        <v>34287</v>
      </c>
      <c r="C817" s="21" t="n">
        <v>0</v>
      </c>
      <c r="D817" s="21" t="n">
        <v>0</v>
      </c>
      <c r="E817" s="21" t="n">
        <v>0</v>
      </c>
      <c r="F817" s="21" t="n">
        <v>0</v>
      </c>
      <c r="G817" s="30" t="s">
        <v>3432</v>
      </c>
    </row>
    <row r="818" customFormat="false" ht="15" hidden="false" customHeight="false" outlineLevel="0" collapsed="false">
      <c r="A818" s="28" t="n">
        <v>34288</v>
      </c>
      <c r="B818" s="28" t="n">
        <v>34294</v>
      </c>
      <c r="C818" s="21" t="n">
        <v>0</v>
      </c>
      <c r="D818" s="21" t="n">
        <v>0</v>
      </c>
      <c r="E818" s="21" t="n">
        <v>0</v>
      </c>
      <c r="F818" s="21" t="n">
        <v>0</v>
      </c>
      <c r="G818" s="30" t="s">
        <v>3432</v>
      </c>
    </row>
    <row r="819" customFormat="false" ht="15" hidden="false" customHeight="false" outlineLevel="0" collapsed="false">
      <c r="A819" s="28" t="n">
        <v>34295</v>
      </c>
      <c r="B819" s="28" t="n">
        <v>34301</v>
      </c>
      <c r="C819" s="21" t="n">
        <v>0</v>
      </c>
      <c r="D819" s="21" t="n">
        <v>0</v>
      </c>
      <c r="E819" s="21" t="n">
        <v>0</v>
      </c>
      <c r="F819" s="21" t="n">
        <v>0</v>
      </c>
      <c r="G819" s="30" t="s">
        <v>3432</v>
      </c>
    </row>
    <row r="820" customFormat="false" ht="15" hidden="false" customHeight="false" outlineLevel="0" collapsed="false">
      <c r="A820" s="28" t="n">
        <v>34302</v>
      </c>
      <c r="B820" s="28" t="n">
        <v>34308</v>
      </c>
      <c r="C820" s="21" t="n">
        <v>0</v>
      </c>
      <c r="D820" s="21" t="n">
        <v>0</v>
      </c>
      <c r="E820" s="21" t="n">
        <v>0</v>
      </c>
      <c r="F820" s="21" t="n">
        <v>0</v>
      </c>
      <c r="G820" s="30" t="s">
        <v>3432</v>
      </c>
    </row>
    <row r="821" customFormat="false" ht="15" hidden="false" customHeight="false" outlineLevel="0" collapsed="false">
      <c r="A821" s="28" t="n">
        <v>34309</v>
      </c>
      <c r="B821" s="28" t="n">
        <v>34315</v>
      </c>
      <c r="C821" s="21" t="n">
        <v>0</v>
      </c>
      <c r="D821" s="21" t="n">
        <v>0</v>
      </c>
      <c r="E821" s="21" t="n">
        <v>0</v>
      </c>
      <c r="F821" s="21" t="n">
        <v>0</v>
      </c>
      <c r="G821" s="30" t="s">
        <v>3432</v>
      </c>
    </row>
    <row r="822" customFormat="false" ht="15" hidden="false" customHeight="false" outlineLevel="0" collapsed="false">
      <c r="A822" s="28" t="n">
        <v>34316</v>
      </c>
      <c r="B822" s="28" t="n">
        <v>34322</v>
      </c>
      <c r="C822" s="21" t="n">
        <v>0</v>
      </c>
      <c r="D822" s="21" t="n">
        <v>0</v>
      </c>
      <c r="E822" s="21" t="n">
        <v>0</v>
      </c>
      <c r="F822" s="21" t="n">
        <v>0</v>
      </c>
      <c r="G822" s="30" t="s">
        <v>3432</v>
      </c>
    </row>
    <row r="823" customFormat="false" ht="15" hidden="false" customHeight="false" outlineLevel="0" collapsed="false">
      <c r="A823" s="28" t="n">
        <v>34323</v>
      </c>
      <c r="B823" s="28" t="n">
        <v>34329</v>
      </c>
      <c r="C823" s="21" t="n">
        <v>0</v>
      </c>
      <c r="D823" s="21" t="n">
        <v>0</v>
      </c>
      <c r="E823" s="21" t="n">
        <v>0</v>
      </c>
      <c r="F823" s="21" t="n">
        <v>0</v>
      </c>
      <c r="G823" s="30" t="s">
        <v>3432</v>
      </c>
    </row>
    <row r="824" customFormat="false" ht="15" hidden="false" customHeight="false" outlineLevel="0" collapsed="false">
      <c r="A824" s="28" t="n">
        <v>34330</v>
      </c>
      <c r="B824" s="28" t="n">
        <v>34336</v>
      </c>
      <c r="C824" s="21" t="n">
        <v>0</v>
      </c>
      <c r="D824" s="21" t="n">
        <v>0</v>
      </c>
      <c r="E824" s="21" t="n">
        <v>0</v>
      </c>
      <c r="F824" s="21" t="n">
        <v>0</v>
      </c>
      <c r="G824" s="30" t="s">
        <v>3432</v>
      </c>
    </row>
    <row r="825" customFormat="false" ht="15" hidden="false" customHeight="false" outlineLevel="0" collapsed="false">
      <c r="A825" s="28" t="n">
        <v>34337</v>
      </c>
      <c r="B825" s="28" t="n">
        <v>34343</v>
      </c>
      <c r="C825" s="21" t="n">
        <v>0</v>
      </c>
      <c r="D825" s="21" t="n">
        <v>0</v>
      </c>
      <c r="E825" s="21" t="n">
        <v>0</v>
      </c>
      <c r="F825" s="21" t="n">
        <v>0</v>
      </c>
      <c r="G825" s="30" t="s">
        <v>3432</v>
      </c>
    </row>
    <row r="826" customFormat="false" ht="15" hidden="false" customHeight="false" outlineLevel="0" collapsed="false">
      <c r="A826" s="28" t="n">
        <v>34344</v>
      </c>
      <c r="B826" s="28" t="n">
        <v>34350</v>
      </c>
      <c r="C826" s="21" t="n">
        <v>0</v>
      </c>
      <c r="D826" s="21" t="n">
        <v>0</v>
      </c>
      <c r="E826" s="21" t="n">
        <v>0</v>
      </c>
      <c r="F826" s="21" t="n">
        <v>0</v>
      </c>
      <c r="G826" s="30" t="s">
        <v>3432</v>
      </c>
    </row>
    <row r="827" customFormat="false" ht="15" hidden="false" customHeight="false" outlineLevel="0" collapsed="false">
      <c r="A827" s="28" t="n">
        <v>34351</v>
      </c>
      <c r="B827" s="28" t="n">
        <v>34357</v>
      </c>
      <c r="C827" s="21" t="n">
        <v>0</v>
      </c>
      <c r="D827" s="21" t="n">
        <v>0</v>
      </c>
      <c r="E827" s="21" t="n">
        <v>0</v>
      </c>
      <c r="F827" s="21" t="n">
        <v>0</v>
      </c>
      <c r="G827" s="30" t="s">
        <v>3432</v>
      </c>
    </row>
    <row r="828" customFormat="false" ht="15" hidden="false" customHeight="false" outlineLevel="0" collapsed="false">
      <c r="A828" s="28" t="n">
        <v>34358</v>
      </c>
      <c r="B828" s="28" t="n">
        <v>34364</v>
      </c>
      <c r="C828" s="21" t="n">
        <v>0</v>
      </c>
      <c r="D828" s="21" t="n">
        <v>0</v>
      </c>
      <c r="E828" s="21" t="n">
        <v>0</v>
      </c>
      <c r="F828" s="21" t="n">
        <v>0</v>
      </c>
      <c r="G828" s="30" t="s">
        <v>3432</v>
      </c>
    </row>
    <row r="829" customFormat="false" ht="15" hidden="false" customHeight="false" outlineLevel="0" collapsed="false">
      <c r="A829" s="28" t="n">
        <v>34365</v>
      </c>
      <c r="B829" s="28" t="n">
        <v>34371</v>
      </c>
      <c r="C829" s="21" t="n">
        <v>0</v>
      </c>
      <c r="D829" s="21" t="n">
        <v>0</v>
      </c>
      <c r="E829" s="21" t="n">
        <v>0</v>
      </c>
      <c r="F829" s="21" t="n">
        <v>0</v>
      </c>
      <c r="G829" s="30" t="s">
        <v>3432</v>
      </c>
    </row>
    <row r="830" customFormat="false" ht="15" hidden="false" customHeight="false" outlineLevel="0" collapsed="false">
      <c r="A830" s="28" t="n">
        <v>34372</v>
      </c>
      <c r="B830" s="28" t="n">
        <v>34378</v>
      </c>
      <c r="C830" s="21" t="n">
        <v>0</v>
      </c>
      <c r="D830" s="21" t="n">
        <v>0</v>
      </c>
      <c r="E830" s="21" t="n">
        <v>0</v>
      </c>
      <c r="F830" s="21" t="n">
        <v>0</v>
      </c>
      <c r="G830" s="30" t="s">
        <v>3432</v>
      </c>
    </row>
    <row r="831" customFormat="false" ht="15" hidden="false" customHeight="false" outlineLevel="0" collapsed="false">
      <c r="A831" s="28" t="n">
        <v>34379</v>
      </c>
      <c r="B831" s="28" t="n">
        <v>34385</v>
      </c>
      <c r="C831" s="21" t="n">
        <v>0</v>
      </c>
      <c r="D831" s="21" t="n">
        <v>0</v>
      </c>
      <c r="E831" s="21" t="n">
        <v>0</v>
      </c>
      <c r="F831" s="21" t="n">
        <v>0</v>
      </c>
      <c r="G831" s="30" t="s">
        <v>3432</v>
      </c>
    </row>
    <row r="832" customFormat="false" ht="15" hidden="false" customHeight="false" outlineLevel="0" collapsed="false">
      <c r="A832" s="28" t="n">
        <v>34386</v>
      </c>
      <c r="B832" s="28" t="n">
        <v>34392</v>
      </c>
      <c r="C832" s="21" t="n">
        <v>0</v>
      </c>
      <c r="D832" s="21" t="n">
        <v>0</v>
      </c>
      <c r="E832" s="21" t="n">
        <v>0</v>
      </c>
      <c r="F832" s="21" t="n">
        <v>0</v>
      </c>
      <c r="G832" s="30" t="s">
        <v>3432</v>
      </c>
    </row>
    <row r="833" customFormat="false" ht="15" hidden="false" customHeight="false" outlineLevel="0" collapsed="false">
      <c r="A833" s="28" t="n">
        <v>34393</v>
      </c>
      <c r="B833" s="28" t="n">
        <v>34399</v>
      </c>
      <c r="C833" s="21" t="n">
        <v>0</v>
      </c>
      <c r="D833" s="21" t="n">
        <v>0</v>
      </c>
      <c r="E833" s="21" t="n">
        <v>0</v>
      </c>
      <c r="F833" s="21" t="n">
        <v>0</v>
      </c>
      <c r="G833" s="30" t="s">
        <v>3432</v>
      </c>
    </row>
    <row r="834" customFormat="false" ht="15" hidden="false" customHeight="false" outlineLevel="0" collapsed="false">
      <c r="A834" s="28" t="n">
        <v>34400</v>
      </c>
      <c r="B834" s="28" t="n">
        <v>34406</v>
      </c>
      <c r="C834" s="21" t="n">
        <v>0</v>
      </c>
      <c r="D834" s="21" t="n">
        <v>0</v>
      </c>
      <c r="E834" s="21" t="n">
        <v>0</v>
      </c>
      <c r="F834" s="21" t="n">
        <v>0</v>
      </c>
      <c r="G834" s="30" t="s">
        <v>3432</v>
      </c>
    </row>
    <row r="835" customFormat="false" ht="15" hidden="false" customHeight="false" outlineLevel="0" collapsed="false">
      <c r="A835" s="28" t="n">
        <v>34407</v>
      </c>
      <c r="B835" s="28" t="n">
        <v>34413</v>
      </c>
      <c r="C835" s="21" t="n">
        <v>0</v>
      </c>
      <c r="D835" s="21" t="n">
        <v>0</v>
      </c>
      <c r="E835" s="21" t="n">
        <v>0</v>
      </c>
      <c r="F835" s="21" t="n">
        <v>0</v>
      </c>
      <c r="G835" s="30" t="s">
        <v>3432</v>
      </c>
    </row>
    <row r="836" customFormat="false" ht="15" hidden="false" customHeight="false" outlineLevel="0" collapsed="false">
      <c r="A836" s="28" t="n">
        <v>34414</v>
      </c>
      <c r="B836" s="28" t="n">
        <v>34420</v>
      </c>
      <c r="C836" s="21" t="n">
        <v>0</v>
      </c>
      <c r="D836" s="21" t="n">
        <v>0</v>
      </c>
      <c r="E836" s="21" t="n">
        <v>0</v>
      </c>
      <c r="F836" s="21" t="n">
        <v>0</v>
      </c>
      <c r="G836" s="30" t="s">
        <v>3432</v>
      </c>
    </row>
    <row r="837" customFormat="false" ht="15" hidden="false" customHeight="false" outlineLevel="0" collapsed="false">
      <c r="A837" s="28" t="n">
        <v>34421</v>
      </c>
      <c r="B837" s="28" t="n">
        <v>34427</v>
      </c>
      <c r="C837" s="21" t="n">
        <v>0</v>
      </c>
      <c r="D837" s="21" t="n">
        <v>0</v>
      </c>
      <c r="E837" s="21" t="n">
        <v>0</v>
      </c>
      <c r="F837" s="21" t="n">
        <v>0</v>
      </c>
      <c r="G837" s="30" t="s">
        <v>3432</v>
      </c>
    </row>
    <row r="838" customFormat="false" ht="15" hidden="false" customHeight="false" outlineLevel="0" collapsed="false">
      <c r="A838" s="28" t="n">
        <v>34428</v>
      </c>
      <c r="B838" s="28" t="n">
        <v>34434</v>
      </c>
      <c r="C838" s="21" t="n">
        <v>0</v>
      </c>
      <c r="D838" s="21" t="n">
        <v>0</v>
      </c>
      <c r="E838" s="21" t="n">
        <v>0</v>
      </c>
      <c r="F838" s="21" t="n">
        <v>0</v>
      </c>
      <c r="G838" s="30" t="s">
        <v>3432</v>
      </c>
    </row>
    <row r="839" customFormat="false" ht="15" hidden="false" customHeight="false" outlineLevel="0" collapsed="false">
      <c r="A839" s="28" t="n">
        <v>34435</v>
      </c>
      <c r="B839" s="28" t="n">
        <v>34441</v>
      </c>
      <c r="C839" s="21" t="n">
        <v>0</v>
      </c>
      <c r="D839" s="21" t="n">
        <v>0</v>
      </c>
      <c r="E839" s="21" t="n">
        <v>0</v>
      </c>
      <c r="F839" s="21" t="n">
        <v>0</v>
      </c>
      <c r="G839" s="30" t="s">
        <v>3432</v>
      </c>
    </row>
    <row r="840" customFormat="false" ht="15" hidden="false" customHeight="false" outlineLevel="0" collapsed="false">
      <c r="A840" s="28" t="n">
        <v>34442</v>
      </c>
      <c r="B840" s="28" t="n">
        <v>34448</v>
      </c>
      <c r="C840" s="21" t="n">
        <v>0</v>
      </c>
      <c r="D840" s="21" t="n">
        <v>0</v>
      </c>
      <c r="E840" s="21" t="n">
        <v>0</v>
      </c>
      <c r="F840" s="21" t="n">
        <v>0</v>
      </c>
      <c r="G840" s="30" t="s">
        <v>3432</v>
      </c>
    </row>
    <row r="841" customFormat="false" ht="15" hidden="false" customHeight="false" outlineLevel="0" collapsed="false">
      <c r="A841" s="28" t="n">
        <v>34449</v>
      </c>
      <c r="B841" s="28" t="n">
        <v>34455</v>
      </c>
      <c r="C841" s="21" t="n">
        <v>0</v>
      </c>
      <c r="D841" s="21" t="n">
        <v>0</v>
      </c>
      <c r="E841" s="21" t="n">
        <v>0</v>
      </c>
      <c r="F841" s="21" t="n">
        <v>0</v>
      </c>
      <c r="G841" s="30" t="s">
        <v>3432</v>
      </c>
    </row>
    <row r="842" customFormat="false" ht="15" hidden="false" customHeight="false" outlineLevel="0" collapsed="false">
      <c r="A842" s="28" t="n">
        <v>34456</v>
      </c>
      <c r="B842" s="28" t="n">
        <v>34462</v>
      </c>
      <c r="C842" s="21" t="n">
        <v>0</v>
      </c>
      <c r="D842" s="21" t="n">
        <v>0</v>
      </c>
      <c r="E842" s="21" t="n">
        <v>0</v>
      </c>
      <c r="F842" s="21" t="n">
        <v>0</v>
      </c>
      <c r="G842" s="30" t="s">
        <v>3432</v>
      </c>
    </row>
    <row r="843" customFormat="false" ht="15" hidden="false" customHeight="false" outlineLevel="0" collapsed="false">
      <c r="A843" s="28" t="n">
        <v>34463</v>
      </c>
      <c r="B843" s="28" t="n">
        <v>34469</v>
      </c>
      <c r="C843" s="21" t="n">
        <v>0</v>
      </c>
      <c r="D843" s="21" t="n">
        <v>0</v>
      </c>
      <c r="E843" s="21" t="n">
        <v>0</v>
      </c>
      <c r="F843" s="21" t="n">
        <v>0</v>
      </c>
      <c r="G843" s="30" t="s">
        <v>3432</v>
      </c>
    </row>
    <row r="844" customFormat="false" ht="15" hidden="false" customHeight="false" outlineLevel="0" collapsed="false">
      <c r="A844" s="28" t="n">
        <v>34470</v>
      </c>
      <c r="B844" s="28" t="n">
        <v>34476</v>
      </c>
      <c r="C844" s="21" t="n">
        <v>0</v>
      </c>
      <c r="D844" s="21" t="n">
        <v>0</v>
      </c>
      <c r="E844" s="21" t="n">
        <v>0</v>
      </c>
      <c r="F844" s="21" t="n">
        <v>0</v>
      </c>
      <c r="G844" s="30" t="s">
        <v>3432</v>
      </c>
    </row>
    <row r="845" customFormat="false" ht="15" hidden="false" customHeight="false" outlineLevel="0" collapsed="false">
      <c r="A845" s="28" t="n">
        <v>34477</v>
      </c>
      <c r="B845" s="28" t="n">
        <v>34483</v>
      </c>
      <c r="C845" s="21" t="n">
        <v>0</v>
      </c>
      <c r="D845" s="21" t="n">
        <v>0</v>
      </c>
      <c r="E845" s="21" t="n">
        <v>0</v>
      </c>
      <c r="F845" s="21" t="n">
        <v>0</v>
      </c>
      <c r="G845" s="30" t="s">
        <v>3432</v>
      </c>
    </row>
    <row r="846" customFormat="false" ht="15" hidden="false" customHeight="false" outlineLevel="0" collapsed="false">
      <c r="A846" s="28" t="n">
        <v>34484</v>
      </c>
      <c r="B846" s="28" t="n">
        <v>34490</v>
      </c>
      <c r="C846" s="21" t="n">
        <v>0</v>
      </c>
      <c r="D846" s="21" t="n">
        <v>0</v>
      </c>
      <c r="E846" s="21" t="n">
        <v>0</v>
      </c>
      <c r="F846" s="21" t="n">
        <v>0</v>
      </c>
      <c r="G846" s="30" t="s">
        <v>3432</v>
      </c>
    </row>
    <row r="847" customFormat="false" ht="15" hidden="false" customHeight="false" outlineLevel="0" collapsed="false">
      <c r="A847" s="28" t="n">
        <v>34491</v>
      </c>
      <c r="B847" s="28" t="n">
        <v>34497</v>
      </c>
      <c r="C847" s="21" t="n">
        <v>0</v>
      </c>
      <c r="D847" s="21" t="n">
        <v>0</v>
      </c>
      <c r="E847" s="21" t="n">
        <v>0</v>
      </c>
      <c r="F847" s="21" t="n">
        <v>0</v>
      </c>
      <c r="G847" s="30" t="s">
        <v>3432</v>
      </c>
    </row>
    <row r="848" customFormat="false" ht="15" hidden="false" customHeight="false" outlineLevel="0" collapsed="false">
      <c r="A848" s="28" t="n">
        <v>34498</v>
      </c>
      <c r="B848" s="28" t="n">
        <v>34504</v>
      </c>
      <c r="C848" s="21" t="n">
        <v>0</v>
      </c>
      <c r="D848" s="21" t="n">
        <v>0</v>
      </c>
      <c r="E848" s="21" t="n">
        <v>0</v>
      </c>
      <c r="F848" s="21" t="n">
        <v>0</v>
      </c>
      <c r="G848" s="30" t="s">
        <v>3432</v>
      </c>
    </row>
    <row r="849" customFormat="false" ht="15" hidden="false" customHeight="false" outlineLevel="0" collapsed="false">
      <c r="A849" s="28" t="n">
        <v>34505</v>
      </c>
      <c r="B849" s="28" t="n">
        <v>34511</v>
      </c>
      <c r="C849" s="21" t="n">
        <v>0</v>
      </c>
      <c r="D849" s="21" t="n">
        <v>0</v>
      </c>
      <c r="E849" s="21" t="n">
        <v>0</v>
      </c>
      <c r="F849" s="21" t="n">
        <v>0</v>
      </c>
      <c r="G849" s="30" t="s">
        <v>3432</v>
      </c>
    </row>
    <row r="850" customFormat="false" ht="15" hidden="false" customHeight="false" outlineLevel="0" collapsed="false">
      <c r="A850" s="28" t="n">
        <v>34512</v>
      </c>
      <c r="B850" s="28" t="n">
        <v>34518</v>
      </c>
      <c r="C850" s="21" t="n">
        <v>0</v>
      </c>
      <c r="D850" s="21" t="n">
        <v>0</v>
      </c>
      <c r="E850" s="21" t="n">
        <v>0</v>
      </c>
      <c r="F850" s="21" t="n">
        <v>0</v>
      </c>
      <c r="G850" s="30" t="s">
        <v>3432</v>
      </c>
    </row>
    <row r="851" customFormat="false" ht="15" hidden="false" customHeight="false" outlineLevel="0" collapsed="false">
      <c r="A851" s="28" t="n">
        <v>34519</v>
      </c>
      <c r="B851" s="28" t="n">
        <v>34525</v>
      </c>
      <c r="C851" s="21" t="n">
        <v>0</v>
      </c>
      <c r="D851" s="21" t="n">
        <v>0</v>
      </c>
      <c r="E851" s="21" t="n">
        <v>0</v>
      </c>
      <c r="F851" s="21" t="n">
        <v>0</v>
      </c>
      <c r="G851" s="30" t="s">
        <v>3432</v>
      </c>
    </row>
    <row r="852" customFormat="false" ht="15" hidden="false" customHeight="false" outlineLevel="0" collapsed="false">
      <c r="A852" s="28" t="n">
        <v>34526</v>
      </c>
      <c r="B852" s="28" t="n">
        <v>34532</v>
      </c>
      <c r="C852" s="21" t="n">
        <v>0</v>
      </c>
      <c r="D852" s="21" t="n">
        <v>0</v>
      </c>
      <c r="E852" s="21" t="n">
        <v>0</v>
      </c>
      <c r="F852" s="21" t="n">
        <v>0</v>
      </c>
      <c r="G852" s="30" t="s">
        <v>3432</v>
      </c>
    </row>
    <row r="853" customFormat="false" ht="15" hidden="false" customHeight="false" outlineLevel="0" collapsed="false">
      <c r="A853" s="28" t="n">
        <v>34533</v>
      </c>
      <c r="B853" s="28" t="n">
        <v>34539</v>
      </c>
      <c r="C853" s="21" t="n">
        <v>0</v>
      </c>
      <c r="D853" s="21" t="n">
        <v>0</v>
      </c>
      <c r="E853" s="21" t="n">
        <v>0</v>
      </c>
      <c r="F853" s="21" t="n">
        <v>0</v>
      </c>
      <c r="G853" s="30" t="s">
        <v>3432</v>
      </c>
    </row>
    <row r="854" customFormat="false" ht="15" hidden="false" customHeight="false" outlineLevel="0" collapsed="false">
      <c r="A854" s="28" t="n">
        <v>34540</v>
      </c>
      <c r="B854" s="28" t="n">
        <v>34546</v>
      </c>
      <c r="C854" s="21" t="n">
        <v>0</v>
      </c>
      <c r="D854" s="21" t="n">
        <v>0</v>
      </c>
      <c r="E854" s="21" t="n">
        <v>0</v>
      </c>
      <c r="F854" s="21" t="n">
        <v>0</v>
      </c>
      <c r="G854" s="30" t="s">
        <v>3432</v>
      </c>
    </row>
    <row r="855" customFormat="false" ht="15" hidden="false" customHeight="false" outlineLevel="0" collapsed="false">
      <c r="A855" s="28" t="n">
        <v>34547</v>
      </c>
      <c r="B855" s="28" t="n">
        <v>34553</v>
      </c>
      <c r="C855" s="21" t="n">
        <v>0</v>
      </c>
      <c r="D855" s="21" t="n">
        <v>0</v>
      </c>
      <c r="E855" s="21" t="n">
        <v>0</v>
      </c>
      <c r="F855" s="21" t="n">
        <v>0</v>
      </c>
      <c r="G855" s="30" t="s">
        <v>3432</v>
      </c>
    </row>
    <row r="856" customFormat="false" ht="15" hidden="false" customHeight="false" outlineLevel="0" collapsed="false">
      <c r="A856" s="28" t="n">
        <v>34554</v>
      </c>
      <c r="B856" s="28" t="n">
        <v>34560</v>
      </c>
      <c r="C856" s="21" t="n">
        <v>0</v>
      </c>
      <c r="D856" s="21" t="n">
        <v>0</v>
      </c>
      <c r="E856" s="21" t="n">
        <v>0</v>
      </c>
      <c r="F856" s="21" t="n">
        <v>0</v>
      </c>
      <c r="G856" s="30" t="s">
        <v>3432</v>
      </c>
    </row>
    <row r="857" customFormat="false" ht="15" hidden="false" customHeight="false" outlineLevel="0" collapsed="false">
      <c r="A857" s="28" t="n">
        <v>34561</v>
      </c>
      <c r="B857" s="28" t="n">
        <v>34567</v>
      </c>
      <c r="C857" s="21" t="n">
        <v>0</v>
      </c>
      <c r="D857" s="21" t="n">
        <v>0</v>
      </c>
      <c r="E857" s="21" t="n">
        <v>0</v>
      </c>
      <c r="F857" s="21" t="n">
        <v>0</v>
      </c>
      <c r="G857" s="30" t="s">
        <v>3432</v>
      </c>
    </row>
    <row r="858" customFormat="false" ht="15" hidden="false" customHeight="false" outlineLevel="0" collapsed="false">
      <c r="A858" s="28" t="n">
        <v>34568</v>
      </c>
      <c r="B858" s="28" t="n">
        <v>34574</v>
      </c>
      <c r="C858" s="21" t="n">
        <v>0</v>
      </c>
      <c r="D858" s="21" t="n">
        <v>0</v>
      </c>
      <c r="E858" s="21" t="n">
        <v>0</v>
      </c>
      <c r="F858" s="21" t="n">
        <v>0</v>
      </c>
      <c r="G858" s="30" t="s">
        <v>3432</v>
      </c>
    </row>
    <row r="859" customFormat="false" ht="15" hidden="false" customHeight="false" outlineLevel="0" collapsed="false">
      <c r="A859" s="28" t="n">
        <v>34575</v>
      </c>
      <c r="B859" s="28" t="n">
        <v>34581</v>
      </c>
      <c r="C859" s="21" t="n">
        <v>0</v>
      </c>
      <c r="D859" s="21" t="n">
        <v>0</v>
      </c>
      <c r="E859" s="21" t="n">
        <v>0</v>
      </c>
      <c r="F859" s="21" t="n">
        <v>0</v>
      </c>
      <c r="G859" s="30" t="s">
        <v>3432</v>
      </c>
    </row>
    <row r="860" customFormat="false" ht="15" hidden="false" customHeight="false" outlineLevel="0" collapsed="false">
      <c r="A860" s="28" t="n">
        <v>34582</v>
      </c>
      <c r="B860" s="28" t="n">
        <v>34588</v>
      </c>
      <c r="C860" s="21" t="n">
        <v>0</v>
      </c>
      <c r="D860" s="21" t="n">
        <v>0</v>
      </c>
      <c r="E860" s="21" t="n">
        <v>0</v>
      </c>
      <c r="F860" s="21" t="n">
        <v>0</v>
      </c>
      <c r="G860" s="30" t="s">
        <v>3432</v>
      </c>
    </row>
    <row r="861" customFormat="false" ht="15" hidden="false" customHeight="false" outlineLevel="0" collapsed="false">
      <c r="A861" s="28" t="n">
        <v>34589</v>
      </c>
      <c r="B861" s="28" t="n">
        <v>34595</v>
      </c>
      <c r="C861" s="21" t="n">
        <v>0</v>
      </c>
      <c r="D861" s="21" t="n">
        <v>0</v>
      </c>
      <c r="E861" s="21" t="n">
        <v>0</v>
      </c>
      <c r="F861" s="21" t="n">
        <v>0</v>
      </c>
      <c r="G861" s="30" t="s">
        <v>3432</v>
      </c>
    </row>
    <row r="862" customFormat="false" ht="15" hidden="false" customHeight="false" outlineLevel="0" collapsed="false">
      <c r="A862" s="28" t="n">
        <v>34596</v>
      </c>
      <c r="B862" s="28" t="n">
        <v>34602</v>
      </c>
      <c r="C862" s="21" t="n">
        <v>0</v>
      </c>
      <c r="D862" s="21" t="n">
        <v>0</v>
      </c>
      <c r="E862" s="21" t="n">
        <v>0</v>
      </c>
      <c r="F862" s="21" t="n">
        <v>0</v>
      </c>
      <c r="G862" s="30" t="s">
        <v>3432</v>
      </c>
    </row>
    <row r="863" customFormat="false" ht="15" hidden="false" customHeight="false" outlineLevel="0" collapsed="false">
      <c r="A863" s="28" t="n">
        <v>34603</v>
      </c>
      <c r="B863" s="28" t="n">
        <v>34609</v>
      </c>
      <c r="C863" s="21" t="n">
        <v>0</v>
      </c>
      <c r="D863" s="21" t="n">
        <v>0</v>
      </c>
      <c r="E863" s="21" t="n">
        <v>0</v>
      </c>
      <c r="F863" s="21" t="n">
        <v>0</v>
      </c>
      <c r="G863" s="30" t="s">
        <v>3432</v>
      </c>
    </row>
    <row r="864" customFormat="false" ht="15" hidden="false" customHeight="false" outlineLevel="0" collapsed="false">
      <c r="A864" s="28" t="n">
        <v>34610</v>
      </c>
      <c r="B864" s="28" t="n">
        <v>34616</v>
      </c>
      <c r="C864" s="21" t="n">
        <v>0</v>
      </c>
      <c r="D864" s="21" t="n">
        <v>0</v>
      </c>
      <c r="E864" s="21" t="n">
        <v>0</v>
      </c>
      <c r="F864" s="21" t="n">
        <v>0</v>
      </c>
      <c r="G864" s="30" t="s">
        <v>3432</v>
      </c>
    </row>
    <row r="865" customFormat="false" ht="15" hidden="false" customHeight="false" outlineLevel="0" collapsed="false">
      <c r="A865" s="28" t="n">
        <v>34617</v>
      </c>
      <c r="B865" s="28" t="n">
        <v>34623</v>
      </c>
      <c r="C865" s="21" t="n">
        <v>0</v>
      </c>
      <c r="D865" s="21" t="n">
        <v>0</v>
      </c>
      <c r="E865" s="21" t="n">
        <v>0</v>
      </c>
      <c r="F865" s="21" t="n">
        <v>0</v>
      </c>
      <c r="G865" s="30" t="s">
        <v>3432</v>
      </c>
    </row>
    <row r="866" customFormat="false" ht="15" hidden="false" customHeight="false" outlineLevel="0" collapsed="false">
      <c r="A866" s="28" t="n">
        <v>34624</v>
      </c>
      <c r="B866" s="28" t="n">
        <v>34630</v>
      </c>
      <c r="C866" s="21" t="n">
        <v>0</v>
      </c>
      <c r="D866" s="21" t="n">
        <v>0</v>
      </c>
      <c r="E866" s="21" t="n">
        <v>0</v>
      </c>
      <c r="F866" s="21" t="n">
        <v>0</v>
      </c>
      <c r="G866" s="30" t="s">
        <v>3432</v>
      </c>
    </row>
    <row r="867" customFormat="false" ht="15" hidden="false" customHeight="false" outlineLevel="0" collapsed="false">
      <c r="A867" s="28" t="n">
        <v>34631</v>
      </c>
      <c r="B867" s="28" t="n">
        <v>34637</v>
      </c>
      <c r="C867" s="21" t="n">
        <v>0</v>
      </c>
      <c r="D867" s="21" t="n">
        <v>0</v>
      </c>
      <c r="E867" s="21" t="n">
        <v>0</v>
      </c>
      <c r="F867" s="21" t="n">
        <v>0</v>
      </c>
      <c r="G867" s="30" t="s">
        <v>3432</v>
      </c>
    </row>
    <row r="868" customFormat="false" ht="15" hidden="false" customHeight="false" outlineLevel="0" collapsed="false">
      <c r="A868" s="28" t="n">
        <v>34638</v>
      </c>
      <c r="B868" s="28" t="n">
        <v>34644</v>
      </c>
      <c r="C868" s="21" t="n">
        <v>0</v>
      </c>
      <c r="D868" s="21" t="n">
        <v>0</v>
      </c>
      <c r="E868" s="21" t="n">
        <v>0</v>
      </c>
      <c r="F868" s="21" t="n">
        <v>0</v>
      </c>
      <c r="G868" s="30" t="s">
        <v>3432</v>
      </c>
    </row>
    <row r="869" customFormat="false" ht="15" hidden="false" customHeight="false" outlineLevel="0" collapsed="false">
      <c r="A869" s="28" t="n">
        <v>34645</v>
      </c>
      <c r="B869" s="28" t="n">
        <v>34651</v>
      </c>
      <c r="C869" s="21" t="n">
        <v>0</v>
      </c>
      <c r="D869" s="21" t="n">
        <v>0</v>
      </c>
      <c r="E869" s="21" t="n">
        <v>0</v>
      </c>
      <c r="F869" s="21" t="n">
        <v>0</v>
      </c>
      <c r="G869" s="30" t="s">
        <v>3432</v>
      </c>
    </row>
    <row r="870" customFormat="false" ht="15" hidden="false" customHeight="false" outlineLevel="0" collapsed="false">
      <c r="A870" s="28" t="n">
        <v>34652</v>
      </c>
      <c r="B870" s="28" t="n">
        <v>34658</v>
      </c>
      <c r="C870" s="21" t="n">
        <v>0</v>
      </c>
      <c r="D870" s="21" t="n">
        <v>0</v>
      </c>
      <c r="E870" s="21" t="n">
        <v>0</v>
      </c>
      <c r="F870" s="21" t="n">
        <v>0</v>
      </c>
      <c r="G870" s="30" t="s">
        <v>3432</v>
      </c>
    </row>
    <row r="871" customFormat="false" ht="15" hidden="false" customHeight="false" outlineLevel="0" collapsed="false">
      <c r="A871" s="28" t="n">
        <v>34659</v>
      </c>
      <c r="B871" s="28" t="n">
        <v>34665</v>
      </c>
      <c r="C871" s="21" t="n">
        <v>0</v>
      </c>
      <c r="D871" s="21" t="n">
        <v>0</v>
      </c>
      <c r="E871" s="21" t="n">
        <v>0</v>
      </c>
      <c r="F871" s="21" t="n">
        <v>0</v>
      </c>
      <c r="G871" s="30" t="s">
        <v>3432</v>
      </c>
    </row>
    <row r="872" customFormat="false" ht="15" hidden="false" customHeight="false" outlineLevel="0" collapsed="false">
      <c r="A872" s="28" t="n">
        <v>34666</v>
      </c>
      <c r="B872" s="28" t="n">
        <v>34672</v>
      </c>
      <c r="C872" s="21" t="n">
        <v>0</v>
      </c>
      <c r="D872" s="21" t="n">
        <v>0</v>
      </c>
      <c r="E872" s="21" t="n">
        <v>0</v>
      </c>
      <c r="F872" s="21" t="n">
        <v>0</v>
      </c>
      <c r="G872" s="30" t="s">
        <v>3432</v>
      </c>
    </row>
    <row r="873" customFormat="false" ht="15" hidden="false" customHeight="false" outlineLevel="0" collapsed="false">
      <c r="A873" s="28" t="n">
        <v>34673</v>
      </c>
      <c r="B873" s="28" t="n">
        <v>34679</v>
      </c>
      <c r="C873" s="21" t="n">
        <v>0</v>
      </c>
      <c r="D873" s="21" t="n">
        <v>0</v>
      </c>
      <c r="E873" s="21" t="n">
        <v>0</v>
      </c>
      <c r="F873" s="21" t="n">
        <v>0</v>
      </c>
      <c r="G873" s="30" t="s">
        <v>3432</v>
      </c>
    </row>
    <row r="874" customFormat="false" ht="15" hidden="false" customHeight="false" outlineLevel="0" collapsed="false">
      <c r="A874" s="28" t="n">
        <v>34680</v>
      </c>
      <c r="B874" s="28" t="n">
        <v>34686</v>
      </c>
      <c r="C874" s="21" t="n">
        <v>0</v>
      </c>
      <c r="D874" s="21" t="n">
        <v>0</v>
      </c>
      <c r="E874" s="21" t="n">
        <v>0</v>
      </c>
      <c r="F874" s="21" t="n">
        <v>0</v>
      </c>
      <c r="G874" s="30" t="s">
        <v>3432</v>
      </c>
    </row>
    <row r="875" customFormat="false" ht="15" hidden="false" customHeight="false" outlineLevel="0" collapsed="false">
      <c r="A875" s="28" t="n">
        <v>34687</v>
      </c>
      <c r="B875" s="28" t="n">
        <v>34693</v>
      </c>
      <c r="C875" s="21" t="n">
        <v>0</v>
      </c>
      <c r="D875" s="21" t="n">
        <v>0</v>
      </c>
      <c r="E875" s="21" t="n">
        <v>0</v>
      </c>
      <c r="F875" s="21" t="n">
        <v>0</v>
      </c>
      <c r="G875" s="30" t="s">
        <v>3432</v>
      </c>
    </row>
    <row r="876" customFormat="false" ht="15" hidden="false" customHeight="false" outlineLevel="0" collapsed="false">
      <c r="A876" s="28" t="n">
        <v>34694</v>
      </c>
      <c r="B876" s="28" t="n">
        <v>34700</v>
      </c>
      <c r="C876" s="21" t="n">
        <v>0</v>
      </c>
      <c r="D876" s="21" t="n">
        <v>0</v>
      </c>
      <c r="E876" s="21" t="n">
        <v>0</v>
      </c>
      <c r="F876" s="21" t="n">
        <v>0</v>
      </c>
      <c r="G876" s="30" t="s">
        <v>3432</v>
      </c>
    </row>
    <row r="877" customFormat="false" ht="15" hidden="false" customHeight="false" outlineLevel="0" collapsed="false">
      <c r="A877" s="28" t="n">
        <v>34701</v>
      </c>
      <c r="B877" s="28" t="n">
        <v>34707</v>
      </c>
      <c r="C877" s="21" t="n">
        <v>0</v>
      </c>
      <c r="D877" s="21" t="n">
        <v>0</v>
      </c>
      <c r="E877" s="21" t="n">
        <v>0</v>
      </c>
      <c r="F877" s="21" t="n">
        <v>0</v>
      </c>
      <c r="G877" s="30" t="s">
        <v>3432</v>
      </c>
    </row>
    <row r="878" customFormat="false" ht="15" hidden="false" customHeight="false" outlineLevel="0" collapsed="false">
      <c r="A878" s="28" t="n">
        <v>34708</v>
      </c>
      <c r="B878" s="28" t="n">
        <v>34714</v>
      </c>
      <c r="C878" s="21" t="n">
        <v>0</v>
      </c>
      <c r="D878" s="21" t="n">
        <v>0</v>
      </c>
      <c r="E878" s="21" t="n">
        <v>0</v>
      </c>
      <c r="F878" s="21" t="n">
        <v>0</v>
      </c>
      <c r="G878" s="30" t="s">
        <v>3432</v>
      </c>
    </row>
    <row r="879" customFormat="false" ht="15" hidden="false" customHeight="false" outlineLevel="0" collapsed="false">
      <c r="A879" s="28" t="n">
        <v>34715</v>
      </c>
      <c r="B879" s="28" t="n">
        <v>34721</v>
      </c>
      <c r="C879" s="21" t="n">
        <v>0</v>
      </c>
      <c r="D879" s="21" t="n">
        <v>0</v>
      </c>
      <c r="E879" s="21" t="n">
        <v>0</v>
      </c>
      <c r="F879" s="21" t="n">
        <v>0</v>
      </c>
      <c r="G879" s="30" t="s">
        <v>3432</v>
      </c>
    </row>
    <row r="880" customFormat="false" ht="15" hidden="false" customHeight="false" outlineLevel="0" collapsed="false">
      <c r="A880" s="28" t="n">
        <v>34722</v>
      </c>
      <c r="B880" s="28" t="n">
        <v>34728</v>
      </c>
      <c r="C880" s="21" t="n">
        <v>0</v>
      </c>
      <c r="D880" s="21" t="n">
        <v>0</v>
      </c>
      <c r="E880" s="21" t="n">
        <v>0</v>
      </c>
      <c r="F880" s="21" t="n">
        <v>0</v>
      </c>
      <c r="G880" s="30" t="s">
        <v>3432</v>
      </c>
    </row>
    <row r="881" customFormat="false" ht="15" hidden="false" customHeight="false" outlineLevel="0" collapsed="false">
      <c r="A881" s="28" t="n">
        <v>34729</v>
      </c>
      <c r="B881" s="28" t="n">
        <v>34735</v>
      </c>
      <c r="C881" s="21" t="n">
        <v>0</v>
      </c>
      <c r="D881" s="21" t="n">
        <v>0</v>
      </c>
      <c r="E881" s="21" t="n">
        <v>0</v>
      </c>
      <c r="F881" s="21" t="n">
        <v>0</v>
      </c>
      <c r="G881" s="30" t="s">
        <v>3432</v>
      </c>
    </row>
    <row r="882" customFormat="false" ht="15" hidden="false" customHeight="false" outlineLevel="0" collapsed="false">
      <c r="A882" s="28" t="n">
        <v>34736</v>
      </c>
      <c r="B882" s="28" t="n">
        <v>34742</v>
      </c>
      <c r="C882" s="21" t="n">
        <v>0</v>
      </c>
      <c r="D882" s="21" t="n">
        <v>0</v>
      </c>
      <c r="E882" s="21" t="n">
        <v>0</v>
      </c>
      <c r="F882" s="21" t="n">
        <v>0</v>
      </c>
      <c r="G882" s="30" t="s">
        <v>3432</v>
      </c>
    </row>
    <row r="883" customFormat="false" ht="15" hidden="false" customHeight="false" outlineLevel="0" collapsed="false">
      <c r="A883" s="28" t="n">
        <v>34743</v>
      </c>
      <c r="B883" s="28" t="n">
        <v>34749</v>
      </c>
      <c r="C883" s="21" t="n">
        <v>0</v>
      </c>
      <c r="D883" s="21" t="n">
        <v>0</v>
      </c>
      <c r="E883" s="21" t="n">
        <v>0</v>
      </c>
      <c r="F883" s="21" t="n">
        <v>0</v>
      </c>
      <c r="G883" s="30" t="s">
        <v>3432</v>
      </c>
    </row>
    <row r="884" customFormat="false" ht="15" hidden="false" customHeight="false" outlineLevel="0" collapsed="false">
      <c r="A884" s="28" t="n">
        <v>34750</v>
      </c>
      <c r="B884" s="28" t="n">
        <v>34756</v>
      </c>
      <c r="C884" s="21" t="n">
        <v>0</v>
      </c>
      <c r="D884" s="21" t="n">
        <v>0</v>
      </c>
      <c r="E884" s="21" t="n">
        <v>0</v>
      </c>
      <c r="F884" s="21" t="n">
        <v>0</v>
      </c>
      <c r="G884" s="30" t="s">
        <v>3432</v>
      </c>
    </row>
    <row r="885" customFormat="false" ht="15" hidden="false" customHeight="false" outlineLevel="0" collapsed="false">
      <c r="A885" s="28" t="n">
        <v>34757</v>
      </c>
      <c r="B885" s="28" t="n">
        <v>34763</v>
      </c>
      <c r="C885" s="21" t="n">
        <v>0</v>
      </c>
      <c r="D885" s="21" t="n">
        <v>0</v>
      </c>
      <c r="E885" s="21" t="n">
        <v>0</v>
      </c>
      <c r="F885" s="21" t="n">
        <v>0</v>
      </c>
      <c r="G885" s="30" t="s">
        <v>3432</v>
      </c>
    </row>
    <row r="886" customFormat="false" ht="15" hidden="false" customHeight="false" outlineLevel="0" collapsed="false">
      <c r="A886" s="28" t="n">
        <v>34764</v>
      </c>
      <c r="B886" s="28" t="n">
        <v>34770</v>
      </c>
      <c r="C886" s="21" t="n">
        <v>0</v>
      </c>
      <c r="D886" s="21" t="n">
        <v>0</v>
      </c>
      <c r="E886" s="21" t="n">
        <v>0</v>
      </c>
      <c r="F886" s="21" t="n">
        <v>0</v>
      </c>
      <c r="G886" s="30" t="s">
        <v>3432</v>
      </c>
    </row>
    <row r="887" customFormat="false" ht="15" hidden="false" customHeight="false" outlineLevel="0" collapsed="false">
      <c r="A887" s="28" t="n">
        <v>34771</v>
      </c>
      <c r="B887" s="28" t="n">
        <v>34777</v>
      </c>
      <c r="C887" s="21" t="n">
        <v>0</v>
      </c>
      <c r="D887" s="21" t="n">
        <v>0</v>
      </c>
      <c r="E887" s="21" t="n">
        <v>0</v>
      </c>
      <c r="F887" s="21" t="n">
        <v>0</v>
      </c>
      <c r="G887" s="30" t="s">
        <v>3432</v>
      </c>
    </row>
    <row r="888" customFormat="false" ht="15" hidden="false" customHeight="false" outlineLevel="0" collapsed="false">
      <c r="A888" s="28" t="n">
        <v>34778</v>
      </c>
      <c r="B888" s="28" t="n">
        <v>34784</v>
      </c>
      <c r="C888" s="21" t="n">
        <v>0</v>
      </c>
      <c r="D888" s="21" t="n">
        <v>0</v>
      </c>
      <c r="E888" s="21" t="n">
        <v>0</v>
      </c>
      <c r="F888" s="21" t="n">
        <v>0</v>
      </c>
      <c r="G888" s="30" t="s">
        <v>3432</v>
      </c>
    </row>
    <row r="889" customFormat="false" ht="15" hidden="false" customHeight="false" outlineLevel="0" collapsed="false">
      <c r="A889" s="28" t="n">
        <v>34785</v>
      </c>
      <c r="B889" s="28" t="n">
        <v>34791</v>
      </c>
      <c r="C889" s="21" t="n">
        <v>0</v>
      </c>
      <c r="D889" s="21" t="n">
        <v>0</v>
      </c>
      <c r="E889" s="21" t="n">
        <v>0</v>
      </c>
      <c r="F889" s="21" t="n">
        <v>0</v>
      </c>
      <c r="G889" s="30" t="s">
        <v>3432</v>
      </c>
    </row>
    <row r="890" customFormat="false" ht="15" hidden="false" customHeight="false" outlineLevel="0" collapsed="false">
      <c r="A890" s="28" t="n">
        <v>34792</v>
      </c>
      <c r="B890" s="28" t="n">
        <v>34798</v>
      </c>
      <c r="C890" s="21" t="n">
        <v>0</v>
      </c>
      <c r="D890" s="21" t="n">
        <v>0</v>
      </c>
      <c r="E890" s="21" t="n">
        <v>0</v>
      </c>
      <c r="F890" s="21" t="n">
        <v>0</v>
      </c>
      <c r="G890" s="30" t="s">
        <v>3432</v>
      </c>
    </row>
    <row r="891" customFormat="false" ht="15" hidden="false" customHeight="false" outlineLevel="0" collapsed="false">
      <c r="A891" s="28" t="n">
        <v>34799</v>
      </c>
      <c r="B891" s="28" t="n">
        <v>34805</v>
      </c>
      <c r="C891" s="21" t="n">
        <v>0</v>
      </c>
      <c r="D891" s="21" t="n">
        <v>0</v>
      </c>
      <c r="E891" s="21" t="n">
        <v>0</v>
      </c>
      <c r="F891" s="21" t="n">
        <v>0</v>
      </c>
      <c r="G891" s="30" t="s">
        <v>3432</v>
      </c>
    </row>
    <row r="892" customFormat="false" ht="15" hidden="false" customHeight="false" outlineLevel="0" collapsed="false">
      <c r="A892" s="28" t="n">
        <v>34806</v>
      </c>
      <c r="B892" s="28" t="n">
        <v>34812</v>
      </c>
      <c r="C892" s="21" t="n">
        <v>0</v>
      </c>
      <c r="D892" s="21" t="n">
        <v>0</v>
      </c>
      <c r="E892" s="21" t="n">
        <v>0</v>
      </c>
      <c r="F892" s="21" t="n">
        <v>0</v>
      </c>
      <c r="G892" s="30" t="s">
        <v>3432</v>
      </c>
    </row>
    <row r="893" customFormat="false" ht="15" hidden="false" customHeight="false" outlineLevel="0" collapsed="false">
      <c r="A893" s="28" t="n">
        <v>34813</v>
      </c>
      <c r="B893" s="28" t="n">
        <v>34819</v>
      </c>
      <c r="C893" s="21" t="n">
        <v>0</v>
      </c>
      <c r="D893" s="21" t="n">
        <v>0</v>
      </c>
      <c r="E893" s="21" t="n">
        <v>0</v>
      </c>
      <c r="F893" s="21" t="n">
        <v>0</v>
      </c>
      <c r="G893" s="30" t="s">
        <v>3432</v>
      </c>
    </row>
    <row r="894" customFormat="false" ht="15" hidden="false" customHeight="false" outlineLevel="0" collapsed="false">
      <c r="A894" s="28" t="n">
        <v>34820</v>
      </c>
      <c r="B894" s="28" t="n">
        <v>34826</v>
      </c>
      <c r="C894" s="21" t="n">
        <v>0</v>
      </c>
      <c r="D894" s="21" t="n">
        <v>0</v>
      </c>
      <c r="E894" s="21" t="n">
        <v>0</v>
      </c>
      <c r="F894" s="21" t="n">
        <v>0</v>
      </c>
      <c r="G894" s="30" t="s">
        <v>3432</v>
      </c>
    </row>
    <row r="895" customFormat="false" ht="15" hidden="false" customHeight="false" outlineLevel="0" collapsed="false">
      <c r="A895" s="28" t="n">
        <v>34827</v>
      </c>
      <c r="B895" s="28" t="n">
        <v>34833</v>
      </c>
      <c r="C895" s="21" t="n">
        <v>0</v>
      </c>
      <c r="D895" s="21" t="n">
        <v>0</v>
      </c>
      <c r="E895" s="21" t="n">
        <v>0</v>
      </c>
      <c r="F895" s="21" t="n">
        <v>0</v>
      </c>
      <c r="G895" s="30" t="s">
        <v>3432</v>
      </c>
    </row>
    <row r="896" customFormat="false" ht="15" hidden="false" customHeight="false" outlineLevel="0" collapsed="false">
      <c r="A896" s="28" t="n">
        <v>34834</v>
      </c>
      <c r="B896" s="28" t="n">
        <v>34840</v>
      </c>
      <c r="C896" s="21" t="n">
        <v>0</v>
      </c>
      <c r="D896" s="21" t="n">
        <v>0</v>
      </c>
      <c r="E896" s="21" t="n">
        <v>0</v>
      </c>
      <c r="F896" s="21" t="n">
        <v>0</v>
      </c>
      <c r="G896" s="30" t="s">
        <v>3432</v>
      </c>
    </row>
    <row r="897" customFormat="false" ht="15" hidden="false" customHeight="false" outlineLevel="0" collapsed="false">
      <c r="A897" s="28" t="n">
        <v>34841</v>
      </c>
      <c r="B897" s="28" t="n">
        <v>34847</v>
      </c>
      <c r="C897" s="21" t="n">
        <v>0</v>
      </c>
      <c r="D897" s="21" t="n">
        <v>0</v>
      </c>
      <c r="E897" s="21" t="n">
        <v>0</v>
      </c>
      <c r="F897" s="21" t="n">
        <v>0</v>
      </c>
      <c r="G897" s="30" t="s">
        <v>3432</v>
      </c>
    </row>
    <row r="898" customFormat="false" ht="15" hidden="false" customHeight="false" outlineLevel="0" collapsed="false">
      <c r="A898" s="28" t="n">
        <v>34848</v>
      </c>
      <c r="B898" s="28" t="n">
        <v>34854</v>
      </c>
      <c r="C898" s="21" t="n">
        <v>0</v>
      </c>
      <c r="D898" s="21" t="n">
        <v>0</v>
      </c>
      <c r="E898" s="21" t="n">
        <v>0</v>
      </c>
      <c r="F898" s="21" t="n">
        <v>0</v>
      </c>
      <c r="G898" s="30" t="s">
        <v>3432</v>
      </c>
    </row>
    <row r="899" customFormat="false" ht="15" hidden="false" customHeight="false" outlineLevel="0" collapsed="false">
      <c r="A899" s="28" t="n">
        <v>34855</v>
      </c>
      <c r="B899" s="28" t="n">
        <v>34861</v>
      </c>
      <c r="C899" s="21" t="n">
        <v>0</v>
      </c>
      <c r="D899" s="21" t="n">
        <v>0</v>
      </c>
      <c r="E899" s="21" t="n">
        <v>0</v>
      </c>
      <c r="F899" s="21" t="n">
        <v>0</v>
      </c>
      <c r="G899" s="30" t="s">
        <v>3432</v>
      </c>
    </row>
    <row r="900" customFormat="false" ht="15" hidden="false" customHeight="false" outlineLevel="0" collapsed="false">
      <c r="A900" s="28" t="n">
        <v>34862</v>
      </c>
      <c r="B900" s="28" t="n">
        <v>34868</v>
      </c>
      <c r="C900" s="21" t="n">
        <v>0</v>
      </c>
      <c r="D900" s="21" t="n">
        <v>0</v>
      </c>
      <c r="E900" s="21" t="n">
        <v>0</v>
      </c>
      <c r="F900" s="21" t="n">
        <v>0</v>
      </c>
      <c r="G900" s="30" t="s">
        <v>3432</v>
      </c>
    </row>
    <row r="901" customFormat="false" ht="15" hidden="false" customHeight="false" outlineLevel="0" collapsed="false">
      <c r="A901" s="28" t="n">
        <v>34869</v>
      </c>
      <c r="B901" s="28" t="n">
        <v>34875</v>
      </c>
      <c r="C901" s="21" t="n">
        <v>0</v>
      </c>
      <c r="D901" s="21" t="n">
        <v>0</v>
      </c>
      <c r="E901" s="21" t="n">
        <v>0</v>
      </c>
      <c r="F901" s="21" t="n">
        <v>0</v>
      </c>
      <c r="G901" s="30" t="s">
        <v>3432</v>
      </c>
    </row>
    <row r="902" customFormat="false" ht="15" hidden="false" customHeight="false" outlineLevel="0" collapsed="false">
      <c r="A902" s="28" t="n">
        <v>34876</v>
      </c>
      <c r="B902" s="28" t="n">
        <v>34882</v>
      </c>
      <c r="C902" s="21" t="n">
        <v>0</v>
      </c>
      <c r="D902" s="21" t="n">
        <v>0</v>
      </c>
      <c r="E902" s="21" t="n">
        <v>0</v>
      </c>
      <c r="F902" s="21" t="n">
        <v>0</v>
      </c>
      <c r="G902" s="30" t="s">
        <v>3432</v>
      </c>
    </row>
    <row r="903" customFormat="false" ht="15" hidden="false" customHeight="false" outlineLevel="0" collapsed="false">
      <c r="A903" s="28" t="n">
        <v>34883</v>
      </c>
      <c r="B903" s="28" t="n">
        <v>34889</v>
      </c>
      <c r="C903" s="21" t="n">
        <v>0</v>
      </c>
      <c r="D903" s="21" t="n">
        <v>0</v>
      </c>
      <c r="E903" s="21" t="n">
        <v>0</v>
      </c>
      <c r="F903" s="21" t="n">
        <v>0</v>
      </c>
      <c r="G903" s="30" t="s">
        <v>3432</v>
      </c>
    </row>
    <row r="904" customFormat="false" ht="15" hidden="false" customHeight="false" outlineLevel="0" collapsed="false">
      <c r="A904" s="28" t="n">
        <v>34890</v>
      </c>
      <c r="B904" s="28" t="n">
        <v>34896</v>
      </c>
      <c r="C904" s="21" t="n">
        <v>0</v>
      </c>
      <c r="D904" s="21" t="n">
        <v>0</v>
      </c>
      <c r="E904" s="21" t="n">
        <v>0</v>
      </c>
      <c r="F904" s="21" t="n">
        <v>0</v>
      </c>
      <c r="G904" s="30" t="s">
        <v>3432</v>
      </c>
    </row>
    <row r="905" customFormat="false" ht="15" hidden="false" customHeight="false" outlineLevel="0" collapsed="false">
      <c r="A905" s="28" t="n">
        <v>34897</v>
      </c>
      <c r="B905" s="28" t="n">
        <v>34903</v>
      </c>
      <c r="C905" s="21" t="n">
        <v>0</v>
      </c>
      <c r="D905" s="21" t="n">
        <v>0</v>
      </c>
      <c r="E905" s="21" t="n">
        <v>0</v>
      </c>
      <c r="F905" s="21" t="n">
        <v>0</v>
      </c>
      <c r="G905" s="30" t="s">
        <v>3432</v>
      </c>
    </row>
    <row r="906" customFormat="false" ht="15" hidden="false" customHeight="false" outlineLevel="0" collapsed="false">
      <c r="A906" s="28" t="n">
        <v>34904</v>
      </c>
      <c r="B906" s="28" t="n">
        <v>34910</v>
      </c>
      <c r="C906" s="21" t="n">
        <v>0</v>
      </c>
      <c r="D906" s="21" t="n">
        <v>0</v>
      </c>
      <c r="E906" s="21" t="n">
        <v>0</v>
      </c>
      <c r="F906" s="21" t="n">
        <v>0</v>
      </c>
      <c r="G906" s="30" t="s">
        <v>3432</v>
      </c>
    </row>
    <row r="907" customFormat="false" ht="15" hidden="false" customHeight="false" outlineLevel="0" collapsed="false">
      <c r="A907" s="28" t="n">
        <v>34911</v>
      </c>
      <c r="B907" s="28" t="n">
        <v>34917</v>
      </c>
      <c r="C907" s="21" t="n">
        <v>0</v>
      </c>
      <c r="D907" s="21" t="n">
        <v>0</v>
      </c>
      <c r="E907" s="21" t="n">
        <v>0</v>
      </c>
      <c r="F907" s="21" t="n">
        <v>0</v>
      </c>
      <c r="G907" s="30" t="s">
        <v>3432</v>
      </c>
    </row>
    <row r="908" customFormat="false" ht="15" hidden="false" customHeight="false" outlineLevel="0" collapsed="false">
      <c r="A908" s="28" t="n">
        <v>34918</v>
      </c>
      <c r="B908" s="28" t="n">
        <v>34924</v>
      </c>
      <c r="C908" s="21" t="n">
        <v>0</v>
      </c>
      <c r="D908" s="21" t="n">
        <v>0</v>
      </c>
      <c r="E908" s="21" t="n">
        <v>0</v>
      </c>
      <c r="F908" s="21" t="n">
        <v>0</v>
      </c>
      <c r="G908" s="30" t="s">
        <v>3432</v>
      </c>
    </row>
    <row r="909" customFormat="false" ht="15" hidden="false" customHeight="false" outlineLevel="0" collapsed="false">
      <c r="A909" s="28" t="n">
        <v>34925</v>
      </c>
      <c r="B909" s="28" t="n">
        <v>34931</v>
      </c>
      <c r="C909" s="21" t="n">
        <v>0</v>
      </c>
      <c r="D909" s="21" t="n">
        <v>0</v>
      </c>
      <c r="E909" s="21" t="n">
        <v>0</v>
      </c>
      <c r="F909" s="21" t="n">
        <v>0</v>
      </c>
      <c r="G909" s="30" t="s">
        <v>3432</v>
      </c>
    </row>
    <row r="910" customFormat="false" ht="15" hidden="false" customHeight="false" outlineLevel="0" collapsed="false">
      <c r="A910" s="28" t="n">
        <v>34932</v>
      </c>
      <c r="B910" s="28" t="n">
        <v>34938</v>
      </c>
      <c r="C910" s="21" t="n">
        <v>0</v>
      </c>
      <c r="D910" s="21" t="n">
        <v>0</v>
      </c>
      <c r="E910" s="21" t="n">
        <v>0</v>
      </c>
      <c r="F910" s="21" t="n">
        <v>0</v>
      </c>
      <c r="G910" s="30" t="s">
        <v>3432</v>
      </c>
    </row>
    <row r="911" customFormat="false" ht="15" hidden="false" customHeight="false" outlineLevel="0" collapsed="false">
      <c r="A911" s="28" t="n">
        <v>34939</v>
      </c>
      <c r="B911" s="28" t="n">
        <v>34945</v>
      </c>
      <c r="C911" s="21" t="n">
        <v>0</v>
      </c>
      <c r="D911" s="21" t="n">
        <v>0</v>
      </c>
      <c r="E911" s="21" t="n">
        <v>0</v>
      </c>
      <c r="F911" s="21" t="n">
        <v>0</v>
      </c>
      <c r="G911" s="30" t="s">
        <v>3432</v>
      </c>
    </row>
    <row r="912" customFormat="false" ht="15" hidden="false" customHeight="false" outlineLevel="0" collapsed="false">
      <c r="A912" s="28" t="n">
        <v>34946</v>
      </c>
      <c r="B912" s="28" t="n">
        <v>34952</v>
      </c>
      <c r="C912" s="21" t="n">
        <v>0</v>
      </c>
      <c r="D912" s="21" t="n">
        <v>0</v>
      </c>
      <c r="E912" s="21" t="n">
        <v>0</v>
      </c>
      <c r="F912" s="21" t="n">
        <v>0</v>
      </c>
      <c r="G912" s="30" t="s">
        <v>3432</v>
      </c>
    </row>
    <row r="913" customFormat="false" ht="15" hidden="false" customHeight="false" outlineLevel="0" collapsed="false">
      <c r="A913" s="28" t="n">
        <v>34953</v>
      </c>
      <c r="B913" s="28" t="n">
        <v>34959</v>
      </c>
      <c r="C913" s="21" t="n">
        <v>0</v>
      </c>
      <c r="D913" s="21" t="n">
        <v>0</v>
      </c>
      <c r="E913" s="21" t="n">
        <v>0</v>
      </c>
      <c r="F913" s="21" t="n">
        <v>0</v>
      </c>
      <c r="G913" s="30" t="s">
        <v>3432</v>
      </c>
    </row>
    <row r="914" customFormat="false" ht="15" hidden="false" customHeight="false" outlineLevel="0" collapsed="false">
      <c r="A914" s="28" t="n">
        <v>34960</v>
      </c>
      <c r="B914" s="28" t="n">
        <v>34966</v>
      </c>
      <c r="C914" s="21" t="n">
        <v>0</v>
      </c>
      <c r="D914" s="21" t="n">
        <v>0</v>
      </c>
      <c r="E914" s="21" t="n">
        <v>0</v>
      </c>
      <c r="F914" s="21" t="n">
        <v>0</v>
      </c>
      <c r="G914" s="30" t="s">
        <v>3432</v>
      </c>
    </row>
    <row r="915" customFormat="false" ht="15" hidden="false" customHeight="false" outlineLevel="0" collapsed="false">
      <c r="A915" s="28" t="n">
        <v>34967</v>
      </c>
      <c r="B915" s="28" t="n">
        <v>34973</v>
      </c>
      <c r="C915" s="21" t="n">
        <v>0</v>
      </c>
      <c r="D915" s="21" t="n">
        <v>0</v>
      </c>
      <c r="E915" s="21" t="n">
        <v>0</v>
      </c>
      <c r="F915" s="21" t="n">
        <v>0</v>
      </c>
      <c r="G915" s="30" t="s">
        <v>3432</v>
      </c>
    </row>
    <row r="916" customFormat="false" ht="15" hidden="false" customHeight="false" outlineLevel="0" collapsed="false">
      <c r="A916" s="28" t="n">
        <v>34974</v>
      </c>
      <c r="B916" s="28" t="n">
        <v>34980</v>
      </c>
      <c r="C916" s="21" t="n">
        <v>0</v>
      </c>
      <c r="D916" s="21" t="n">
        <v>0</v>
      </c>
      <c r="E916" s="21" t="n">
        <v>0</v>
      </c>
      <c r="F916" s="21" t="n">
        <v>0</v>
      </c>
      <c r="G916" s="30" t="s">
        <v>3432</v>
      </c>
    </row>
    <row r="917" customFormat="false" ht="15" hidden="false" customHeight="false" outlineLevel="0" collapsed="false">
      <c r="A917" s="28" t="n">
        <v>34981</v>
      </c>
      <c r="B917" s="28" t="n">
        <v>34987</v>
      </c>
      <c r="C917" s="21" t="n">
        <v>0</v>
      </c>
      <c r="D917" s="21" t="n">
        <v>0</v>
      </c>
      <c r="E917" s="21" t="n">
        <v>0</v>
      </c>
      <c r="F917" s="21" t="n">
        <v>0</v>
      </c>
      <c r="G917" s="30" t="s">
        <v>3432</v>
      </c>
    </row>
    <row r="918" customFormat="false" ht="15" hidden="false" customHeight="false" outlineLevel="0" collapsed="false">
      <c r="A918" s="28" t="n">
        <v>34988</v>
      </c>
      <c r="B918" s="28" t="n">
        <v>34994</v>
      </c>
      <c r="C918" s="21" t="n">
        <v>0</v>
      </c>
      <c r="D918" s="21" t="n">
        <v>0</v>
      </c>
      <c r="E918" s="21" t="n">
        <v>0</v>
      </c>
      <c r="F918" s="21" t="n">
        <v>0</v>
      </c>
      <c r="G918" s="30" t="s">
        <v>3432</v>
      </c>
    </row>
    <row r="919" customFormat="false" ht="15" hidden="false" customHeight="false" outlineLevel="0" collapsed="false">
      <c r="A919" s="28" t="n">
        <v>34995</v>
      </c>
      <c r="B919" s="28" t="n">
        <v>35001</v>
      </c>
      <c r="C919" s="21" t="n">
        <v>0</v>
      </c>
      <c r="D919" s="21" t="n">
        <v>0</v>
      </c>
      <c r="E919" s="21" t="n">
        <v>0</v>
      </c>
      <c r="F919" s="21" t="n">
        <v>0</v>
      </c>
      <c r="G919" s="30" t="s">
        <v>3432</v>
      </c>
    </row>
    <row r="920" customFormat="false" ht="15" hidden="false" customHeight="false" outlineLevel="0" collapsed="false">
      <c r="A920" s="28" t="n">
        <v>35002</v>
      </c>
      <c r="B920" s="28" t="n">
        <v>35008</v>
      </c>
      <c r="C920" s="21" t="n">
        <v>0</v>
      </c>
      <c r="D920" s="21" t="n">
        <v>0</v>
      </c>
      <c r="E920" s="21" t="n">
        <v>0</v>
      </c>
      <c r="F920" s="21" t="n">
        <v>0</v>
      </c>
      <c r="G920" s="30" t="s">
        <v>3432</v>
      </c>
    </row>
    <row r="921" customFormat="false" ht="15" hidden="false" customHeight="false" outlineLevel="0" collapsed="false">
      <c r="A921" s="28" t="n">
        <v>35009</v>
      </c>
      <c r="B921" s="28" t="n">
        <v>35015</v>
      </c>
      <c r="C921" s="21" t="n">
        <v>0</v>
      </c>
      <c r="D921" s="21" t="n">
        <v>0</v>
      </c>
      <c r="E921" s="21" t="n">
        <v>0</v>
      </c>
      <c r="F921" s="21" t="n">
        <v>0</v>
      </c>
      <c r="G921" s="30" t="s">
        <v>3432</v>
      </c>
    </row>
    <row r="922" customFormat="false" ht="15" hidden="false" customHeight="false" outlineLevel="0" collapsed="false">
      <c r="A922" s="28" t="n">
        <v>35016</v>
      </c>
      <c r="B922" s="28" t="n">
        <v>35022</v>
      </c>
      <c r="C922" s="21" t="n">
        <v>0</v>
      </c>
      <c r="D922" s="21" t="n">
        <v>0</v>
      </c>
      <c r="E922" s="21" t="n">
        <v>0</v>
      </c>
      <c r="F922" s="21" t="n">
        <v>0</v>
      </c>
      <c r="G922" s="30" t="s">
        <v>3432</v>
      </c>
    </row>
    <row r="923" customFormat="false" ht="15" hidden="false" customHeight="false" outlineLevel="0" collapsed="false">
      <c r="A923" s="28" t="n">
        <v>35023</v>
      </c>
      <c r="B923" s="28" t="n">
        <v>35029</v>
      </c>
      <c r="C923" s="21" t="n">
        <v>0</v>
      </c>
      <c r="D923" s="21" t="n">
        <v>0</v>
      </c>
      <c r="E923" s="21" t="n">
        <v>0</v>
      </c>
      <c r="F923" s="21" t="n">
        <v>0</v>
      </c>
      <c r="G923" s="30" t="s">
        <v>3432</v>
      </c>
    </row>
    <row r="924" customFormat="false" ht="15" hidden="false" customHeight="false" outlineLevel="0" collapsed="false">
      <c r="A924" s="28" t="n">
        <v>35030</v>
      </c>
      <c r="B924" s="28" t="n">
        <v>35036</v>
      </c>
      <c r="C924" s="21" t="n">
        <v>0</v>
      </c>
      <c r="D924" s="21" t="n">
        <v>0</v>
      </c>
      <c r="E924" s="21" t="n">
        <v>0</v>
      </c>
      <c r="F924" s="21" t="n">
        <v>0</v>
      </c>
      <c r="G924" s="30" t="s">
        <v>3432</v>
      </c>
    </row>
    <row r="925" customFormat="false" ht="15" hidden="false" customHeight="false" outlineLevel="0" collapsed="false">
      <c r="A925" s="28" t="n">
        <v>35037</v>
      </c>
      <c r="B925" s="28" t="n">
        <v>35043</v>
      </c>
      <c r="C925" s="21" t="n">
        <v>0</v>
      </c>
      <c r="D925" s="21" t="n">
        <v>0</v>
      </c>
      <c r="E925" s="21" t="n">
        <v>0</v>
      </c>
      <c r="F925" s="21" t="n">
        <v>0</v>
      </c>
      <c r="G925" s="30" t="s">
        <v>3432</v>
      </c>
    </row>
    <row r="926" customFormat="false" ht="15" hidden="false" customHeight="false" outlineLevel="0" collapsed="false">
      <c r="A926" s="28" t="n">
        <v>35044</v>
      </c>
      <c r="B926" s="28" t="n">
        <v>35050</v>
      </c>
      <c r="C926" s="21" t="n">
        <v>0</v>
      </c>
      <c r="D926" s="21" t="n">
        <v>0</v>
      </c>
      <c r="E926" s="21" t="n">
        <v>0</v>
      </c>
      <c r="F926" s="21" t="n">
        <v>0</v>
      </c>
      <c r="G926" s="30" t="s">
        <v>3432</v>
      </c>
    </row>
    <row r="927" customFormat="false" ht="15" hidden="false" customHeight="false" outlineLevel="0" collapsed="false">
      <c r="A927" s="28" t="n">
        <v>35051</v>
      </c>
      <c r="B927" s="28" t="n">
        <v>35057</v>
      </c>
      <c r="C927" s="21" t="n">
        <v>0</v>
      </c>
      <c r="D927" s="21" t="n">
        <v>0</v>
      </c>
      <c r="E927" s="21" t="n">
        <v>0</v>
      </c>
      <c r="F927" s="21" t="n">
        <v>0</v>
      </c>
      <c r="G927" s="30" t="s">
        <v>3432</v>
      </c>
    </row>
    <row r="928" customFormat="false" ht="15" hidden="false" customHeight="false" outlineLevel="0" collapsed="false">
      <c r="A928" s="28" t="n">
        <v>35058</v>
      </c>
      <c r="B928" s="28" t="n">
        <v>35064</v>
      </c>
      <c r="C928" s="21" t="n">
        <v>0</v>
      </c>
      <c r="D928" s="21" t="n">
        <v>0</v>
      </c>
      <c r="E928" s="21" t="n">
        <v>0</v>
      </c>
      <c r="F928" s="21" t="n">
        <v>0</v>
      </c>
      <c r="G928" s="30" t="s">
        <v>3432</v>
      </c>
    </row>
    <row r="929" customFormat="false" ht="15" hidden="false" customHeight="false" outlineLevel="0" collapsed="false">
      <c r="A929" s="28" t="n">
        <v>35065</v>
      </c>
      <c r="B929" s="28" t="n">
        <v>35071</v>
      </c>
      <c r="C929" s="21" t="n">
        <v>0</v>
      </c>
      <c r="D929" s="21" t="n">
        <v>0</v>
      </c>
      <c r="E929" s="21" t="n">
        <v>0</v>
      </c>
      <c r="F929" s="21" t="n">
        <v>0</v>
      </c>
      <c r="G929" s="30" t="s">
        <v>3432</v>
      </c>
    </row>
    <row r="930" customFormat="false" ht="15" hidden="false" customHeight="false" outlineLevel="0" collapsed="false">
      <c r="A930" s="28" t="n">
        <v>35072</v>
      </c>
      <c r="B930" s="28" t="n">
        <v>35078</v>
      </c>
      <c r="C930" s="21" t="n">
        <v>0</v>
      </c>
      <c r="D930" s="21" t="n">
        <v>0</v>
      </c>
      <c r="E930" s="21" t="n">
        <v>0</v>
      </c>
      <c r="F930" s="21" t="n">
        <v>0</v>
      </c>
      <c r="G930" s="30" t="s">
        <v>3432</v>
      </c>
    </row>
    <row r="931" customFormat="false" ht="15" hidden="false" customHeight="false" outlineLevel="0" collapsed="false">
      <c r="A931" s="28" t="n">
        <v>35079</v>
      </c>
      <c r="B931" s="28" t="n">
        <v>35085</v>
      </c>
      <c r="C931" s="21" t="n">
        <v>0</v>
      </c>
      <c r="D931" s="21" t="n">
        <v>0</v>
      </c>
      <c r="E931" s="21" t="n">
        <v>0</v>
      </c>
      <c r="F931" s="21" t="n">
        <v>0</v>
      </c>
      <c r="G931" s="30" t="s">
        <v>3432</v>
      </c>
    </row>
    <row r="932" customFormat="false" ht="15" hidden="false" customHeight="false" outlineLevel="0" collapsed="false">
      <c r="A932" s="28" t="n">
        <v>35086</v>
      </c>
      <c r="B932" s="28" t="n">
        <v>35092</v>
      </c>
      <c r="C932" s="21" t="n">
        <v>0</v>
      </c>
      <c r="D932" s="21" t="n">
        <v>0</v>
      </c>
      <c r="E932" s="21" t="n">
        <v>0</v>
      </c>
      <c r="F932" s="21" t="n">
        <v>0</v>
      </c>
      <c r="G932" s="30" t="s">
        <v>3432</v>
      </c>
    </row>
    <row r="933" customFormat="false" ht="15" hidden="false" customHeight="false" outlineLevel="0" collapsed="false">
      <c r="A933" s="28" t="n">
        <v>35093</v>
      </c>
      <c r="B933" s="28" t="n">
        <v>35099</v>
      </c>
      <c r="C933" s="21" t="n">
        <v>0</v>
      </c>
      <c r="D933" s="21" t="n">
        <v>0</v>
      </c>
      <c r="E933" s="21" t="n">
        <v>0</v>
      </c>
      <c r="F933" s="21" t="n">
        <v>0</v>
      </c>
      <c r="G933" s="30" t="s">
        <v>3432</v>
      </c>
    </row>
    <row r="934" customFormat="false" ht="15" hidden="false" customHeight="false" outlineLevel="0" collapsed="false">
      <c r="A934" s="28" t="n">
        <v>35100</v>
      </c>
      <c r="B934" s="28" t="n">
        <v>35106</v>
      </c>
      <c r="C934" s="21" t="n">
        <v>0</v>
      </c>
      <c r="D934" s="21" t="n">
        <v>0</v>
      </c>
      <c r="E934" s="21" t="n">
        <v>0</v>
      </c>
      <c r="F934" s="21" t="n">
        <v>0</v>
      </c>
      <c r="G934" s="30" t="s">
        <v>3432</v>
      </c>
    </row>
    <row r="935" customFormat="false" ht="15" hidden="false" customHeight="false" outlineLevel="0" collapsed="false">
      <c r="A935" s="28" t="n">
        <v>35107</v>
      </c>
      <c r="B935" s="28" t="n">
        <v>35113</v>
      </c>
      <c r="C935" s="21" t="n">
        <v>0</v>
      </c>
      <c r="D935" s="21" t="n">
        <v>0</v>
      </c>
      <c r="E935" s="21" t="n">
        <v>0</v>
      </c>
      <c r="F935" s="21" t="n">
        <v>0</v>
      </c>
      <c r="G935" s="30" t="s">
        <v>3432</v>
      </c>
    </row>
    <row r="936" customFormat="false" ht="15" hidden="false" customHeight="false" outlineLevel="0" collapsed="false">
      <c r="A936" s="28" t="n">
        <v>35114</v>
      </c>
      <c r="B936" s="28" t="n">
        <v>35120</v>
      </c>
      <c r="C936" s="21" t="n">
        <v>0</v>
      </c>
      <c r="D936" s="21" t="n">
        <v>0</v>
      </c>
      <c r="E936" s="21" t="n">
        <v>0</v>
      </c>
      <c r="F936" s="21" t="n">
        <v>0</v>
      </c>
      <c r="G936" s="30" t="s">
        <v>3432</v>
      </c>
    </row>
    <row r="937" customFormat="false" ht="15" hidden="false" customHeight="false" outlineLevel="0" collapsed="false">
      <c r="A937" s="28" t="n">
        <v>35121</v>
      </c>
      <c r="B937" s="28" t="n">
        <v>35127</v>
      </c>
      <c r="C937" s="21" t="n">
        <v>0</v>
      </c>
      <c r="D937" s="21" t="n">
        <v>0</v>
      </c>
      <c r="E937" s="21" t="n">
        <v>0</v>
      </c>
      <c r="F937" s="21" t="n">
        <v>0</v>
      </c>
      <c r="G937" s="30" t="s">
        <v>3432</v>
      </c>
    </row>
    <row r="938" customFormat="false" ht="15" hidden="false" customHeight="false" outlineLevel="0" collapsed="false">
      <c r="A938" s="28" t="n">
        <v>35128</v>
      </c>
      <c r="B938" s="28" t="n">
        <v>35134</v>
      </c>
      <c r="C938" s="21" t="n">
        <v>0</v>
      </c>
      <c r="D938" s="21" t="n">
        <v>0</v>
      </c>
      <c r="E938" s="21" t="n">
        <v>0</v>
      </c>
      <c r="F938" s="21" t="n">
        <v>0</v>
      </c>
      <c r="G938" s="30" t="s">
        <v>3432</v>
      </c>
    </row>
    <row r="939" customFormat="false" ht="15" hidden="false" customHeight="false" outlineLevel="0" collapsed="false">
      <c r="A939" s="28" t="n">
        <v>35135</v>
      </c>
      <c r="B939" s="28" t="n">
        <v>35141</v>
      </c>
      <c r="C939" s="21" t="n">
        <v>0</v>
      </c>
      <c r="D939" s="21" t="n">
        <v>0</v>
      </c>
      <c r="E939" s="21" t="n">
        <v>0</v>
      </c>
      <c r="F939" s="21" t="n">
        <v>0</v>
      </c>
      <c r="G939" s="30" t="s">
        <v>3432</v>
      </c>
    </row>
    <row r="940" customFormat="false" ht="15" hidden="false" customHeight="false" outlineLevel="0" collapsed="false">
      <c r="A940" s="28" t="n">
        <v>35142</v>
      </c>
      <c r="B940" s="28" t="n">
        <v>35148</v>
      </c>
      <c r="C940" s="21" t="n">
        <v>0</v>
      </c>
      <c r="D940" s="21" t="n">
        <v>0</v>
      </c>
      <c r="E940" s="21" t="n">
        <v>0</v>
      </c>
      <c r="F940" s="21" t="n">
        <v>0</v>
      </c>
      <c r="G940" s="30" t="s">
        <v>3432</v>
      </c>
    </row>
    <row r="941" customFormat="false" ht="15" hidden="false" customHeight="false" outlineLevel="0" collapsed="false">
      <c r="A941" s="28" t="n">
        <v>35149</v>
      </c>
      <c r="B941" s="28" t="n">
        <v>35155</v>
      </c>
      <c r="C941" s="21" t="n">
        <v>0</v>
      </c>
      <c r="D941" s="21" t="n">
        <v>0</v>
      </c>
      <c r="E941" s="21" t="n">
        <v>0</v>
      </c>
      <c r="F941" s="21" t="n">
        <v>0</v>
      </c>
      <c r="G941" s="30" t="s">
        <v>3432</v>
      </c>
    </row>
    <row r="942" customFormat="false" ht="15" hidden="false" customHeight="false" outlineLevel="0" collapsed="false">
      <c r="A942" s="28" t="n">
        <v>35156</v>
      </c>
      <c r="B942" s="28" t="n">
        <v>35162</v>
      </c>
      <c r="C942" s="21" t="n">
        <v>0</v>
      </c>
      <c r="D942" s="21" t="n">
        <v>0</v>
      </c>
      <c r="E942" s="21" t="n">
        <v>0</v>
      </c>
      <c r="F942" s="21" t="n">
        <v>0</v>
      </c>
      <c r="G942" s="30" t="s">
        <v>3432</v>
      </c>
    </row>
    <row r="943" customFormat="false" ht="15" hidden="false" customHeight="false" outlineLevel="0" collapsed="false">
      <c r="A943" s="28" t="n">
        <v>35163</v>
      </c>
      <c r="B943" s="28" t="n">
        <v>35169</v>
      </c>
      <c r="C943" s="21" t="n">
        <v>0</v>
      </c>
      <c r="D943" s="21" t="n">
        <v>0</v>
      </c>
      <c r="E943" s="21" t="n">
        <v>0</v>
      </c>
      <c r="F943" s="21" t="n">
        <v>0</v>
      </c>
      <c r="G943" s="30" t="s">
        <v>3432</v>
      </c>
    </row>
    <row r="944" customFormat="false" ht="15" hidden="false" customHeight="false" outlineLevel="0" collapsed="false">
      <c r="A944" s="28" t="n">
        <v>35170</v>
      </c>
      <c r="B944" s="28" t="n">
        <v>35176</v>
      </c>
      <c r="C944" s="21" t="n">
        <v>0</v>
      </c>
      <c r="D944" s="21" t="n">
        <v>0</v>
      </c>
      <c r="E944" s="21" t="n">
        <v>0</v>
      </c>
      <c r="F944" s="21" t="n">
        <v>0</v>
      </c>
      <c r="G944" s="30" t="s">
        <v>3432</v>
      </c>
    </row>
    <row r="945" customFormat="false" ht="15" hidden="false" customHeight="false" outlineLevel="0" collapsed="false">
      <c r="A945" s="28" t="n">
        <v>35177</v>
      </c>
      <c r="B945" s="28" t="n">
        <v>35183</v>
      </c>
      <c r="C945" s="21" t="n">
        <v>0</v>
      </c>
      <c r="D945" s="21" t="n">
        <v>0</v>
      </c>
      <c r="E945" s="21" t="n">
        <v>0</v>
      </c>
      <c r="F945" s="21" t="n">
        <v>0</v>
      </c>
      <c r="G945" s="30" t="s">
        <v>3432</v>
      </c>
    </row>
    <row r="946" customFormat="false" ht="15" hidden="false" customHeight="false" outlineLevel="0" collapsed="false">
      <c r="A946" s="28" t="n">
        <v>35184</v>
      </c>
      <c r="B946" s="28" t="n">
        <v>35190</v>
      </c>
      <c r="C946" s="21" t="n">
        <v>0</v>
      </c>
      <c r="D946" s="21" t="n">
        <v>0</v>
      </c>
      <c r="E946" s="21" t="n">
        <v>0</v>
      </c>
      <c r="F946" s="21" t="n">
        <v>0</v>
      </c>
      <c r="G946" s="30" t="s">
        <v>3432</v>
      </c>
    </row>
    <row r="947" customFormat="false" ht="15" hidden="false" customHeight="false" outlineLevel="0" collapsed="false">
      <c r="A947" s="28" t="n">
        <v>35191</v>
      </c>
      <c r="B947" s="28" t="n">
        <v>35197</v>
      </c>
      <c r="C947" s="21" t="n">
        <v>0</v>
      </c>
      <c r="D947" s="21" t="n">
        <v>0</v>
      </c>
      <c r="E947" s="21" t="n">
        <v>0</v>
      </c>
      <c r="F947" s="21" t="n">
        <v>0</v>
      </c>
      <c r="G947" s="30" t="s">
        <v>3432</v>
      </c>
    </row>
    <row r="948" customFormat="false" ht="15" hidden="false" customHeight="false" outlineLevel="0" collapsed="false">
      <c r="A948" s="28" t="n">
        <v>35198</v>
      </c>
      <c r="B948" s="28" t="n">
        <v>35204</v>
      </c>
      <c r="C948" s="21" t="n">
        <v>0</v>
      </c>
      <c r="D948" s="21" t="n">
        <v>0</v>
      </c>
      <c r="E948" s="21" t="n">
        <v>0</v>
      </c>
      <c r="F948" s="21" t="n">
        <v>0</v>
      </c>
      <c r="G948" s="30" t="s">
        <v>3432</v>
      </c>
    </row>
    <row r="949" customFormat="false" ht="15" hidden="false" customHeight="false" outlineLevel="0" collapsed="false">
      <c r="A949" s="28" t="n">
        <v>35205</v>
      </c>
      <c r="B949" s="28" t="n">
        <v>35211</v>
      </c>
      <c r="C949" s="21" t="n">
        <v>0</v>
      </c>
      <c r="D949" s="21" t="n">
        <v>0</v>
      </c>
      <c r="E949" s="21" t="n">
        <v>0</v>
      </c>
      <c r="F949" s="21" t="n">
        <v>0</v>
      </c>
      <c r="G949" s="30" t="s">
        <v>3432</v>
      </c>
    </row>
    <row r="950" customFormat="false" ht="15" hidden="false" customHeight="false" outlineLevel="0" collapsed="false">
      <c r="A950" s="28" t="n">
        <v>35212</v>
      </c>
      <c r="B950" s="28" t="n">
        <v>35218</v>
      </c>
      <c r="C950" s="21" t="n">
        <v>0</v>
      </c>
      <c r="D950" s="21" t="n">
        <v>0</v>
      </c>
      <c r="E950" s="21" t="n">
        <v>0</v>
      </c>
      <c r="F950" s="21" t="n">
        <v>0</v>
      </c>
      <c r="G950" s="30" t="s">
        <v>3432</v>
      </c>
    </row>
    <row r="951" customFormat="false" ht="15" hidden="false" customHeight="false" outlineLevel="0" collapsed="false">
      <c r="A951" s="28" t="n">
        <v>35219</v>
      </c>
      <c r="B951" s="28" t="n">
        <v>35225</v>
      </c>
      <c r="C951" s="21" t="n">
        <v>0</v>
      </c>
      <c r="D951" s="21" t="n">
        <v>0</v>
      </c>
      <c r="E951" s="21" t="n">
        <v>0</v>
      </c>
      <c r="F951" s="21" t="n">
        <v>0</v>
      </c>
      <c r="G951" s="30" t="s">
        <v>3432</v>
      </c>
    </row>
    <row r="952" customFormat="false" ht="15" hidden="false" customHeight="false" outlineLevel="0" collapsed="false">
      <c r="A952" s="28" t="n">
        <v>35226</v>
      </c>
      <c r="B952" s="28" t="n">
        <v>35232</v>
      </c>
      <c r="C952" s="21" t="n">
        <v>0</v>
      </c>
      <c r="D952" s="21" t="n">
        <v>0</v>
      </c>
      <c r="E952" s="21" t="n">
        <v>0</v>
      </c>
      <c r="F952" s="21" t="n">
        <v>0</v>
      </c>
      <c r="G952" s="30" t="s">
        <v>3432</v>
      </c>
    </row>
    <row r="953" customFormat="false" ht="15" hidden="false" customHeight="false" outlineLevel="0" collapsed="false">
      <c r="A953" s="28" t="n">
        <v>35233</v>
      </c>
      <c r="B953" s="28" t="n">
        <v>35239</v>
      </c>
      <c r="C953" s="21" t="n">
        <v>0</v>
      </c>
      <c r="D953" s="21" t="n">
        <v>0</v>
      </c>
      <c r="E953" s="21" t="n">
        <v>0</v>
      </c>
      <c r="F953" s="21" t="n">
        <v>0</v>
      </c>
      <c r="G953" s="30" t="s">
        <v>3432</v>
      </c>
    </row>
    <row r="954" customFormat="false" ht="15" hidden="false" customHeight="false" outlineLevel="0" collapsed="false">
      <c r="A954" s="28" t="n">
        <v>35240</v>
      </c>
      <c r="B954" s="28" t="n">
        <v>35246</v>
      </c>
      <c r="C954" s="21" t="n">
        <v>1</v>
      </c>
      <c r="D954" s="21" t="n">
        <v>0</v>
      </c>
      <c r="E954" s="21" t="n">
        <v>1</v>
      </c>
      <c r="F954" s="21" t="n">
        <v>4</v>
      </c>
      <c r="G954" s="29" t="s">
        <v>184</v>
      </c>
    </row>
    <row r="955" customFormat="false" ht="15" hidden="false" customHeight="false" outlineLevel="0" collapsed="false">
      <c r="A955" s="28" t="n">
        <v>35247</v>
      </c>
      <c r="B955" s="28" t="n">
        <v>35253</v>
      </c>
      <c r="C955" s="21" t="n">
        <v>0</v>
      </c>
      <c r="D955" s="21" t="n">
        <v>0</v>
      </c>
      <c r="E955" s="21" t="n">
        <v>0</v>
      </c>
      <c r="F955" s="21" t="n">
        <v>0</v>
      </c>
      <c r="G955" s="29" t="s">
        <v>184</v>
      </c>
    </row>
    <row r="956" customFormat="false" ht="15" hidden="false" customHeight="false" outlineLevel="0" collapsed="false">
      <c r="A956" s="28" t="n">
        <v>35254</v>
      </c>
      <c r="B956" s="28" t="n">
        <v>35260</v>
      </c>
      <c r="C956" s="21" t="n">
        <v>0</v>
      </c>
      <c r="D956" s="21" t="n">
        <v>0</v>
      </c>
      <c r="E956" s="21" t="n">
        <v>0</v>
      </c>
      <c r="F956" s="21" t="n">
        <v>0</v>
      </c>
      <c r="G956" s="30" t="s">
        <v>3432</v>
      </c>
    </row>
    <row r="957" customFormat="false" ht="15" hidden="false" customHeight="false" outlineLevel="0" collapsed="false">
      <c r="A957" s="28" t="n">
        <v>35261</v>
      </c>
      <c r="B957" s="28" t="n">
        <v>35267</v>
      </c>
      <c r="C957" s="21" t="n">
        <v>0</v>
      </c>
      <c r="D957" s="21" t="n">
        <v>0</v>
      </c>
      <c r="E957" s="21" t="n">
        <v>0</v>
      </c>
      <c r="F957" s="21" t="n">
        <v>0</v>
      </c>
      <c r="G957" s="30" t="s">
        <v>3432</v>
      </c>
    </row>
    <row r="958" customFormat="false" ht="15" hidden="false" customHeight="false" outlineLevel="0" collapsed="false">
      <c r="A958" s="28" t="n">
        <v>35268</v>
      </c>
      <c r="B958" s="28" t="n">
        <v>35274</v>
      </c>
      <c r="C958" s="21" t="n">
        <v>0</v>
      </c>
      <c r="D958" s="21" t="n">
        <v>0</v>
      </c>
      <c r="E958" s="21" t="n">
        <v>0</v>
      </c>
      <c r="F958" s="21" t="n">
        <v>0</v>
      </c>
      <c r="G958" s="30" t="s">
        <v>3432</v>
      </c>
    </row>
    <row r="959" customFormat="false" ht="15" hidden="false" customHeight="false" outlineLevel="0" collapsed="false">
      <c r="A959" s="28" t="n">
        <v>35275</v>
      </c>
      <c r="B959" s="28" t="n">
        <v>35281</v>
      </c>
      <c r="C959" s="21" t="n">
        <v>0</v>
      </c>
      <c r="D959" s="21" t="n">
        <v>0</v>
      </c>
      <c r="E959" s="21" t="n">
        <v>0</v>
      </c>
      <c r="F959" s="21" t="n">
        <v>0</v>
      </c>
      <c r="G959" s="30" t="s">
        <v>3432</v>
      </c>
    </row>
    <row r="960" customFormat="false" ht="15" hidden="false" customHeight="false" outlineLevel="0" collapsed="false">
      <c r="A960" s="28" t="n">
        <v>35282</v>
      </c>
      <c r="B960" s="28" t="n">
        <v>35288</v>
      </c>
      <c r="C960" s="21" t="n">
        <v>0</v>
      </c>
      <c r="D960" s="21" t="n">
        <v>0</v>
      </c>
      <c r="E960" s="21" t="n">
        <v>0</v>
      </c>
      <c r="F960" s="21" t="n">
        <v>0</v>
      </c>
      <c r="G960" s="30" t="s">
        <v>3432</v>
      </c>
    </row>
    <row r="961" customFormat="false" ht="15" hidden="false" customHeight="false" outlineLevel="0" collapsed="false">
      <c r="A961" s="28" t="n">
        <v>35289</v>
      </c>
      <c r="B961" s="28" t="n">
        <v>35295</v>
      </c>
      <c r="C961" s="21" t="n">
        <v>0</v>
      </c>
      <c r="D961" s="21" t="n">
        <v>0</v>
      </c>
      <c r="E961" s="21" t="n">
        <v>0</v>
      </c>
      <c r="F961" s="21" t="n">
        <v>0</v>
      </c>
      <c r="G961" s="30" t="s">
        <v>3432</v>
      </c>
    </row>
    <row r="962" customFormat="false" ht="15" hidden="false" customHeight="false" outlineLevel="0" collapsed="false">
      <c r="A962" s="28" t="n">
        <v>35296</v>
      </c>
      <c r="B962" s="28" t="n">
        <v>35302</v>
      </c>
      <c r="C962" s="21" t="n">
        <v>0</v>
      </c>
      <c r="D962" s="21" t="n">
        <v>0</v>
      </c>
      <c r="E962" s="21" t="n">
        <v>0</v>
      </c>
      <c r="F962" s="21" t="n">
        <v>0</v>
      </c>
      <c r="G962" s="30" t="s">
        <v>3432</v>
      </c>
    </row>
    <row r="963" customFormat="false" ht="15" hidden="false" customHeight="false" outlineLevel="0" collapsed="false">
      <c r="A963" s="28" t="n">
        <v>35303</v>
      </c>
      <c r="B963" s="28" t="n">
        <v>35309</v>
      </c>
      <c r="C963" s="21" t="n">
        <v>0</v>
      </c>
      <c r="D963" s="21" t="n">
        <v>0</v>
      </c>
      <c r="E963" s="21" t="n">
        <v>0</v>
      </c>
      <c r="F963" s="21" t="n">
        <v>0</v>
      </c>
      <c r="G963" s="30" t="s">
        <v>3432</v>
      </c>
    </row>
    <row r="964" customFormat="false" ht="15" hidden="false" customHeight="false" outlineLevel="0" collapsed="false">
      <c r="A964" s="28" t="n">
        <v>35310</v>
      </c>
      <c r="B964" s="28" t="n">
        <v>35316</v>
      </c>
      <c r="C964" s="21" t="n">
        <v>0</v>
      </c>
      <c r="D964" s="21" t="n">
        <v>0</v>
      </c>
      <c r="E964" s="21" t="n">
        <v>0</v>
      </c>
      <c r="F964" s="21" t="n">
        <v>0</v>
      </c>
      <c r="G964" s="30" t="s">
        <v>3432</v>
      </c>
    </row>
    <row r="965" customFormat="false" ht="15" hidden="false" customHeight="false" outlineLevel="0" collapsed="false">
      <c r="A965" s="28" t="n">
        <v>35317</v>
      </c>
      <c r="B965" s="28" t="n">
        <v>35323</v>
      </c>
      <c r="C965" s="21" t="n">
        <v>0</v>
      </c>
      <c r="D965" s="21" t="n">
        <v>0</v>
      </c>
      <c r="E965" s="21" t="n">
        <v>0</v>
      </c>
      <c r="F965" s="21" t="n">
        <v>0</v>
      </c>
      <c r="G965" s="30" t="s">
        <v>3432</v>
      </c>
    </row>
    <row r="966" customFormat="false" ht="15" hidden="false" customHeight="false" outlineLevel="0" collapsed="false">
      <c r="A966" s="28" t="n">
        <v>35324</v>
      </c>
      <c r="B966" s="28" t="n">
        <v>35330</v>
      </c>
      <c r="C966" s="21" t="n">
        <v>0</v>
      </c>
      <c r="D966" s="21" t="n">
        <v>0</v>
      </c>
      <c r="E966" s="21" t="n">
        <v>0</v>
      </c>
      <c r="F966" s="21" t="n">
        <v>0</v>
      </c>
      <c r="G966" s="30" t="s">
        <v>3432</v>
      </c>
    </row>
    <row r="967" customFormat="false" ht="15" hidden="false" customHeight="false" outlineLevel="0" collapsed="false">
      <c r="A967" s="28" t="n">
        <v>35331</v>
      </c>
      <c r="B967" s="28" t="n">
        <v>35337</v>
      </c>
      <c r="C967" s="21" t="n">
        <v>0</v>
      </c>
      <c r="D967" s="21" t="n">
        <v>0</v>
      </c>
      <c r="E967" s="21" t="n">
        <v>0</v>
      </c>
      <c r="F967" s="21" t="n">
        <v>0</v>
      </c>
      <c r="G967" s="30" t="s">
        <v>3432</v>
      </c>
    </row>
    <row r="968" customFormat="false" ht="15" hidden="false" customHeight="false" outlineLevel="0" collapsed="false">
      <c r="A968" s="28" t="n">
        <v>35338</v>
      </c>
      <c r="B968" s="28" t="n">
        <v>35344</v>
      </c>
      <c r="C968" s="21" t="n">
        <v>0</v>
      </c>
      <c r="D968" s="21" t="n">
        <v>0</v>
      </c>
      <c r="E968" s="21" t="n">
        <v>0</v>
      </c>
      <c r="F968" s="21" t="n">
        <v>0</v>
      </c>
      <c r="G968" s="30" t="s">
        <v>3432</v>
      </c>
    </row>
    <row r="969" customFormat="false" ht="15" hidden="false" customHeight="false" outlineLevel="0" collapsed="false">
      <c r="A969" s="28" t="n">
        <v>35345</v>
      </c>
      <c r="B969" s="28" t="n">
        <v>35351</v>
      </c>
      <c r="C969" s="21" t="n">
        <v>0</v>
      </c>
      <c r="D969" s="21" t="n">
        <v>0</v>
      </c>
      <c r="E969" s="21" t="n">
        <v>0</v>
      </c>
      <c r="F969" s="21" t="n">
        <v>0</v>
      </c>
      <c r="G969" s="30" t="s">
        <v>3432</v>
      </c>
    </row>
    <row r="970" customFormat="false" ht="15" hidden="false" customHeight="false" outlineLevel="0" collapsed="false">
      <c r="A970" s="28" t="n">
        <v>35352</v>
      </c>
      <c r="B970" s="28" t="n">
        <v>35358</v>
      </c>
      <c r="C970" s="21" t="n">
        <v>0</v>
      </c>
      <c r="D970" s="21" t="n">
        <v>0</v>
      </c>
      <c r="E970" s="21" t="n">
        <v>0</v>
      </c>
      <c r="F970" s="21" t="n">
        <v>0</v>
      </c>
      <c r="G970" s="30" t="s">
        <v>3432</v>
      </c>
    </row>
    <row r="971" customFormat="false" ht="15" hidden="false" customHeight="false" outlineLevel="0" collapsed="false">
      <c r="A971" s="28" t="n">
        <v>35359</v>
      </c>
      <c r="B971" s="28" t="n">
        <v>35365</v>
      </c>
      <c r="C971" s="21" t="n">
        <v>0</v>
      </c>
      <c r="D971" s="21" t="n">
        <v>0</v>
      </c>
      <c r="E971" s="21" t="n">
        <v>0</v>
      </c>
      <c r="F971" s="21" t="n">
        <v>0</v>
      </c>
      <c r="G971" s="30" t="s">
        <v>3432</v>
      </c>
    </row>
    <row r="972" customFormat="false" ht="15" hidden="false" customHeight="false" outlineLevel="0" collapsed="false">
      <c r="A972" s="28" t="n">
        <v>35366</v>
      </c>
      <c r="B972" s="28" t="n">
        <v>35372</v>
      </c>
      <c r="C972" s="21" t="n">
        <v>0</v>
      </c>
      <c r="D972" s="21" t="n">
        <v>0</v>
      </c>
      <c r="E972" s="21" t="n">
        <v>0</v>
      </c>
      <c r="F972" s="21" t="n">
        <v>0</v>
      </c>
      <c r="G972" s="30" t="s">
        <v>3432</v>
      </c>
    </row>
    <row r="973" customFormat="false" ht="15" hidden="false" customHeight="false" outlineLevel="0" collapsed="false">
      <c r="A973" s="28" t="n">
        <v>35373</v>
      </c>
      <c r="B973" s="28" t="n">
        <v>35379</v>
      </c>
      <c r="C973" s="21" t="n">
        <v>0</v>
      </c>
      <c r="D973" s="21" t="n">
        <v>0</v>
      </c>
      <c r="E973" s="21" t="n">
        <v>0</v>
      </c>
      <c r="F973" s="21" t="n">
        <v>0</v>
      </c>
      <c r="G973" s="30" t="s">
        <v>3432</v>
      </c>
    </row>
    <row r="974" customFormat="false" ht="15" hidden="false" customHeight="false" outlineLevel="0" collapsed="false">
      <c r="A974" s="28" t="n">
        <v>35380</v>
      </c>
      <c r="B974" s="28" t="n">
        <v>35386</v>
      </c>
      <c r="C974" s="21" t="n">
        <v>0</v>
      </c>
      <c r="D974" s="21" t="n">
        <v>0</v>
      </c>
      <c r="E974" s="21" t="n">
        <v>0</v>
      </c>
      <c r="F974" s="21" t="n">
        <v>0</v>
      </c>
      <c r="G974" s="30" t="s">
        <v>3432</v>
      </c>
    </row>
    <row r="975" customFormat="false" ht="15" hidden="false" customHeight="false" outlineLevel="0" collapsed="false">
      <c r="A975" s="28" t="n">
        <v>35387</v>
      </c>
      <c r="B975" s="28" t="n">
        <v>35393</v>
      </c>
      <c r="C975" s="21" t="n">
        <v>0</v>
      </c>
      <c r="D975" s="21" t="n">
        <v>0</v>
      </c>
      <c r="E975" s="21" t="n">
        <v>0</v>
      </c>
      <c r="F975" s="21" t="n">
        <v>0</v>
      </c>
      <c r="G975" s="30" t="s">
        <v>3432</v>
      </c>
    </row>
    <row r="976" customFormat="false" ht="15" hidden="false" customHeight="false" outlineLevel="0" collapsed="false">
      <c r="A976" s="28" t="n">
        <v>35394</v>
      </c>
      <c r="B976" s="28" t="n">
        <v>35400</v>
      </c>
      <c r="C976" s="21" t="n">
        <v>0</v>
      </c>
      <c r="D976" s="21" t="n">
        <v>0</v>
      </c>
      <c r="E976" s="21" t="n">
        <v>0</v>
      </c>
      <c r="F976" s="21" t="n">
        <v>0</v>
      </c>
      <c r="G976" s="30" t="s">
        <v>3432</v>
      </c>
    </row>
    <row r="977" customFormat="false" ht="15" hidden="false" customHeight="false" outlineLevel="0" collapsed="false">
      <c r="A977" s="28" t="n">
        <v>35401</v>
      </c>
      <c r="B977" s="28" t="n">
        <v>35407</v>
      </c>
      <c r="C977" s="21" t="n">
        <v>0</v>
      </c>
      <c r="D977" s="21" t="n">
        <v>0</v>
      </c>
      <c r="E977" s="21" t="n">
        <v>0</v>
      </c>
      <c r="F977" s="21" t="n">
        <v>0</v>
      </c>
      <c r="G977" s="30" t="s">
        <v>3432</v>
      </c>
    </row>
    <row r="978" customFormat="false" ht="15" hidden="false" customHeight="false" outlineLevel="0" collapsed="false">
      <c r="A978" s="28" t="n">
        <v>35408</v>
      </c>
      <c r="B978" s="28" t="n">
        <v>35414</v>
      </c>
      <c r="C978" s="21" t="n">
        <v>0</v>
      </c>
      <c r="D978" s="21" t="n">
        <v>0</v>
      </c>
      <c r="E978" s="21" t="n">
        <v>0</v>
      </c>
      <c r="F978" s="21" t="n">
        <v>0</v>
      </c>
      <c r="G978" s="30" t="s">
        <v>3432</v>
      </c>
    </row>
    <row r="979" customFormat="false" ht="15" hidden="false" customHeight="false" outlineLevel="0" collapsed="false">
      <c r="A979" s="28" t="n">
        <v>35415</v>
      </c>
      <c r="B979" s="28" t="n">
        <v>35421</v>
      </c>
      <c r="C979" s="21" t="n">
        <v>0</v>
      </c>
      <c r="D979" s="21" t="n">
        <v>0</v>
      </c>
      <c r="E979" s="21" t="n">
        <v>0</v>
      </c>
      <c r="F979" s="21" t="n">
        <v>0</v>
      </c>
      <c r="G979" s="30" t="s">
        <v>3432</v>
      </c>
    </row>
    <row r="980" customFormat="false" ht="15" hidden="false" customHeight="false" outlineLevel="0" collapsed="false">
      <c r="A980" s="28" t="n">
        <v>35422</v>
      </c>
      <c r="B980" s="28" t="n">
        <v>35428</v>
      </c>
      <c r="C980" s="21" t="n">
        <v>0</v>
      </c>
      <c r="D980" s="21" t="n">
        <v>0</v>
      </c>
      <c r="E980" s="21" t="n">
        <v>0</v>
      </c>
      <c r="F980" s="21" t="n">
        <v>0</v>
      </c>
      <c r="G980" s="30" t="s">
        <v>3432</v>
      </c>
    </row>
    <row r="981" customFormat="false" ht="15" hidden="false" customHeight="false" outlineLevel="0" collapsed="false">
      <c r="A981" s="28" t="n">
        <v>35429</v>
      </c>
      <c r="B981" s="28" t="n">
        <v>35435</v>
      </c>
      <c r="C981" s="21" t="n">
        <v>0</v>
      </c>
      <c r="D981" s="21" t="n">
        <v>0</v>
      </c>
      <c r="E981" s="21" t="n">
        <v>0</v>
      </c>
      <c r="F981" s="21" t="n">
        <v>0</v>
      </c>
      <c r="G981" s="30" t="s">
        <v>3432</v>
      </c>
    </row>
    <row r="982" customFormat="false" ht="15" hidden="false" customHeight="false" outlineLevel="0" collapsed="false">
      <c r="A982" s="28" t="n">
        <v>35436</v>
      </c>
      <c r="B982" s="28" t="n">
        <v>35442</v>
      </c>
      <c r="C982" s="21" t="n">
        <v>0</v>
      </c>
      <c r="D982" s="21" t="n">
        <v>0</v>
      </c>
      <c r="E982" s="21" t="n">
        <v>0</v>
      </c>
      <c r="F982" s="21" t="n">
        <v>0</v>
      </c>
      <c r="G982" s="30" t="s">
        <v>3432</v>
      </c>
    </row>
    <row r="983" customFormat="false" ht="15" hidden="false" customHeight="false" outlineLevel="0" collapsed="false">
      <c r="A983" s="28" t="n">
        <v>35443</v>
      </c>
      <c r="B983" s="28" t="n">
        <v>35449</v>
      </c>
      <c r="C983" s="21" t="n">
        <v>0</v>
      </c>
      <c r="D983" s="21" t="n">
        <v>0</v>
      </c>
      <c r="E983" s="21" t="n">
        <v>0</v>
      </c>
      <c r="F983" s="21" t="n">
        <v>0</v>
      </c>
      <c r="G983" s="30" t="s">
        <v>3432</v>
      </c>
    </row>
    <row r="984" customFormat="false" ht="15" hidden="false" customHeight="false" outlineLevel="0" collapsed="false">
      <c r="A984" s="28" t="n">
        <v>35450</v>
      </c>
      <c r="B984" s="28" t="n">
        <v>35456</v>
      </c>
      <c r="C984" s="21" t="n">
        <v>0</v>
      </c>
      <c r="D984" s="21" t="n">
        <v>0</v>
      </c>
      <c r="E984" s="21" t="n">
        <v>0</v>
      </c>
      <c r="F984" s="21" t="n">
        <v>0</v>
      </c>
      <c r="G984" s="30" t="s">
        <v>3432</v>
      </c>
    </row>
    <row r="985" customFormat="false" ht="15" hidden="false" customHeight="false" outlineLevel="0" collapsed="false">
      <c r="A985" s="28" t="n">
        <v>35457</v>
      </c>
      <c r="B985" s="28" t="n">
        <v>35463</v>
      </c>
      <c r="C985" s="21" t="n">
        <v>0</v>
      </c>
      <c r="D985" s="21" t="n">
        <v>0</v>
      </c>
      <c r="E985" s="21" t="n">
        <v>0</v>
      </c>
      <c r="F985" s="21" t="n">
        <v>0</v>
      </c>
      <c r="G985" s="30" t="s">
        <v>3432</v>
      </c>
    </row>
    <row r="986" customFormat="false" ht="15" hidden="false" customHeight="false" outlineLevel="0" collapsed="false">
      <c r="A986" s="28" t="n">
        <v>35464</v>
      </c>
      <c r="B986" s="28" t="n">
        <v>35470</v>
      </c>
      <c r="C986" s="21" t="n">
        <v>0</v>
      </c>
      <c r="D986" s="21" t="n">
        <v>0</v>
      </c>
      <c r="E986" s="21" t="n">
        <v>0</v>
      </c>
      <c r="F986" s="21" t="n">
        <v>0</v>
      </c>
      <c r="G986" s="30" t="s">
        <v>3432</v>
      </c>
    </row>
    <row r="987" customFormat="false" ht="15" hidden="false" customHeight="false" outlineLevel="0" collapsed="false">
      <c r="A987" s="28" t="n">
        <v>35471</v>
      </c>
      <c r="B987" s="28" t="n">
        <v>35477</v>
      </c>
      <c r="C987" s="21" t="n">
        <v>0</v>
      </c>
      <c r="D987" s="21" t="n">
        <v>0</v>
      </c>
      <c r="E987" s="21" t="n">
        <v>0</v>
      </c>
      <c r="F987" s="21" t="n">
        <v>0</v>
      </c>
      <c r="G987" s="30" t="s">
        <v>3432</v>
      </c>
    </row>
    <row r="988" customFormat="false" ht="15" hidden="false" customHeight="false" outlineLevel="0" collapsed="false">
      <c r="A988" s="28" t="n">
        <v>35478</v>
      </c>
      <c r="B988" s="28" t="n">
        <v>35484</v>
      </c>
      <c r="C988" s="21" t="n">
        <v>0</v>
      </c>
      <c r="D988" s="21" t="n">
        <v>0</v>
      </c>
      <c r="E988" s="21" t="n">
        <v>0</v>
      </c>
      <c r="F988" s="21" t="n">
        <v>0</v>
      </c>
      <c r="G988" s="30" t="s">
        <v>3432</v>
      </c>
    </row>
    <row r="989" customFormat="false" ht="15" hidden="false" customHeight="false" outlineLevel="0" collapsed="false">
      <c r="A989" s="28" t="n">
        <v>35485</v>
      </c>
      <c r="B989" s="28" t="n">
        <v>35491</v>
      </c>
      <c r="C989" s="21" t="n">
        <v>0</v>
      </c>
      <c r="D989" s="21" t="n">
        <v>0</v>
      </c>
      <c r="E989" s="21" t="n">
        <v>0</v>
      </c>
      <c r="F989" s="21" t="n">
        <v>0</v>
      </c>
      <c r="G989" s="30" t="s">
        <v>3432</v>
      </c>
    </row>
    <row r="990" customFormat="false" ht="15" hidden="false" customHeight="false" outlineLevel="0" collapsed="false">
      <c r="A990" s="28" t="n">
        <v>35492</v>
      </c>
      <c r="B990" s="28" t="n">
        <v>35498</v>
      </c>
      <c r="C990" s="21" t="n">
        <v>0</v>
      </c>
      <c r="D990" s="21" t="n">
        <v>0</v>
      </c>
      <c r="E990" s="21" t="n">
        <v>0</v>
      </c>
      <c r="F990" s="21" t="n">
        <v>0</v>
      </c>
      <c r="G990" s="30" t="s">
        <v>3432</v>
      </c>
    </row>
    <row r="991" customFormat="false" ht="15" hidden="false" customHeight="false" outlineLevel="0" collapsed="false">
      <c r="A991" s="28" t="n">
        <v>35499</v>
      </c>
      <c r="B991" s="28" t="n">
        <v>35505</v>
      </c>
      <c r="C991" s="21" t="n">
        <v>0</v>
      </c>
      <c r="D991" s="21" t="n">
        <v>0</v>
      </c>
      <c r="E991" s="21" t="n">
        <v>0</v>
      </c>
      <c r="F991" s="21" t="n">
        <v>0</v>
      </c>
      <c r="G991" s="30" t="s">
        <v>3432</v>
      </c>
    </row>
    <row r="992" customFormat="false" ht="15" hidden="false" customHeight="false" outlineLevel="0" collapsed="false">
      <c r="A992" s="28" t="n">
        <v>35506</v>
      </c>
      <c r="B992" s="28" t="n">
        <v>35512</v>
      </c>
      <c r="C992" s="21" t="n">
        <v>0</v>
      </c>
      <c r="D992" s="21" t="n">
        <v>0</v>
      </c>
      <c r="E992" s="21" t="n">
        <v>0</v>
      </c>
      <c r="F992" s="21" t="n">
        <v>0</v>
      </c>
      <c r="G992" s="30" t="s">
        <v>3432</v>
      </c>
    </row>
    <row r="993" customFormat="false" ht="15" hidden="false" customHeight="false" outlineLevel="0" collapsed="false">
      <c r="A993" s="28" t="n">
        <v>35513</v>
      </c>
      <c r="B993" s="28" t="n">
        <v>35519</v>
      </c>
      <c r="C993" s="21" t="n">
        <v>0</v>
      </c>
      <c r="D993" s="21" t="n">
        <v>0</v>
      </c>
      <c r="E993" s="21" t="n">
        <v>0</v>
      </c>
      <c r="F993" s="21" t="n">
        <v>0</v>
      </c>
      <c r="G993" s="30" t="s">
        <v>3432</v>
      </c>
    </row>
    <row r="994" customFormat="false" ht="15" hidden="false" customHeight="false" outlineLevel="0" collapsed="false">
      <c r="A994" s="28" t="n">
        <v>35520</v>
      </c>
      <c r="B994" s="28" t="n">
        <v>35526</v>
      </c>
      <c r="C994" s="21" t="n">
        <v>0</v>
      </c>
      <c r="D994" s="21" t="n">
        <v>0</v>
      </c>
      <c r="E994" s="21" t="n">
        <v>0</v>
      </c>
      <c r="F994" s="21" t="n">
        <v>0</v>
      </c>
      <c r="G994" s="30" t="s">
        <v>3432</v>
      </c>
    </row>
    <row r="995" customFormat="false" ht="15" hidden="false" customHeight="false" outlineLevel="0" collapsed="false">
      <c r="A995" s="28" t="n">
        <v>35527</v>
      </c>
      <c r="B995" s="28" t="n">
        <v>35533</v>
      </c>
      <c r="C995" s="21" t="n">
        <v>0</v>
      </c>
      <c r="D995" s="21" t="n">
        <v>0</v>
      </c>
      <c r="E995" s="21" t="n">
        <v>0</v>
      </c>
      <c r="F995" s="21" t="n">
        <v>0</v>
      </c>
      <c r="G995" s="30" t="s">
        <v>3432</v>
      </c>
    </row>
    <row r="996" customFormat="false" ht="15" hidden="false" customHeight="false" outlineLevel="0" collapsed="false">
      <c r="A996" s="28" t="n">
        <v>35534</v>
      </c>
      <c r="B996" s="28" t="n">
        <v>35540</v>
      </c>
      <c r="C996" s="21" t="n">
        <v>0</v>
      </c>
      <c r="D996" s="21" t="n">
        <v>0</v>
      </c>
      <c r="E996" s="21" t="n">
        <v>0</v>
      </c>
      <c r="F996" s="21" t="n">
        <v>0</v>
      </c>
      <c r="G996" s="30" t="s">
        <v>3432</v>
      </c>
    </row>
    <row r="997" customFormat="false" ht="15" hidden="false" customHeight="false" outlineLevel="0" collapsed="false">
      <c r="A997" s="28" t="n">
        <v>35541</v>
      </c>
      <c r="B997" s="28" t="n">
        <v>35547</v>
      </c>
      <c r="C997" s="21" t="n">
        <v>0</v>
      </c>
      <c r="D997" s="21" t="n">
        <v>0</v>
      </c>
      <c r="E997" s="21" t="n">
        <v>0</v>
      </c>
      <c r="F997" s="21" t="n">
        <v>0</v>
      </c>
      <c r="G997" s="30" t="s">
        <v>3432</v>
      </c>
    </row>
    <row r="998" customFormat="false" ht="15" hidden="false" customHeight="false" outlineLevel="0" collapsed="false">
      <c r="A998" s="28" t="n">
        <v>35548</v>
      </c>
      <c r="B998" s="28" t="n">
        <v>35554</v>
      </c>
      <c r="C998" s="21" t="n">
        <v>0</v>
      </c>
      <c r="D998" s="21" t="n">
        <v>0</v>
      </c>
      <c r="E998" s="21" t="n">
        <v>0</v>
      </c>
      <c r="F998" s="21" t="n">
        <v>0</v>
      </c>
      <c r="G998" s="30" t="s">
        <v>3432</v>
      </c>
    </row>
    <row r="999" customFormat="false" ht="15" hidden="false" customHeight="false" outlineLevel="0" collapsed="false">
      <c r="A999" s="28" t="n">
        <v>35555</v>
      </c>
      <c r="B999" s="28" t="n">
        <v>35561</v>
      </c>
      <c r="C999" s="21" t="n">
        <v>0</v>
      </c>
      <c r="D999" s="21" t="n">
        <v>0</v>
      </c>
      <c r="E999" s="21" t="n">
        <v>0</v>
      </c>
      <c r="F999" s="21" t="n">
        <v>0</v>
      </c>
      <c r="G999" s="30" t="s">
        <v>3432</v>
      </c>
    </row>
    <row r="1000" customFormat="false" ht="15" hidden="false" customHeight="false" outlineLevel="0" collapsed="false">
      <c r="A1000" s="28" t="n">
        <v>35562</v>
      </c>
      <c r="B1000" s="28" t="n">
        <v>35568</v>
      </c>
      <c r="C1000" s="21" t="n">
        <v>0</v>
      </c>
      <c r="D1000" s="21" t="n">
        <v>0</v>
      </c>
      <c r="E1000" s="21" t="n">
        <v>0</v>
      </c>
      <c r="F1000" s="21" t="n">
        <v>0</v>
      </c>
      <c r="G1000" s="30" t="s">
        <v>3432</v>
      </c>
    </row>
    <row r="1001" customFormat="false" ht="15" hidden="false" customHeight="false" outlineLevel="0" collapsed="false">
      <c r="A1001" s="28" t="n">
        <v>35569</v>
      </c>
      <c r="B1001" s="28" t="n">
        <v>35575</v>
      </c>
      <c r="C1001" s="21" t="n">
        <v>0</v>
      </c>
      <c r="D1001" s="21" t="n">
        <v>0</v>
      </c>
      <c r="E1001" s="21" t="n">
        <v>0</v>
      </c>
      <c r="F1001" s="21" t="n">
        <v>0</v>
      </c>
      <c r="G1001" s="30" t="s">
        <v>3432</v>
      </c>
    </row>
    <row r="1002" customFormat="false" ht="15" hidden="false" customHeight="false" outlineLevel="0" collapsed="false">
      <c r="A1002" s="28" t="n">
        <v>35576</v>
      </c>
      <c r="B1002" s="28" t="n">
        <v>35582</v>
      </c>
      <c r="C1002" s="21" t="n">
        <v>0</v>
      </c>
      <c r="D1002" s="21" t="n">
        <v>0</v>
      </c>
      <c r="E1002" s="21" t="n">
        <v>0</v>
      </c>
      <c r="F1002" s="21" t="n">
        <v>0</v>
      </c>
      <c r="G1002" s="30" t="s">
        <v>3432</v>
      </c>
    </row>
    <row r="1003" customFormat="false" ht="15" hidden="false" customHeight="false" outlineLevel="0" collapsed="false">
      <c r="A1003" s="28" t="n">
        <v>35583</v>
      </c>
      <c r="B1003" s="28" t="n">
        <v>35589</v>
      </c>
      <c r="C1003" s="21" t="n">
        <v>0</v>
      </c>
      <c r="D1003" s="21" t="n">
        <v>0</v>
      </c>
      <c r="E1003" s="21" t="n">
        <v>0</v>
      </c>
      <c r="F1003" s="21" t="n">
        <v>0</v>
      </c>
      <c r="G1003" s="30" t="s">
        <v>3432</v>
      </c>
    </row>
    <row r="1004" customFormat="false" ht="15" hidden="false" customHeight="false" outlineLevel="0" collapsed="false">
      <c r="A1004" s="28" t="n">
        <v>35590</v>
      </c>
      <c r="B1004" s="28" t="n">
        <v>35596</v>
      </c>
      <c r="C1004" s="21" t="n">
        <v>0</v>
      </c>
      <c r="D1004" s="21" t="n">
        <v>0</v>
      </c>
      <c r="E1004" s="21" t="n">
        <v>0</v>
      </c>
      <c r="F1004" s="21" t="n">
        <v>0</v>
      </c>
      <c r="G1004" s="30" t="s">
        <v>3432</v>
      </c>
    </row>
    <row r="1005" customFormat="false" ht="15" hidden="false" customHeight="false" outlineLevel="0" collapsed="false">
      <c r="A1005" s="28" t="n">
        <v>35597</v>
      </c>
      <c r="B1005" s="28" t="n">
        <v>35603</v>
      </c>
      <c r="C1005" s="21" t="n">
        <v>0</v>
      </c>
      <c r="D1005" s="21" t="n">
        <v>0</v>
      </c>
      <c r="E1005" s="21" t="n">
        <v>0</v>
      </c>
      <c r="F1005" s="21" t="n">
        <v>0</v>
      </c>
      <c r="G1005" s="30" t="s">
        <v>3432</v>
      </c>
    </row>
    <row r="1006" customFormat="false" ht="15" hidden="false" customHeight="false" outlineLevel="0" collapsed="false">
      <c r="A1006" s="28" t="n">
        <v>35604</v>
      </c>
      <c r="B1006" s="28" t="n">
        <v>35610</v>
      </c>
      <c r="C1006" s="21" t="n">
        <v>0</v>
      </c>
      <c r="D1006" s="21" t="n">
        <v>0</v>
      </c>
      <c r="E1006" s="21" t="n">
        <v>0</v>
      </c>
      <c r="F1006" s="21" t="n">
        <v>0</v>
      </c>
      <c r="G1006" s="30" t="s">
        <v>3432</v>
      </c>
    </row>
    <row r="1007" customFormat="false" ht="15" hidden="false" customHeight="false" outlineLevel="0" collapsed="false">
      <c r="A1007" s="28" t="n">
        <v>35611</v>
      </c>
      <c r="B1007" s="28" t="n">
        <v>35617</v>
      </c>
      <c r="C1007" s="21" t="n">
        <v>0</v>
      </c>
      <c r="D1007" s="21" t="n">
        <v>0</v>
      </c>
      <c r="E1007" s="21" t="n">
        <v>0</v>
      </c>
      <c r="F1007" s="21" t="n">
        <v>0</v>
      </c>
      <c r="G1007" s="30" t="s">
        <v>3432</v>
      </c>
    </row>
    <row r="1008" customFormat="false" ht="15" hidden="false" customHeight="false" outlineLevel="0" collapsed="false">
      <c r="A1008" s="28" t="n">
        <v>35618</v>
      </c>
      <c r="B1008" s="28" t="n">
        <v>35624</v>
      </c>
      <c r="C1008" s="21" t="n">
        <v>0</v>
      </c>
      <c r="D1008" s="21" t="n">
        <v>0</v>
      </c>
      <c r="E1008" s="21" t="n">
        <v>0</v>
      </c>
      <c r="F1008" s="21" t="n">
        <v>0</v>
      </c>
      <c r="G1008" s="30" t="s">
        <v>3432</v>
      </c>
    </row>
    <row r="1009" customFormat="false" ht="15" hidden="false" customHeight="false" outlineLevel="0" collapsed="false">
      <c r="A1009" s="28" t="n">
        <v>35625</v>
      </c>
      <c r="B1009" s="28" t="n">
        <v>35631</v>
      </c>
      <c r="C1009" s="21" t="n">
        <v>0</v>
      </c>
      <c r="D1009" s="21" t="n">
        <v>0</v>
      </c>
      <c r="E1009" s="21" t="n">
        <v>0</v>
      </c>
      <c r="F1009" s="21" t="n">
        <v>0</v>
      </c>
      <c r="G1009" s="30" t="s">
        <v>3432</v>
      </c>
    </row>
    <row r="1010" customFormat="false" ht="15" hidden="false" customHeight="false" outlineLevel="0" collapsed="false">
      <c r="A1010" s="28" t="n">
        <v>35632</v>
      </c>
      <c r="B1010" s="28" t="n">
        <v>35638</v>
      </c>
      <c r="C1010" s="21" t="n">
        <v>0</v>
      </c>
      <c r="D1010" s="21" t="n">
        <v>0</v>
      </c>
      <c r="E1010" s="21" t="n">
        <v>0</v>
      </c>
      <c r="F1010" s="21" t="n">
        <v>0</v>
      </c>
      <c r="G1010" s="30" t="s">
        <v>3432</v>
      </c>
    </row>
    <row r="1011" customFormat="false" ht="15" hidden="false" customHeight="false" outlineLevel="0" collapsed="false">
      <c r="A1011" s="28" t="n">
        <v>35639</v>
      </c>
      <c r="B1011" s="28" t="n">
        <v>35645</v>
      </c>
      <c r="C1011" s="21" t="n">
        <v>0</v>
      </c>
      <c r="D1011" s="21" t="n">
        <v>0</v>
      </c>
      <c r="E1011" s="21" t="n">
        <v>0</v>
      </c>
      <c r="F1011" s="21" t="n">
        <v>0</v>
      </c>
      <c r="G1011" s="30" t="s">
        <v>3432</v>
      </c>
    </row>
    <row r="1012" customFormat="false" ht="15" hidden="false" customHeight="false" outlineLevel="0" collapsed="false">
      <c r="A1012" s="28" t="n">
        <v>35646</v>
      </c>
      <c r="B1012" s="28" t="n">
        <v>35652</v>
      </c>
      <c r="C1012" s="21" t="n">
        <v>0</v>
      </c>
      <c r="D1012" s="21" t="n">
        <v>0</v>
      </c>
      <c r="E1012" s="21" t="n">
        <v>0</v>
      </c>
      <c r="F1012" s="21" t="n">
        <v>0</v>
      </c>
      <c r="G1012" s="30" t="s">
        <v>3432</v>
      </c>
    </row>
    <row r="1013" customFormat="false" ht="15" hidden="false" customHeight="false" outlineLevel="0" collapsed="false">
      <c r="A1013" s="28" t="n">
        <v>35653</v>
      </c>
      <c r="B1013" s="28" t="n">
        <v>35659</v>
      </c>
      <c r="C1013" s="21" t="n">
        <v>0</v>
      </c>
      <c r="D1013" s="21" t="n">
        <v>0</v>
      </c>
      <c r="E1013" s="21" t="n">
        <v>0</v>
      </c>
      <c r="F1013" s="21" t="n">
        <v>0</v>
      </c>
      <c r="G1013" s="30" t="s">
        <v>3432</v>
      </c>
    </row>
    <row r="1014" customFormat="false" ht="15" hidden="false" customHeight="false" outlineLevel="0" collapsed="false">
      <c r="A1014" s="28" t="n">
        <v>35660</v>
      </c>
      <c r="B1014" s="28" t="n">
        <v>35666</v>
      </c>
      <c r="C1014" s="21" t="n">
        <v>0</v>
      </c>
      <c r="D1014" s="21" t="n">
        <v>0</v>
      </c>
      <c r="E1014" s="21" t="n">
        <v>0</v>
      </c>
      <c r="F1014" s="21" t="n">
        <v>0</v>
      </c>
      <c r="G1014" s="30" t="s">
        <v>3432</v>
      </c>
    </row>
    <row r="1015" customFormat="false" ht="15" hidden="false" customHeight="false" outlineLevel="0" collapsed="false">
      <c r="A1015" s="28" t="n">
        <v>35667</v>
      </c>
      <c r="B1015" s="28" t="n">
        <v>35673</v>
      </c>
      <c r="C1015" s="21" t="n">
        <v>0</v>
      </c>
      <c r="D1015" s="21" t="n">
        <v>0</v>
      </c>
      <c r="E1015" s="21" t="n">
        <v>0</v>
      </c>
      <c r="F1015" s="21" t="n">
        <v>0</v>
      </c>
      <c r="G1015" s="30" t="s">
        <v>3432</v>
      </c>
    </row>
    <row r="1016" customFormat="false" ht="15" hidden="false" customHeight="false" outlineLevel="0" collapsed="false">
      <c r="A1016" s="28" t="n">
        <v>35674</v>
      </c>
      <c r="B1016" s="28" t="n">
        <v>35680</v>
      </c>
      <c r="C1016" s="21" t="n">
        <v>0</v>
      </c>
      <c r="D1016" s="21" t="n">
        <v>0</v>
      </c>
      <c r="E1016" s="21" t="n">
        <v>0</v>
      </c>
      <c r="F1016" s="21" t="n">
        <v>0</v>
      </c>
      <c r="G1016" s="30" t="s">
        <v>3432</v>
      </c>
    </row>
    <row r="1017" customFormat="false" ht="15" hidden="false" customHeight="false" outlineLevel="0" collapsed="false">
      <c r="A1017" s="28" t="n">
        <v>35681</v>
      </c>
      <c r="B1017" s="28" t="n">
        <v>35687</v>
      </c>
      <c r="C1017" s="21" t="n">
        <v>0</v>
      </c>
      <c r="D1017" s="21" t="n">
        <v>0</v>
      </c>
      <c r="E1017" s="21" t="n">
        <v>0</v>
      </c>
      <c r="F1017" s="21" t="n">
        <v>0</v>
      </c>
      <c r="G1017" s="30" t="s">
        <v>3432</v>
      </c>
    </row>
    <row r="1018" customFormat="false" ht="15" hidden="false" customHeight="false" outlineLevel="0" collapsed="false">
      <c r="A1018" s="28" t="n">
        <v>35688</v>
      </c>
      <c r="B1018" s="28" t="n">
        <v>35694</v>
      </c>
      <c r="C1018" s="21" t="n">
        <v>0</v>
      </c>
      <c r="D1018" s="21" t="n">
        <v>0</v>
      </c>
      <c r="E1018" s="21" t="n">
        <v>0</v>
      </c>
      <c r="F1018" s="21" t="n">
        <v>0</v>
      </c>
      <c r="G1018" s="30" t="s">
        <v>3432</v>
      </c>
    </row>
    <row r="1019" customFormat="false" ht="15" hidden="false" customHeight="false" outlineLevel="0" collapsed="false">
      <c r="A1019" s="28" t="n">
        <v>35695</v>
      </c>
      <c r="B1019" s="28" t="n">
        <v>35701</v>
      </c>
      <c r="C1019" s="21" t="n">
        <v>0</v>
      </c>
      <c r="D1019" s="21" t="n">
        <v>0</v>
      </c>
      <c r="E1019" s="21" t="n">
        <v>0</v>
      </c>
      <c r="F1019" s="21" t="n">
        <v>0</v>
      </c>
      <c r="G1019" s="30" t="s">
        <v>3432</v>
      </c>
    </row>
    <row r="1020" customFormat="false" ht="15" hidden="false" customHeight="false" outlineLevel="0" collapsed="false">
      <c r="A1020" s="28" t="n">
        <v>35702</v>
      </c>
      <c r="B1020" s="28" t="n">
        <v>35708</v>
      </c>
      <c r="C1020" s="21" t="n">
        <v>0</v>
      </c>
      <c r="D1020" s="21" t="n">
        <v>0</v>
      </c>
      <c r="E1020" s="21" t="n">
        <v>0</v>
      </c>
      <c r="F1020" s="21" t="n">
        <v>0</v>
      </c>
      <c r="G1020" s="30" t="s">
        <v>3432</v>
      </c>
    </row>
    <row r="1021" customFormat="false" ht="15" hidden="false" customHeight="false" outlineLevel="0" collapsed="false">
      <c r="A1021" s="28" t="n">
        <v>35709</v>
      </c>
      <c r="B1021" s="28" t="n">
        <v>35715</v>
      </c>
      <c r="C1021" s="21" t="n">
        <v>0</v>
      </c>
      <c r="D1021" s="21" t="n">
        <v>0</v>
      </c>
      <c r="E1021" s="21" t="n">
        <v>0</v>
      </c>
      <c r="F1021" s="21" t="n">
        <v>0</v>
      </c>
      <c r="G1021" s="30" t="s">
        <v>3432</v>
      </c>
    </row>
    <row r="1022" customFormat="false" ht="15" hidden="false" customHeight="false" outlineLevel="0" collapsed="false">
      <c r="A1022" s="28" t="n">
        <v>35716</v>
      </c>
      <c r="B1022" s="28" t="n">
        <v>35722</v>
      </c>
      <c r="C1022" s="21" t="n">
        <v>0</v>
      </c>
      <c r="D1022" s="21" t="n">
        <v>0</v>
      </c>
      <c r="E1022" s="21" t="n">
        <v>0</v>
      </c>
      <c r="F1022" s="21" t="n">
        <v>0</v>
      </c>
      <c r="G1022" s="30" t="s">
        <v>3432</v>
      </c>
    </row>
    <row r="1023" customFormat="false" ht="15" hidden="false" customHeight="false" outlineLevel="0" collapsed="false">
      <c r="A1023" s="28" t="n">
        <v>35723</v>
      </c>
      <c r="B1023" s="28" t="n">
        <v>35729</v>
      </c>
      <c r="C1023" s="21" t="n">
        <v>0</v>
      </c>
      <c r="D1023" s="21" t="n">
        <v>0</v>
      </c>
      <c r="E1023" s="21" t="n">
        <v>0</v>
      </c>
      <c r="F1023" s="21" t="n">
        <v>0</v>
      </c>
      <c r="G1023" s="30" t="s">
        <v>3432</v>
      </c>
    </row>
    <row r="1024" customFormat="false" ht="15" hidden="false" customHeight="false" outlineLevel="0" collapsed="false">
      <c r="A1024" s="28" t="n">
        <v>35730</v>
      </c>
      <c r="B1024" s="28" t="n">
        <v>35736</v>
      </c>
      <c r="C1024" s="21" t="n">
        <v>0</v>
      </c>
      <c r="D1024" s="21" t="n">
        <v>0</v>
      </c>
      <c r="E1024" s="21" t="n">
        <v>0</v>
      </c>
      <c r="F1024" s="21" t="n">
        <v>0</v>
      </c>
      <c r="G1024" s="30" t="s">
        <v>3432</v>
      </c>
    </row>
    <row r="1025" customFormat="false" ht="15" hidden="false" customHeight="false" outlineLevel="0" collapsed="false">
      <c r="A1025" s="28" t="n">
        <v>35737</v>
      </c>
      <c r="B1025" s="28" t="n">
        <v>35743</v>
      </c>
      <c r="C1025" s="21" t="n">
        <v>0</v>
      </c>
      <c r="D1025" s="21" t="n">
        <v>0</v>
      </c>
      <c r="E1025" s="21" t="n">
        <v>0</v>
      </c>
      <c r="F1025" s="21" t="n">
        <v>0</v>
      </c>
      <c r="G1025" s="30" t="s">
        <v>3432</v>
      </c>
    </row>
    <row r="1026" customFormat="false" ht="15" hidden="false" customHeight="false" outlineLevel="0" collapsed="false">
      <c r="A1026" s="28" t="n">
        <v>35744</v>
      </c>
      <c r="B1026" s="28" t="n">
        <v>35750</v>
      </c>
      <c r="C1026" s="21" t="n">
        <v>0</v>
      </c>
      <c r="D1026" s="21" t="n">
        <v>0</v>
      </c>
      <c r="E1026" s="21" t="n">
        <v>0</v>
      </c>
      <c r="F1026" s="21" t="n">
        <v>0</v>
      </c>
      <c r="G1026" s="30" t="s">
        <v>3432</v>
      </c>
    </row>
    <row r="1027" customFormat="false" ht="15" hidden="false" customHeight="false" outlineLevel="0" collapsed="false">
      <c r="A1027" s="28" t="n">
        <v>35751</v>
      </c>
      <c r="B1027" s="28" t="n">
        <v>35757</v>
      </c>
      <c r="C1027" s="21" t="n">
        <v>0</v>
      </c>
      <c r="D1027" s="21" t="n">
        <v>0</v>
      </c>
      <c r="E1027" s="21" t="n">
        <v>0</v>
      </c>
      <c r="F1027" s="21" t="n">
        <v>0</v>
      </c>
      <c r="G1027" s="30" t="s">
        <v>3432</v>
      </c>
    </row>
    <row r="1028" customFormat="false" ht="15" hidden="false" customHeight="false" outlineLevel="0" collapsed="false">
      <c r="A1028" s="28" t="n">
        <v>35758</v>
      </c>
      <c r="B1028" s="28" t="n">
        <v>35764</v>
      </c>
      <c r="C1028" s="21" t="n">
        <v>0</v>
      </c>
      <c r="D1028" s="21" t="n">
        <v>0</v>
      </c>
      <c r="E1028" s="21" t="n">
        <v>0</v>
      </c>
      <c r="F1028" s="21" t="n">
        <v>0</v>
      </c>
      <c r="G1028" s="30" t="s">
        <v>3432</v>
      </c>
    </row>
    <row r="1029" customFormat="false" ht="15" hidden="false" customHeight="false" outlineLevel="0" collapsed="false">
      <c r="A1029" s="28" t="n">
        <v>35765</v>
      </c>
      <c r="B1029" s="28" t="n">
        <v>35771</v>
      </c>
      <c r="C1029" s="21" t="n">
        <v>0</v>
      </c>
      <c r="D1029" s="21" t="n">
        <v>0</v>
      </c>
      <c r="E1029" s="21" t="n">
        <v>0</v>
      </c>
      <c r="F1029" s="21" t="n">
        <v>0</v>
      </c>
      <c r="G1029" s="30" t="s">
        <v>3432</v>
      </c>
    </row>
    <row r="1030" customFormat="false" ht="15" hidden="false" customHeight="false" outlineLevel="0" collapsed="false">
      <c r="A1030" s="28" t="n">
        <v>35772</v>
      </c>
      <c r="B1030" s="28" t="n">
        <v>35778</v>
      </c>
      <c r="C1030" s="21" t="n">
        <v>0</v>
      </c>
      <c r="D1030" s="21" t="n">
        <v>0</v>
      </c>
      <c r="E1030" s="21" t="n">
        <v>0</v>
      </c>
      <c r="F1030" s="21" t="n">
        <v>0</v>
      </c>
      <c r="G1030" s="30" t="s">
        <v>3432</v>
      </c>
    </row>
    <row r="1031" customFormat="false" ht="15" hidden="false" customHeight="false" outlineLevel="0" collapsed="false">
      <c r="A1031" s="28" t="n">
        <v>35779</v>
      </c>
      <c r="B1031" s="28" t="n">
        <v>35785</v>
      </c>
      <c r="C1031" s="21" t="n">
        <v>0</v>
      </c>
      <c r="D1031" s="21" t="n">
        <v>0</v>
      </c>
      <c r="E1031" s="21" t="n">
        <v>0</v>
      </c>
      <c r="F1031" s="21" t="n">
        <v>0</v>
      </c>
      <c r="G1031" s="30" t="s">
        <v>3432</v>
      </c>
    </row>
    <row r="1032" customFormat="false" ht="15" hidden="false" customHeight="false" outlineLevel="0" collapsed="false">
      <c r="A1032" s="28" t="n">
        <v>35786</v>
      </c>
      <c r="B1032" s="28" t="n">
        <v>35792</v>
      </c>
      <c r="C1032" s="21" t="n">
        <v>0</v>
      </c>
      <c r="D1032" s="21" t="n">
        <v>0</v>
      </c>
      <c r="E1032" s="21" t="n">
        <v>0</v>
      </c>
      <c r="F1032" s="21" t="n">
        <v>0</v>
      </c>
      <c r="G1032" s="30" t="s">
        <v>3432</v>
      </c>
    </row>
    <row r="1033" customFormat="false" ht="15" hidden="false" customHeight="false" outlineLevel="0" collapsed="false">
      <c r="A1033" s="28" t="n">
        <v>35793</v>
      </c>
      <c r="B1033" s="28" t="n">
        <v>35799</v>
      </c>
      <c r="C1033" s="21" t="n">
        <v>0</v>
      </c>
      <c r="D1033" s="21" t="n">
        <v>0</v>
      </c>
      <c r="E1033" s="21" t="n">
        <v>0</v>
      </c>
      <c r="F1033" s="21" t="n">
        <v>0</v>
      </c>
      <c r="G1033" s="30" t="s">
        <v>3432</v>
      </c>
    </row>
    <row r="1034" customFormat="false" ht="15" hidden="false" customHeight="false" outlineLevel="0" collapsed="false">
      <c r="A1034" s="28" t="n">
        <v>35800</v>
      </c>
      <c r="B1034" s="28" t="n">
        <v>35806</v>
      </c>
      <c r="C1034" s="21" t="n">
        <v>0</v>
      </c>
      <c r="D1034" s="21" t="n">
        <v>0</v>
      </c>
      <c r="E1034" s="21" t="n">
        <v>0</v>
      </c>
      <c r="F1034" s="21" t="n">
        <v>0</v>
      </c>
      <c r="G1034" s="30" t="s">
        <v>3432</v>
      </c>
    </row>
    <row r="1035" customFormat="false" ht="15" hidden="false" customHeight="false" outlineLevel="0" collapsed="false">
      <c r="A1035" s="28" t="n">
        <v>35807</v>
      </c>
      <c r="B1035" s="28" t="n">
        <v>35813</v>
      </c>
      <c r="C1035" s="21" t="n">
        <v>0</v>
      </c>
      <c r="D1035" s="21" t="n">
        <v>0</v>
      </c>
      <c r="E1035" s="21" t="n">
        <v>0</v>
      </c>
      <c r="F1035" s="21" t="n">
        <v>0</v>
      </c>
      <c r="G1035" s="30" t="s">
        <v>3432</v>
      </c>
    </row>
    <row r="1036" customFormat="false" ht="15" hidden="false" customHeight="false" outlineLevel="0" collapsed="false">
      <c r="A1036" s="28" t="n">
        <v>35814</v>
      </c>
      <c r="B1036" s="28" t="n">
        <v>35820</v>
      </c>
      <c r="C1036" s="21" t="n">
        <v>0</v>
      </c>
      <c r="D1036" s="21" t="n">
        <v>0</v>
      </c>
      <c r="E1036" s="21" t="n">
        <v>0</v>
      </c>
      <c r="F1036" s="21" t="n">
        <v>0</v>
      </c>
      <c r="G1036" s="30" t="s">
        <v>3432</v>
      </c>
    </row>
    <row r="1037" customFormat="false" ht="15" hidden="false" customHeight="false" outlineLevel="0" collapsed="false">
      <c r="A1037" s="28" t="n">
        <v>35821</v>
      </c>
      <c r="B1037" s="28" t="n">
        <v>35827</v>
      </c>
      <c r="C1037" s="21" t="n">
        <v>0</v>
      </c>
      <c r="D1037" s="21" t="n">
        <v>0</v>
      </c>
      <c r="E1037" s="21" t="n">
        <v>0</v>
      </c>
      <c r="F1037" s="21" t="n">
        <v>0</v>
      </c>
      <c r="G1037" s="30" t="s">
        <v>3432</v>
      </c>
    </row>
    <row r="1038" customFormat="false" ht="15" hidden="false" customHeight="false" outlineLevel="0" collapsed="false">
      <c r="A1038" s="28" t="n">
        <v>35828</v>
      </c>
      <c r="B1038" s="28" t="n">
        <v>35834</v>
      </c>
      <c r="C1038" s="21" t="n">
        <v>0</v>
      </c>
      <c r="D1038" s="21" t="n">
        <v>0</v>
      </c>
      <c r="E1038" s="21" t="n">
        <v>0</v>
      </c>
      <c r="F1038" s="21" t="n">
        <v>0</v>
      </c>
      <c r="G1038" s="30" t="s">
        <v>3432</v>
      </c>
    </row>
    <row r="1039" customFormat="false" ht="15" hidden="false" customHeight="false" outlineLevel="0" collapsed="false">
      <c r="A1039" s="28" t="n">
        <v>35835</v>
      </c>
      <c r="B1039" s="28" t="n">
        <v>35841</v>
      </c>
      <c r="C1039" s="21" t="n">
        <v>0</v>
      </c>
      <c r="D1039" s="21" t="n">
        <v>0</v>
      </c>
      <c r="E1039" s="21" t="n">
        <v>0</v>
      </c>
      <c r="F1039" s="21" t="n">
        <v>0</v>
      </c>
      <c r="G1039" s="30" t="s">
        <v>3432</v>
      </c>
    </row>
    <row r="1040" customFormat="false" ht="15" hidden="false" customHeight="false" outlineLevel="0" collapsed="false">
      <c r="A1040" s="28" t="n">
        <v>35842</v>
      </c>
      <c r="B1040" s="28" t="n">
        <v>35848</v>
      </c>
      <c r="C1040" s="21" t="n">
        <v>0</v>
      </c>
      <c r="D1040" s="21" t="n">
        <v>0</v>
      </c>
      <c r="E1040" s="21" t="n">
        <v>0</v>
      </c>
      <c r="F1040" s="21" t="n">
        <v>0</v>
      </c>
      <c r="G1040" s="30" t="s">
        <v>3432</v>
      </c>
    </row>
    <row r="1041" customFormat="false" ht="15" hidden="false" customHeight="false" outlineLevel="0" collapsed="false">
      <c r="A1041" s="28" t="n">
        <v>35849</v>
      </c>
      <c r="B1041" s="28" t="n">
        <v>35855</v>
      </c>
      <c r="C1041" s="21" t="n">
        <v>0</v>
      </c>
      <c r="D1041" s="21" t="n">
        <v>0</v>
      </c>
      <c r="E1041" s="21" t="n">
        <v>0</v>
      </c>
      <c r="F1041" s="21" t="n">
        <v>0</v>
      </c>
      <c r="G1041" s="30" t="s">
        <v>3432</v>
      </c>
    </row>
    <row r="1042" customFormat="false" ht="15" hidden="false" customHeight="false" outlineLevel="0" collapsed="false">
      <c r="A1042" s="28" t="n">
        <v>35856</v>
      </c>
      <c r="B1042" s="28" t="n">
        <v>35862</v>
      </c>
      <c r="C1042" s="21" t="n">
        <v>0</v>
      </c>
      <c r="D1042" s="21" t="n">
        <v>0</v>
      </c>
      <c r="E1042" s="21" t="n">
        <v>0</v>
      </c>
      <c r="F1042" s="21" t="n">
        <v>0</v>
      </c>
      <c r="G1042" s="30" t="s">
        <v>3432</v>
      </c>
    </row>
    <row r="1043" customFormat="false" ht="15" hidden="false" customHeight="false" outlineLevel="0" collapsed="false">
      <c r="A1043" s="28" t="n">
        <v>35863</v>
      </c>
      <c r="B1043" s="28" t="n">
        <v>35869</v>
      </c>
      <c r="C1043" s="21" t="n">
        <v>0</v>
      </c>
      <c r="D1043" s="21" t="n">
        <v>0</v>
      </c>
      <c r="E1043" s="21" t="n">
        <v>0</v>
      </c>
      <c r="F1043" s="21" t="n">
        <v>0</v>
      </c>
      <c r="G1043" s="30" t="s">
        <v>3432</v>
      </c>
    </row>
    <row r="1044" customFormat="false" ht="15" hidden="false" customHeight="false" outlineLevel="0" collapsed="false">
      <c r="A1044" s="28" t="n">
        <v>35870</v>
      </c>
      <c r="B1044" s="28" t="n">
        <v>35876</v>
      </c>
      <c r="C1044" s="21" t="n">
        <v>0</v>
      </c>
      <c r="D1044" s="21" t="n">
        <v>0</v>
      </c>
      <c r="E1044" s="21" t="n">
        <v>0</v>
      </c>
      <c r="F1044" s="21" t="n">
        <v>0</v>
      </c>
      <c r="G1044" s="30" t="s">
        <v>3432</v>
      </c>
    </row>
    <row r="1045" customFormat="false" ht="15" hidden="false" customHeight="false" outlineLevel="0" collapsed="false">
      <c r="A1045" s="28" t="n">
        <v>35877</v>
      </c>
      <c r="B1045" s="28" t="n">
        <v>35883</v>
      </c>
      <c r="C1045" s="21" t="n">
        <v>0</v>
      </c>
      <c r="D1045" s="21" t="n">
        <v>0</v>
      </c>
      <c r="E1045" s="21" t="n">
        <v>0</v>
      </c>
      <c r="F1045" s="21" t="n">
        <v>0</v>
      </c>
      <c r="G1045" s="30" t="s">
        <v>3432</v>
      </c>
    </row>
    <row r="1046" customFormat="false" ht="15" hidden="false" customHeight="false" outlineLevel="0" collapsed="false">
      <c r="A1046" s="28" t="n">
        <v>35884</v>
      </c>
      <c r="B1046" s="28" t="n">
        <v>35890</v>
      </c>
      <c r="C1046" s="21" t="n">
        <v>0</v>
      </c>
      <c r="D1046" s="21" t="n">
        <v>0</v>
      </c>
      <c r="E1046" s="21" t="n">
        <v>0</v>
      </c>
      <c r="F1046" s="21" t="n">
        <v>0</v>
      </c>
      <c r="G1046" s="30" t="s">
        <v>3432</v>
      </c>
    </row>
    <row r="1047" customFormat="false" ht="15" hidden="false" customHeight="false" outlineLevel="0" collapsed="false">
      <c r="A1047" s="28" t="n">
        <v>35891</v>
      </c>
      <c r="B1047" s="28" t="n">
        <v>35897</v>
      </c>
      <c r="C1047" s="21" t="n">
        <v>0</v>
      </c>
      <c r="D1047" s="21" t="n">
        <v>0</v>
      </c>
      <c r="E1047" s="21" t="n">
        <v>0</v>
      </c>
      <c r="F1047" s="21" t="n">
        <v>0</v>
      </c>
      <c r="G1047" s="30" t="s">
        <v>3432</v>
      </c>
    </row>
    <row r="1048" customFormat="false" ht="15" hidden="false" customHeight="false" outlineLevel="0" collapsed="false">
      <c r="A1048" s="28" t="n">
        <v>35898</v>
      </c>
      <c r="B1048" s="28" t="n">
        <v>35904</v>
      </c>
      <c r="C1048" s="21" t="n">
        <v>0</v>
      </c>
      <c r="D1048" s="21" t="n">
        <v>0</v>
      </c>
      <c r="E1048" s="21" t="n">
        <v>0</v>
      </c>
      <c r="F1048" s="21" t="n">
        <v>0</v>
      </c>
      <c r="G1048" s="30" t="s">
        <v>3432</v>
      </c>
    </row>
    <row r="1049" customFormat="false" ht="15" hidden="false" customHeight="false" outlineLevel="0" collapsed="false">
      <c r="A1049" s="28" t="n">
        <v>35905</v>
      </c>
      <c r="B1049" s="28" t="n">
        <v>35911</v>
      </c>
      <c r="C1049" s="21" t="n">
        <v>0</v>
      </c>
      <c r="D1049" s="21" t="n">
        <v>0</v>
      </c>
      <c r="E1049" s="21" t="n">
        <v>0</v>
      </c>
      <c r="F1049" s="21" t="n">
        <v>0</v>
      </c>
      <c r="G1049" s="30" t="s">
        <v>3432</v>
      </c>
    </row>
    <row r="1050" customFormat="false" ht="15" hidden="false" customHeight="false" outlineLevel="0" collapsed="false">
      <c r="A1050" s="28" t="n">
        <v>35912</v>
      </c>
      <c r="B1050" s="28" t="n">
        <v>35918</v>
      </c>
      <c r="C1050" s="21" t="n">
        <v>0</v>
      </c>
      <c r="D1050" s="21" t="n">
        <v>0</v>
      </c>
      <c r="E1050" s="21" t="n">
        <v>0</v>
      </c>
      <c r="F1050" s="21" t="n">
        <v>0</v>
      </c>
      <c r="G1050" s="30" t="s">
        <v>3432</v>
      </c>
    </row>
    <row r="1051" customFormat="false" ht="15" hidden="false" customHeight="false" outlineLevel="0" collapsed="false">
      <c r="A1051" s="28" t="n">
        <v>35919</v>
      </c>
      <c r="B1051" s="28" t="n">
        <v>35925</v>
      </c>
      <c r="C1051" s="21" t="n">
        <v>0</v>
      </c>
      <c r="D1051" s="21" t="n">
        <v>0</v>
      </c>
      <c r="E1051" s="21" t="n">
        <v>0</v>
      </c>
      <c r="F1051" s="21" t="n">
        <v>0</v>
      </c>
      <c r="G1051" s="30" t="s">
        <v>3432</v>
      </c>
    </row>
    <row r="1052" customFormat="false" ht="15" hidden="false" customHeight="false" outlineLevel="0" collapsed="false">
      <c r="A1052" s="28" t="n">
        <v>35926</v>
      </c>
      <c r="B1052" s="28" t="n">
        <v>35932</v>
      </c>
      <c r="C1052" s="21" t="n">
        <v>0</v>
      </c>
      <c r="D1052" s="21" t="n">
        <v>0</v>
      </c>
      <c r="E1052" s="21" t="n">
        <v>0</v>
      </c>
      <c r="F1052" s="21" t="n">
        <v>0</v>
      </c>
      <c r="G1052" s="30" t="s">
        <v>3432</v>
      </c>
    </row>
    <row r="1053" customFormat="false" ht="15" hidden="false" customHeight="false" outlineLevel="0" collapsed="false">
      <c r="A1053" s="28" t="n">
        <v>35933</v>
      </c>
      <c r="B1053" s="28" t="n">
        <v>35939</v>
      </c>
      <c r="C1053" s="21" t="n">
        <v>0</v>
      </c>
      <c r="D1053" s="21" t="n">
        <v>0</v>
      </c>
      <c r="E1053" s="21" t="n">
        <v>0</v>
      </c>
      <c r="F1053" s="21" t="n">
        <v>0</v>
      </c>
      <c r="G1053" s="30" t="s">
        <v>3432</v>
      </c>
    </row>
    <row r="1054" customFormat="false" ht="15" hidden="false" customHeight="false" outlineLevel="0" collapsed="false">
      <c r="A1054" s="28" t="n">
        <v>35940</v>
      </c>
      <c r="B1054" s="28" t="n">
        <v>35946</v>
      </c>
      <c r="C1054" s="21" t="n">
        <v>0</v>
      </c>
      <c r="D1054" s="21" t="n">
        <v>0</v>
      </c>
      <c r="E1054" s="21" t="n">
        <v>0</v>
      </c>
      <c r="F1054" s="21" t="n">
        <v>0</v>
      </c>
      <c r="G1054" s="30" t="s">
        <v>3432</v>
      </c>
    </row>
    <row r="1055" customFormat="false" ht="15" hidden="false" customHeight="false" outlineLevel="0" collapsed="false">
      <c r="A1055" s="28" t="n">
        <v>35947</v>
      </c>
      <c r="B1055" s="28" t="n">
        <v>35953</v>
      </c>
      <c r="C1055" s="21" t="n">
        <v>0</v>
      </c>
      <c r="D1055" s="21" t="n">
        <v>0</v>
      </c>
      <c r="E1055" s="21" t="n">
        <v>0</v>
      </c>
      <c r="F1055" s="21" t="n">
        <v>0</v>
      </c>
      <c r="G1055" s="30" t="s">
        <v>3432</v>
      </c>
    </row>
    <row r="1056" customFormat="false" ht="15" hidden="false" customHeight="false" outlineLevel="0" collapsed="false">
      <c r="A1056" s="28" t="n">
        <v>35954</v>
      </c>
      <c r="B1056" s="28" t="n">
        <v>35960</v>
      </c>
      <c r="C1056" s="21" t="n">
        <v>0</v>
      </c>
      <c r="D1056" s="21" t="n">
        <v>0</v>
      </c>
      <c r="E1056" s="21" t="n">
        <v>0</v>
      </c>
      <c r="F1056" s="21" t="n">
        <v>0</v>
      </c>
      <c r="G1056" s="30" t="s">
        <v>3432</v>
      </c>
    </row>
    <row r="1057" customFormat="false" ht="15" hidden="false" customHeight="false" outlineLevel="0" collapsed="false">
      <c r="A1057" s="28" t="n">
        <v>35961</v>
      </c>
      <c r="B1057" s="28" t="n">
        <v>35967</v>
      </c>
      <c r="C1057" s="21" t="n">
        <v>0</v>
      </c>
      <c r="D1057" s="21" t="n">
        <v>0</v>
      </c>
      <c r="E1057" s="21" t="n">
        <v>0</v>
      </c>
      <c r="F1057" s="21" t="n">
        <v>0</v>
      </c>
      <c r="G1057" s="30" t="s">
        <v>3432</v>
      </c>
    </row>
    <row r="1058" customFormat="false" ht="15" hidden="false" customHeight="false" outlineLevel="0" collapsed="false">
      <c r="A1058" s="28" t="n">
        <v>35968</v>
      </c>
      <c r="B1058" s="28" t="n">
        <v>35974</v>
      </c>
      <c r="C1058" s="21" t="n">
        <v>0</v>
      </c>
      <c r="D1058" s="21" t="n">
        <v>0</v>
      </c>
      <c r="E1058" s="21" t="n">
        <v>0</v>
      </c>
      <c r="F1058" s="21" t="n">
        <v>0</v>
      </c>
      <c r="G1058" s="30" t="s">
        <v>3432</v>
      </c>
    </row>
    <row r="1059" customFormat="false" ht="15" hidden="false" customHeight="false" outlineLevel="0" collapsed="false">
      <c r="A1059" s="28" t="n">
        <v>35975</v>
      </c>
      <c r="B1059" s="28" t="n">
        <v>35981</v>
      </c>
      <c r="C1059" s="21" t="n">
        <v>0</v>
      </c>
      <c r="D1059" s="21" t="n">
        <v>0</v>
      </c>
      <c r="E1059" s="21" t="n">
        <v>0</v>
      </c>
      <c r="F1059" s="21" t="n">
        <v>0</v>
      </c>
      <c r="G1059" s="30" t="s">
        <v>3432</v>
      </c>
    </row>
    <row r="1060" customFormat="false" ht="15" hidden="false" customHeight="false" outlineLevel="0" collapsed="false">
      <c r="A1060" s="28" t="n">
        <v>35982</v>
      </c>
      <c r="B1060" s="28" t="n">
        <v>35988</v>
      </c>
      <c r="C1060" s="21" t="n">
        <v>0</v>
      </c>
      <c r="D1060" s="21" t="n">
        <v>0</v>
      </c>
      <c r="E1060" s="21" t="n">
        <v>0</v>
      </c>
      <c r="F1060" s="21" t="n">
        <v>0</v>
      </c>
      <c r="G1060" s="30" t="s">
        <v>3432</v>
      </c>
    </row>
    <row r="1061" customFormat="false" ht="15" hidden="false" customHeight="false" outlineLevel="0" collapsed="false">
      <c r="A1061" s="28" t="n">
        <v>35989</v>
      </c>
      <c r="B1061" s="28" t="n">
        <v>35995</v>
      </c>
      <c r="C1061" s="21" t="n">
        <v>0</v>
      </c>
      <c r="D1061" s="21" t="n">
        <v>0</v>
      </c>
      <c r="E1061" s="21" t="n">
        <v>0</v>
      </c>
      <c r="F1061" s="21" t="n">
        <v>0</v>
      </c>
      <c r="G1061" s="30" t="s">
        <v>3432</v>
      </c>
    </row>
    <row r="1062" customFormat="false" ht="15" hidden="false" customHeight="false" outlineLevel="0" collapsed="false">
      <c r="A1062" s="28" t="n">
        <v>35996</v>
      </c>
      <c r="B1062" s="28" t="n">
        <v>36002</v>
      </c>
      <c r="C1062" s="21" t="n">
        <v>0</v>
      </c>
      <c r="D1062" s="21" t="n">
        <v>0</v>
      </c>
      <c r="E1062" s="21" t="n">
        <v>0</v>
      </c>
      <c r="F1062" s="21" t="n">
        <v>0</v>
      </c>
      <c r="G1062" s="30" t="s">
        <v>3432</v>
      </c>
    </row>
    <row r="1063" customFormat="false" ht="15" hidden="false" customHeight="false" outlineLevel="0" collapsed="false">
      <c r="A1063" s="28" t="n">
        <v>36003</v>
      </c>
      <c r="B1063" s="28" t="n">
        <v>36009</v>
      </c>
      <c r="C1063" s="21" t="n">
        <v>0</v>
      </c>
      <c r="D1063" s="21" t="n">
        <v>0</v>
      </c>
      <c r="E1063" s="21" t="n">
        <v>0</v>
      </c>
      <c r="F1063" s="21" t="n">
        <v>0</v>
      </c>
      <c r="G1063" s="30" t="s">
        <v>3432</v>
      </c>
    </row>
    <row r="1064" customFormat="false" ht="15" hidden="false" customHeight="false" outlineLevel="0" collapsed="false">
      <c r="A1064" s="28" t="n">
        <v>36010</v>
      </c>
      <c r="B1064" s="28" t="n">
        <v>36016</v>
      </c>
      <c r="C1064" s="21" t="n">
        <v>0</v>
      </c>
      <c r="D1064" s="21" t="n">
        <v>0</v>
      </c>
      <c r="E1064" s="21" t="n">
        <v>0</v>
      </c>
      <c r="F1064" s="21" t="n">
        <v>0</v>
      </c>
      <c r="G1064" s="30" t="s">
        <v>3432</v>
      </c>
    </row>
    <row r="1065" customFormat="false" ht="15" hidden="false" customHeight="false" outlineLevel="0" collapsed="false">
      <c r="A1065" s="28" t="n">
        <v>36017</v>
      </c>
      <c r="B1065" s="28" t="n">
        <v>36023</v>
      </c>
      <c r="C1065" s="21" t="n">
        <v>0</v>
      </c>
      <c r="D1065" s="21" t="n">
        <v>0</v>
      </c>
      <c r="E1065" s="21" t="n">
        <v>0</v>
      </c>
      <c r="F1065" s="21" t="n">
        <v>0</v>
      </c>
      <c r="G1065" s="30" t="s">
        <v>3432</v>
      </c>
    </row>
    <row r="1066" customFormat="false" ht="15" hidden="false" customHeight="false" outlineLevel="0" collapsed="false">
      <c r="A1066" s="28" t="n">
        <v>36024</v>
      </c>
      <c r="B1066" s="28" t="n">
        <v>36030</v>
      </c>
      <c r="C1066" s="21" t="n">
        <v>0</v>
      </c>
      <c r="D1066" s="21" t="n">
        <v>0</v>
      </c>
      <c r="E1066" s="21" t="n">
        <v>0</v>
      </c>
      <c r="F1066" s="21" t="n">
        <v>0</v>
      </c>
      <c r="G1066" s="30" t="s">
        <v>3432</v>
      </c>
    </row>
    <row r="1067" customFormat="false" ht="15" hidden="false" customHeight="false" outlineLevel="0" collapsed="false">
      <c r="A1067" s="28" t="n">
        <v>36031</v>
      </c>
      <c r="B1067" s="28" t="n">
        <v>36037</v>
      </c>
      <c r="C1067" s="21" t="n">
        <v>0</v>
      </c>
      <c r="D1067" s="21" t="n">
        <v>0</v>
      </c>
      <c r="E1067" s="21" t="n">
        <v>0</v>
      </c>
      <c r="F1067" s="21" t="n">
        <v>0</v>
      </c>
      <c r="G1067" s="30" t="s">
        <v>3432</v>
      </c>
    </row>
    <row r="1068" customFormat="false" ht="15" hidden="false" customHeight="false" outlineLevel="0" collapsed="false">
      <c r="A1068" s="28" t="n">
        <v>36038</v>
      </c>
      <c r="B1068" s="28" t="n">
        <v>36044</v>
      </c>
      <c r="C1068" s="21" t="n">
        <v>0</v>
      </c>
      <c r="D1068" s="21" t="n">
        <v>0</v>
      </c>
      <c r="E1068" s="21" t="n">
        <v>0</v>
      </c>
      <c r="F1068" s="21" t="n">
        <v>0</v>
      </c>
      <c r="G1068" s="30" t="s">
        <v>3432</v>
      </c>
    </row>
    <row r="1069" customFormat="false" ht="15" hidden="false" customHeight="false" outlineLevel="0" collapsed="false">
      <c r="A1069" s="28" t="n">
        <v>36045</v>
      </c>
      <c r="B1069" s="28" t="n">
        <v>36051</v>
      </c>
      <c r="C1069" s="21" t="n">
        <v>0</v>
      </c>
      <c r="D1069" s="21" t="n">
        <v>0</v>
      </c>
      <c r="E1069" s="21" t="n">
        <v>0</v>
      </c>
      <c r="F1069" s="21" t="n">
        <v>0</v>
      </c>
      <c r="G1069" s="30" t="s">
        <v>3432</v>
      </c>
    </row>
    <row r="1070" customFormat="false" ht="15" hidden="false" customHeight="false" outlineLevel="0" collapsed="false">
      <c r="A1070" s="28" t="n">
        <v>36052</v>
      </c>
      <c r="B1070" s="28" t="n">
        <v>36058</v>
      </c>
      <c r="C1070" s="21" t="n">
        <v>0</v>
      </c>
      <c r="D1070" s="21" t="n">
        <v>0</v>
      </c>
      <c r="E1070" s="21" t="n">
        <v>0</v>
      </c>
      <c r="F1070" s="21" t="n">
        <v>0</v>
      </c>
      <c r="G1070" s="30" t="s">
        <v>3432</v>
      </c>
    </row>
    <row r="1071" customFormat="false" ht="15" hidden="false" customHeight="false" outlineLevel="0" collapsed="false">
      <c r="A1071" s="28" t="n">
        <v>36059</v>
      </c>
      <c r="B1071" s="28" t="n">
        <v>36065</v>
      </c>
      <c r="C1071" s="21" t="n">
        <v>0</v>
      </c>
      <c r="D1071" s="21" t="n">
        <v>0</v>
      </c>
      <c r="E1071" s="21" t="n">
        <v>0</v>
      </c>
      <c r="F1071" s="21" t="n">
        <v>0</v>
      </c>
      <c r="G1071" s="30" t="s">
        <v>3432</v>
      </c>
    </row>
    <row r="1072" customFormat="false" ht="15" hidden="false" customHeight="false" outlineLevel="0" collapsed="false">
      <c r="A1072" s="28" t="n">
        <v>36066</v>
      </c>
      <c r="B1072" s="28" t="n">
        <v>36072</v>
      </c>
      <c r="C1072" s="21" t="n">
        <v>0</v>
      </c>
      <c r="D1072" s="21" t="n">
        <v>0</v>
      </c>
      <c r="E1072" s="21" t="n">
        <v>0</v>
      </c>
      <c r="F1072" s="21" t="n">
        <v>0</v>
      </c>
      <c r="G1072" s="30" t="s">
        <v>3432</v>
      </c>
    </row>
    <row r="1073" customFormat="false" ht="15" hidden="false" customHeight="false" outlineLevel="0" collapsed="false">
      <c r="A1073" s="28" t="n">
        <v>36073</v>
      </c>
      <c r="B1073" s="28" t="n">
        <v>36079</v>
      </c>
      <c r="C1073" s="21" t="n">
        <v>0</v>
      </c>
      <c r="D1073" s="21" t="n">
        <v>0</v>
      </c>
      <c r="E1073" s="21" t="n">
        <v>0</v>
      </c>
      <c r="F1073" s="21" t="n">
        <v>0</v>
      </c>
      <c r="G1073" s="30" t="s">
        <v>3432</v>
      </c>
    </row>
    <row r="1074" customFormat="false" ht="15" hidden="false" customHeight="false" outlineLevel="0" collapsed="false">
      <c r="A1074" s="28" t="n">
        <v>36080</v>
      </c>
      <c r="B1074" s="28" t="n">
        <v>36086</v>
      </c>
      <c r="C1074" s="21" t="n">
        <v>0</v>
      </c>
      <c r="D1074" s="21" t="n">
        <v>0</v>
      </c>
      <c r="E1074" s="21" t="n">
        <v>0</v>
      </c>
      <c r="F1074" s="21" t="n">
        <v>0</v>
      </c>
      <c r="G1074" s="30" t="s">
        <v>3432</v>
      </c>
    </row>
    <row r="1075" customFormat="false" ht="15" hidden="false" customHeight="false" outlineLevel="0" collapsed="false">
      <c r="A1075" s="28" t="n">
        <v>36087</v>
      </c>
      <c r="B1075" s="28" t="n">
        <v>36093</v>
      </c>
      <c r="C1075" s="21" t="n">
        <v>0</v>
      </c>
      <c r="D1075" s="21" t="n">
        <v>0</v>
      </c>
      <c r="E1075" s="21" t="n">
        <v>0</v>
      </c>
      <c r="F1075" s="21" t="n">
        <v>0</v>
      </c>
      <c r="G1075" s="30" t="s">
        <v>3432</v>
      </c>
    </row>
    <row r="1076" customFormat="false" ht="15" hidden="false" customHeight="false" outlineLevel="0" collapsed="false">
      <c r="A1076" s="28" t="n">
        <v>36094</v>
      </c>
      <c r="B1076" s="28" t="n">
        <v>36100</v>
      </c>
      <c r="C1076" s="21" t="n">
        <v>0</v>
      </c>
      <c r="D1076" s="21" t="n">
        <v>0</v>
      </c>
      <c r="E1076" s="21" t="n">
        <v>0</v>
      </c>
      <c r="F1076" s="21" t="n">
        <v>0</v>
      </c>
      <c r="G1076" s="30" t="s">
        <v>3432</v>
      </c>
    </row>
    <row r="1077" customFormat="false" ht="15" hidden="false" customHeight="false" outlineLevel="0" collapsed="false">
      <c r="A1077" s="28" t="n">
        <v>36101</v>
      </c>
      <c r="B1077" s="28" t="n">
        <v>36107</v>
      </c>
      <c r="C1077" s="21" t="n">
        <v>0</v>
      </c>
      <c r="D1077" s="21" t="n">
        <v>0</v>
      </c>
      <c r="E1077" s="21" t="n">
        <v>0</v>
      </c>
      <c r="F1077" s="21" t="n">
        <v>0</v>
      </c>
      <c r="G1077" s="30" t="s">
        <v>3432</v>
      </c>
    </row>
    <row r="1078" customFormat="false" ht="15" hidden="false" customHeight="false" outlineLevel="0" collapsed="false">
      <c r="A1078" s="28" t="n">
        <v>36108</v>
      </c>
      <c r="B1078" s="28" t="n">
        <v>36114</v>
      </c>
      <c r="C1078" s="21" t="n">
        <v>0</v>
      </c>
      <c r="D1078" s="21" t="n">
        <v>0</v>
      </c>
      <c r="E1078" s="21" t="n">
        <v>0</v>
      </c>
      <c r="F1078" s="21" t="n">
        <v>0</v>
      </c>
      <c r="G1078" s="30" t="s">
        <v>3432</v>
      </c>
    </row>
    <row r="1079" customFormat="false" ht="15" hidden="false" customHeight="false" outlineLevel="0" collapsed="false">
      <c r="A1079" s="28" t="n">
        <v>36115</v>
      </c>
      <c r="B1079" s="28" t="n">
        <v>36121</v>
      </c>
      <c r="C1079" s="21" t="n">
        <v>0</v>
      </c>
      <c r="D1079" s="21" t="n">
        <v>0</v>
      </c>
      <c r="E1079" s="21" t="n">
        <v>0</v>
      </c>
      <c r="F1079" s="21" t="n">
        <v>0</v>
      </c>
      <c r="G1079" s="30" t="s">
        <v>3432</v>
      </c>
    </row>
    <row r="1080" customFormat="false" ht="15" hidden="false" customHeight="false" outlineLevel="0" collapsed="false">
      <c r="A1080" s="28" t="n">
        <v>36122</v>
      </c>
      <c r="B1080" s="28" t="n">
        <v>36128</v>
      </c>
      <c r="C1080" s="21" t="n">
        <v>0</v>
      </c>
      <c r="D1080" s="21" t="n">
        <v>0</v>
      </c>
      <c r="E1080" s="21" t="n">
        <v>0</v>
      </c>
      <c r="F1080" s="21" t="n">
        <v>0</v>
      </c>
      <c r="G1080" s="30" t="s">
        <v>3432</v>
      </c>
    </row>
    <row r="1081" customFormat="false" ht="15" hidden="false" customHeight="false" outlineLevel="0" collapsed="false">
      <c r="A1081" s="28" t="n">
        <v>36129</v>
      </c>
      <c r="B1081" s="28" t="n">
        <v>36135</v>
      </c>
      <c r="C1081" s="21" t="n">
        <v>0</v>
      </c>
      <c r="D1081" s="21" t="n">
        <v>0</v>
      </c>
      <c r="E1081" s="21" t="n">
        <v>0</v>
      </c>
      <c r="F1081" s="21" t="n">
        <v>0</v>
      </c>
      <c r="G1081" s="30" t="s">
        <v>3432</v>
      </c>
    </row>
    <row r="1082" customFormat="false" ht="15" hidden="false" customHeight="false" outlineLevel="0" collapsed="false">
      <c r="A1082" s="28" t="n">
        <v>36136</v>
      </c>
      <c r="B1082" s="28" t="n">
        <v>36142</v>
      </c>
      <c r="C1082" s="21" t="n">
        <v>0</v>
      </c>
      <c r="D1082" s="21" t="n">
        <v>0</v>
      </c>
      <c r="E1082" s="21" t="n">
        <v>0</v>
      </c>
      <c r="F1082" s="21" t="n">
        <v>0</v>
      </c>
      <c r="G1082" s="30" t="s">
        <v>3432</v>
      </c>
    </row>
    <row r="1083" customFormat="false" ht="15" hidden="false" customHeight="false" outlineLevel="0" collapsed="false">
      <c r="A1083" s="28" t="n">
        <v>36143</v>
      </c>
      <c r="B1083" s="28" t="n">
        <v>36149</v>
      </c>
      <c r="C1083" s="21" t="n">
        <v>0</v>
      </c>
      <c r="D1083" s="21" t="n">
        <v>0</v>
      </c>
      <c r="E1083" s="21" t="n">
        <v>0</v>
      </c>
      <c r="F1083" s="21" t="n">
        <v>0</v>
      </c>
      <c r="G1083" s="30" t="s">
        <v>3432</v>
      </c>
    </row>
    <row r="1084" customFormat="false" ht="15" hidden="false" customHeight="false" outlineLevel="0" collapsed="false">
      <c r="A1084" s="28" t="n">
        <v>36150</v>
      </c>
      <c r="B1084" s="28" t="n">
        <v>36156</v>
      </c>
      <c r="C1084" s="21" t="n">
        <v>0</v>
      </c>
      <c r="D1084" s="21" t="n">
        <v>0</v>
      </c>
      <c r="E1084" s="21" t="n">
        <v>0</v>
      </c>
      <c r="F1084" s="21" t="n">
        <v>0</v>
      </c>
      <c r="G1084" s="30" t="s">
        <v>3432</v>
      </c>
    </row>
    <row r="1085" customFormat="false" ht="15" hidden="false" customHeight="false" outlineLevel="0" collapsed="false">
      <c r="A1085" s="28" t="n">
        <v>36157</v>
      </c>
      <c r="B1085" s="28" t="n">
        <v>36163</v>
      </c>
      <c r="C1085" s="21" t="n">
        <v>0</v>
      </c>
      <c r="D1085" s="21" t="n">
        <v>0</v>
      </c>
      <c r="E1085" s="21" t="n">
        <v>0</v>
      </c>
      <c r="F1085" s="21" t="n">
        <v>0</v>
      </c>
      <c r="G1085" s="30" t="s">
        <v>3432</v>
      </c>
    </row>
    <row r="1086" customFormat="false" ht="15" hidden="false" customHeight="false" outlineLevel="0" collapsed="false">
      <c r="A1086" s="28" t="n">
        <v>36164</v>
      </c>
      <c r="B1086" s="28" t="n">
        <v>36170</v>
      </c>
      <c r="C1086" s="21" t="n">
        <v>0</v>
      </c>
      <c r="D1086" s="21" t="n">
        <v>0</v>
      </c>
      <c r="E1086" s="21" t="n">
        <v>0</v>
      </c>
      <c r="F1086" s="21" t="n">
        <v>0</v>
      </c>
      <c r="G1086" s="30" t="s">
        <v>3432</v>
      </c>
    </row>
    <row r="1087" customFormat="false" ht="15" hidden="false" customHeight="false" outlineLevel="0" collapsed="false">
      <c r="A1087" s="28" t="n">
        <v>36171</v>
      </c>
      <c r="B1087" s="28" t="n">
        <v>36177</v>
      </c>
      <c r="C1087" s="21" t="n">
        <v>0</v>
      </c>
      <c r="D1087" s="21" t="n">
        <v>0</v>
      </c>
      <c r="E1087" s="21" t="n">
        <v>0</v>
      </c>
      <c r="F1087" s="21" t="n">
        <v>0</v>
      </c>
      <c r="G1087" s="30" t="s">
        <v>3432</v>
      </c>
    </row>
    <row r="1088" customFormat="false" ht="15" hidden="false" customHeight="false" outlineLevel="0" collapsed="false">
      <c r="A1088" s="28" t="n">
        <v>36178</v>
      </c>
      <c r="B1088" s="28" t="n">
        <v>36184</v>
      </c>
      <c r="C1088" s="21" t="n">
        <v>0</v>
      </c>
      <c r="D1088" s="21" t="n">
        <v>0</v>
      </c>
      <c r="E1088" s="21" t="n">
        <v>0</v>
      </c>
      <c r="F1088" s="21" t="n">
        <v>0</v>
      </c>
      <c r="G1088" s="30" t="s">
        <v>3432</v>
      </c>
    </row>
    <row r="1089" customFormat="false" ht="15" hidden="false" customHeight="false" outlineLevel="0" collapsed="false">
      <c r="A1089" s="28" t="n">
        <v>36185</v>
      </c>
      <c r="B1089" s="28" t="n">
        <v>36191</v>
      </c>
      <c r="C1089" s="21" t="n">
        <v>0</v>
      </c>
      <c r="D1089" s="21" t="n">
        <v>0</v>
      </c>
      <c r="E1089" s="21" t="n">
        <v>0</v>
      </c>
      <c r="F1089" s="21" t="n">
        <v>0</v>
      </c>
      <c r="G1089" s="30" t="s">
        <v>3432</v>
      </c>
    </row>
    <row r="1090" customFormat="false" ht="15" hidden="false" customHeight="false" outlineLevel="0" collapsed="false">
      <c r="A1090" s="28" t="n">
        <v>36192</v>
      </c>
      <c r="B1090" s="28" t="n">
        <v>36198</v>
      </c>
      <c r="C1090" s="21" t="n">
        <v>0</v>
      </c>
      <c r="D1090" s="21" t="n">
        <v>0</v>
      </c>
      <c r="E1090" s="21" t="n">
        <v>0</v>
      </c>
      <c r="F1090" s="21" t="n">
        <v>0</v>
      </c>
      <c r="G1090" s="30" t="s">
        <v>3432</v>
      </c>
    </row>
    <row r="1091" customFormat="false" ht="15" hidden="false" customHeight="false" outlineLevel="0" collapsed="false">
      <c r="A1091" s="28" t="n">
        <v>36199</v>
      </c>
      <c r="B1091" s="28" t="n">
        <v>36205</v>
      </c>
      <c r="C1091" s="21" t="n">
        <v>0</v>
      </c>
      <c r="D1091" s="21" t="n">
        <v>0</v>
      </c>
      <c r="E1091" s="21" t="n">
        <v>0</v>
      </c>
      <c r="F1091" s="21" t="n">
        <v>0</v>
      </c>
      <c r="G1091" s="30" t="s">
        <v>3432</v>
      </c>
    </row>
    <row r="1092" customFormat="false" ht="15" hidden="false" customHeight="false" outlineLevel="0" collapsed="false">
      <c r="A1092" s="28" t="n">
        <v>36206</v>
      </c>
      <c r="B1092" s="28" t="n">
        <v>36212</v>
      </c>
      <c r="C1092" s="21" t="n">
        <v>0</v>
      </c>
      <c r="D1092" s="21" t="n">
        <v>0</v>
      </c>
      <c r="E1092" s="21" t="n">
        <v>0</v>
      </c>
      <c r="F1092" s="21" t="n">
        <v>0</v>
      </c>
      <c r="G1092" s="30" t="s">
        <v>3432</v>
      </c>
    </row>
    <row r="1093" customFormat="false" ht="15" hidden="false" customHeight="false" outlineLevel="0" collapsed="false">
      <c r="A1093" s="28" t="n">
        <v>36213</v>
      </c>
      <c r="B1093" s="28" t="n">
        <v>36219</v>
      </c>
      <c r="C1093" s="21" t="n">
        <v>0</v>
      </c>
      <c r="D1093" s="21" t="n">
        <v>0</v>
      </c>
      <c r="E1093" s="21" t="n">
        <v>0</v>
      </c>
      <c r="F1093" s="21" t="n">
        <v>0</v>
      </c>
      <c r="G1093" s="30" t="s">
        <v>3432</v>
      </c>
    </row>
    <row r="1094" customFormat="false" ht="15" hidden="false" customHeight="false" outlineLevel="0" collapsed="false">
      <c r="A1094" s="28" t="n">
        <v>36220</v>
      </c>
      <c r="B1094" s="28" t="n">
        <v>36226</v>
      </c>
      <c r="C1094" s="21" t="n">
        <v>0</v>
      </c>
      <c r="D1094" s="21" t="n">
        <v>0</v>
      </c>
      <c r="E1094" s="21" t="n">
        <v>0</v>
      </c>
      <c r="F1094" s="21" t="n">
        <v>0</v>
      </c>
      <c r="G1094" s="30" t="s">
        <v>3432</v>
      </c>
    </row>
    <row r="1095" customFormat="false" ht="15" hidden="false" customHeight="false" outlineLevel="0" collapsed="false">
      <c r="A1095" s="28" t="n">
        <v>36227</v>
      </c>
      <c r="B1095" s="28" t="n">
        <v>36233</v>
      </c>
      <c r="C1095" s="21" t="n">
        <v>0</v>
      </c>
      <c r="D1095" s="21" t="n">
        <v>0</v>
      </c>
      <c r="E1095" s="21" t="n">
        <v>0</v>
      </c>
      <c r="F1095" s="21" t="n">
        <v>0</v>
      </c>
      <c r="G1095" s="30" t="s">
        <v>3432</v>
      </c>
    </row>
    <row r="1096" customFormat="false" ht="15" hidden="false" customHeight="false" outlineLevel="0" collapsed="false">
      <c r="A1096" s="28" t="n">
        <v>36234</v>
      </c>
      <c r="B1096" s="28" t="n">
        <v>36240</v>
      </c>
      <c r="C1096" s="21" t="n">
        <v>0</v>
      </c>
      <c r="D1096" s="21" t="n">
        <v>0</v>
      </c>
      <c r="E1096" s="21" t="n">
        <v>0</v>
      </c>
      <c r="F1096" s="21" t="n">
        <v>0</v>
      </c>
      <c r="G1096" s="30" t="s">
        <v>3432</v>
      </c>
    </row>
    <row r="1097" customFormat="false" ht="15" hidden="false" customHeight="false" outlineLevel="0" collapsed="false">
      <c r="A1097" s="28" t="n">
        <v>36241</v>
      </c>
      <c r="B1097" s="28" t="n">
        <v>36247</v>
      </c>
      <c r="C1097" s="21" t="n">
        <v>0</v>
      </c>
      <c r="D1097" s="21" t="n">
        <v>0</v>
      </c>
      <c r="E1097" s="21" t="n">
        <v>0</v>
      </c>
      <c r="F1097" s="21" t="n">
        <v>0</v>
      </c>
      <c r="G1097" s="30" t="s">
        <v>3432</v>
      </c>
    </row>
    <row r="1098" customFormat="false" ht="15" hidden="false" customHeight="false" outlineLevel="0" collapsed="false">
      <c r="A1098" s="28" t="n">
        <v>36248</v>
      </c>
      <c r="B1098" s="28" t="n">
        <v>36254</v>
      </c>
      <c r="C1098" s="21" t="n">
        <v>0</v>
      </c>
      <c r="D1098" s="21" t="n">
        <v>0</v>
      </c>
      <c r="E1098" s="21" t="n">
        <v>0</v>
      </c>
      <c r="F1098" s="21" t="n">
        <v>0</v>
      </c>
      <c r="G1098" s="30" t="s">
        <v>3432</v>
      </c>
    </row>
    <row r="1099" customFormat="false" ht="15" hidden="false" customHeight="false" outlineLevel="0" collapsed="false">
      <c r="A1099" s="28" t="n">
        <v>36255</v>
      </c>
      <c r="B1099" s="28" t="n">
        <v>36261</v>
      </c>
      <c r="C1099" s="21" t="n">
        <v>0</v>
      </c>
      <c r="D1099" s="21" t="n">
        <v>0</v>
      </c>
      <c r="E1099" s="21" t="n">
        <v>0</v>
      </c>
      <c r="F1099" s="21" t="n">
        <v>0</v>
      </c>
      <c r="G1099" s="30" t="s">
        <v>3432</v>
      </c>
    </row>
    <row r="1100" customFormat="false" ht="15" hidden="false" customHeight="false" outlineLevel="0" collapsed="false">
      <c r="A1100" s="28" t="n">
        <v>36262</v>
      </c>
      <c r="B1100" s="28" t="n">
        <v>36268</v>
      </c>
      <c r="C1100" s="21" t="n">
        <v>0</v>
      </c>
      <c r="D1100" s="21" t="n">
        <v>0</v>
      </c>
      <c r="E1100" s="21" t="n">
        <v>0</v>
      </c>
      <c r="F1100" s="21" t="n">
        <v>0</v>
      </c>
      <c r="G1100" s="30" t="s">
        <v>3432</v>
      </c>
    </row>
    <row r="1101" customFormat="false" ht="15" hidden="false" customHeight="false" outlineLevel="0" collapsed="false">
      <c r="A1101" s="28" t="n">
        <v>36269</v>
      </c>
      <c r="B1101" s="28" t="n">
        <v>36275</v>
      </c>
      <c r="C1101" s="21" t="n">
        <v>0</v>
      </c>
      <c r="D1101" s="21" t="n">
        <v>0</v>
      </c>
      <c r="E1101" s="21" t="n">
        <v>0</v>
      </c>
      <c r="F1101" s="21" t="n">
        <v>0</v>
      </c>
      <c r="G1101" s="30" t="s">
        <v>3432</v>
      </c>
    </row>
    <row r="1102" customFormat="false" ht="15" hidden="false" customHeight="false" outlineLevel="0" collapsed="false">
      <c r="A1102" s="28" t="n">
        <v>36276</v>
      </c>
      <c r="B1102" s="28" t="n">
        <v>36282</v>
      </c>
      <c r="C1102" s="21" t="n">
        <v>0</v>
      </c>
      <c r="D1102" s="21" t="n">
        <v>0</v>
      </c>
      <c r="E1102" s="21" t="n">
        <v>0</v>
      </c>
      <c r="F1102" s="21" t="n">
        <v>0</v>
      </c>
      <c r="G1102" s="30" t="s">
        <v>3432</v>
      </c>
    </row>
    <row r="1103" customFormat="false" ht="15" hidden="false" customHeight="false" outlineLevel="0" collapsed="false">
      <c r="A1103" s="28" t="n">
        <v>36283</v>
      </c>
      <c r="B1103" s="28" t="n">
        <v>36289</v>
      </c>
      <c r="C1103" s="21" t="n">
        <v>0</v>
      </c>
      <c r="D1103" s="21" t="n">
        <v>0</v>
      </c>
      <c r="E1103" s="21" t="n">
        <v>0</v>
      </c>
      <c r="F1103" s="21" t="n">
        <v>0</v>
      </c>
      <c r="G1103" s="30" t="s">
        <v>3432</v>
      </c>
    </row>
    <row r="1104" customFormat="false" ht="15" hidden="false" customHeight="false" outlineLevel="0" collapsed="false">
      <c r="A1104" s="28" t="n">
        <v>36290</v>
      </c>
      <c r="B1104" s="28" t="n">
        <v>36296</v>
      </c>
      <c r="C1104" s="21" t="n">
        <v>0</v>
      </c>
      <c r="D1104" s="21" t="n">
        <v>0</v>
      </c>
      <c r="E1104" s="21" t="n">
        <v>0</v>
      </c>
      <c r="F1104" s="21" t="n">
        <v>0</v>
      </c>
      <c r="G1104" s="30" t="s">
        <v>3432</v>
      </c>
    </row>
    <row r="1105" customFormat="false" ht="15" hidden="false" customHeight="false" outlineLevel="0" collapsed="false">
      <c r="A1105" s="28" t="n">
        <v>36297</v>
      </c>
      <c r="B1105" s="28" t="n">
        <v>36303</v>
      </c>
      <c r="C1105" s="21" t="n">
        <v>0</v>
      </c>
      <c r="D1105" s="21" t="n">
        <v>0</v>
      </c>
      <c r="E1105" s="21" t="n">
        <v>0</v>
      </c>
      <c r="F1105" s="21" t="n">
        <v>0</v>
      </c>
      <c r="G1105" s="30" t="s">
        <v>3432</v>
      </c>
    </row>
    <row r="1106" customFormat="false" ht="15" hidden="false" customHeight="false" outlineLevel="0" collapsed="false">
      <c r="A1106" s="28" t="n">
        <v>36304</v>
      </c>
      <c r="B1106" s="28" t="n">
        <v>36310</v>
      </c>
      <c r="C1106" s="21" t="n">
        <v>0</v>
      </c>
      <c r="D1106" s="21" t="n">
        <v>0</v>
      </c>
      <c r="E1106" s="21" t="n">
        <v>0</v>
      </c>
      <c r="F1106" s="21" t="n">
        <v>0</v>
      </c>
      <c r="G1106" s="30" t="s">
        <v>3432</v>
      </c>
    </row>
    <row r="1107" customFormat="false" ht="15" hidden="false" customHeight="false" outlineLevel="0" collapsed="false">
      <c r="A1107" s="28" t="n">
        <v>36311</v>
      </c>
      <c r="B1107" s="28" t="n">
        <v>36317</v>
      </c>
      <c r="C1107" s="21" t="n">
        <v>0</v>
      </c>
      <c r="D1107" s="21" t="n">
        <v>0</v>
      </c>
      <c r="E1107" s="21" t="n">
        <v>0</v>
      </c>
      <c r="F1107" s="21" t="n">
        <v>0</v>
      </c>
      <c r="G1107" s="30" t="s">
        <v>3432</v>
      </c>
    </row>
    <row r="1108" customFormat="false" ht="15" hidden="false" customHeight="false" outlineLevel="0" collapsed="false">
      <c r="A1108" s="28" t="n">
        <v>36318</v>
      </c>
      <c r="B1108" s="28" t="n">
        <v>36324</v>
      </c>
      <c r="C1108" s="21" t="n">
        <v>0</v>
      </c>
      <c r="D1108" s="21" t="n">
        <v>0</v>
      </c>
      <c r="E1108" s="21" t="n">
        <v>0</v>
      </c>
      <c r="F1108" s="21" t="n">
        <v>0</v>
      </c>
      <c r="G1108" s="30" t="s">
        <v>3432</v>
      </c>
    </row>
    <row r="1109" customFormat="false" ht="15" hidden="false" customHeight="false" outlineLevel="0" collapsed="false">
      <c r="A1109" s="28" t="n">
        <v>36325</v>
      </c>
      <c r="B1109" s="28" t="n">
        <v>36331</v>
      </c>
      <c r="C1109" s="21" t="n">
        <v>0</v>
      </c>
      <c r="D1109" s="21" t="n">
        <v>0</v>
      </c>
      <c r="E1109" s="21" t="n">
        <v>0</v>
      </c>
      <c r="F1109" s="21" t="n">
        <v>0</v>
      </c>
      <c r="G1109" s="30" t="s">
        <v>3432</v>
      </c>
    </row>
    <row r="1110" customFormat="false" ht="15" hidden="false" customHeight="false" outlineLevel="0" collapsed="false">
      <c r="A1110" s="28" t="n">
        <v>36332</v>
      </c>
      <c r="B1110" s="28" t="n">
        <v>36338</v>
      </c>
      <c r="C1110" s="21" t="n">
        <v>0</v>
      </c>
      <c r="D1110" s="21" t="n">
        <v>0</v>
      </c>
      <c r="E1110" s="21" t="n">
        <v>0</v>
      </c>
      <c r="F1110" s="21" t="n">
        <v>0</v>
      </c>
      <c r="G1110" s="30" t="s">
        <v>3432</v>
      </c>
    </row>
    <row r="1111" customFormat="false" ht="15" hidden="false" customHeight="false" outlineLevel="0" collapsed="false">
      <c r="A1111" s="28" t="n">
        <v>36339</v>
      </c>
      <c r="B1111" s="28" t="n">
        <v>36345</v>
      </c>
      <c r="C1111" s="21" t="n">
        <v>0</v>
      </c>
      <c r="D1111" s="21" t="n">
        <v>0</v>
      </c>
      <c r="E1111" s="21" t="n">
        <v>0</v>
      </c>
      <c r="F1111" s="21" t="n">
        <v>0</v>
      </c>
      <c r="G1111" s="30" t="s">
        <v>3432</v>
      </c>
    </row>
    <row r="1112" customFormat="false" ht="15" hidden="false" customHeight="false" outlineLevel="0" collapsed="false">
      <c r="A1112" s="28" t="n">
        <v>36346</v>
      </c>
      <c r="B1112" s="28" t="n">
        <v>36352</v>
      </c>
      <c r="C1112" s="21" t="n">
        <v>0</v>
      </c>
      <c r="D1112" s="21" t="n">
        <v>0</v>
      </c>
      <c r="E1112" s="21" t="n">
        <v>0</v>
      </c>
      <c r="F1112" s="21" t="n">
        <v>0</v>
      </c>
      <c r="G1112" s="30" t="s">
        <v>3432</v>
      </c>
    </row>
    <row r="1113" customFormat="false" ht="15" hidden="false" customHeight="false" outlineLevel="0" collapsed="false">
      <c r="A1113" s="28" t="n">
        <v>36353</v>
      </c>
      <c r="B1113" s="28" t="n">
        <v>36359</v>
      </c>
      <c r="C1113" s="21" t="n">
        <v>0</v>
      </c>
      <c r="D1113" s="21" t="n">
        <v>0</v>
      </c>
      <c r="E1113" s="21" t="n">
        <v>0</v>
      </c>
      <c r="F1113" s="21" t="n">
        <v>0</v>
      </c>
      <c r="G1113" s="30" t="s">
        <v>3432</v>
      </c>
    </row>
    <row r="1114" customFormat="false" ht="15" hidden="false" customHeight="false" outlineLevel="0" collapsed="false">
      <c r="A1114" s="28" t="n">
        <v>36360</v>
      </c>
      <c r="B1114" s="28" t="n">
        <v>36366</v>
      </c>
      <c r="C1114" s="21" t="n">
        <v>0</v>
      </c>
      <c r="D1114" s="21" t="n">
        <v>0</v>
      </c>
      <c r="E1114" s="21" t="n">
        <v>0</v>
      </c>
      <c r="F1114" s="21" t="n">
        <v>0</v>
      </c>
      <c r="G1114" s="30" t="s">
        <v>3432</v>
      </c>
    </row>
    <row r="1115" customFormat="false" ht="15" hidden="false" customHeight="false" outlineLevel="0" collapsed="false">
      <c r="A1115" s="28" t="n">
        <v>36367</v>
      </c>
      <c r="B1115" s="28" t="n">
        <v>36373</v>
      </c>
      <c r="C1115" s="21" t="n">
        <v>0</v>
      </c>
      <c r="D1115" s="21" t="n">
        <v>0</v>
      </c>
      <c r="E1115" s="21" t="n">
        <v>0</v>
      </c>
      <c r="F1115" s="21" t="n">
        <v>0</v>
      </c>
      <c r="G1115" s="30" t="s">
        <v>3432</v>
      </c>
    </row>
    <row r="1116" customFormat="false" ht="15" hidden="false" customHeight="false" outlineLevel="0" collapsed="false">
      <c r="A1116" s="28" t="n">
        <v>36374</v>
      </c>
      <c r="B1116" s="28" t="n">
        <v>36380</v>
      </c>
      <c r="C1116" s="21" t="n">
        <v>0</v>
      </c>
      <c r="D1116" s="21" t="n">
        <v>0</v>
      </c>
      <c r="E1116" s="21" t="n">
        <v>0</v>
      </c>
      <c r="F1116" s="21" t="n">
        <v>0</v>
      </c>
      <c r="G1116" s="30" t="s">
        <v>3432</v>
      </c>
    </row>
    <row r="1117" customFormat="false" ht="15" hidden="false" customHeight="false" outlineLevel="0" collapsed="false">
      <c r="A1117" s="28" t="n">
        <v>36381</v>
      </c>
      <c r="B1117" s="28" t="n">
        <v>36387</v>
      </c>
      <c r="C1117" s="21" t="n">
        <v>0</v>
      </c>
      <c r="D1117" s="21" t="n">
        <v>0</v>
      </c>
      <c r="E1117" s="21" t="n">
        <v>0</v>
      </c>
      <c r="F1117" s="21" t="n">
        <v>0</v>
      </c>
      <c r="G1117" s="30" t="s">
        <v>3432</v>
      </c>
    </row>
    <row r="1118" customFormat="false" ht="15" hidden="false" customHeight="false" outlineLevel="0" collapsed="false">
      <c r="A1118" s="28" t="n">
        <v>36388</v>
      </c>
      <c r="B1118" s="28" t="n">
        <v>36394</v>
      </c>
      <c r="C1118" s="21" t="n">
        <v>0</v>
      </c>
      <c r="D1118" s="21" t="n">
        <v>0</v>
      </c>
      <c r="E1118" s="21" t="n">
        <v>0</v>
      </c>
      <c r="F1118" s="21" t="n">
        <v>0</v>
      </c>
      <c r="G1118" s="30" t="s">
        <v>3432</v>
      </c>
    </row>
    <row r="1119" customFormat="false" ht="15" hidden="false" customHeight="false" outlineLevel="0" collapsed="false">
      <c r="A1119" s="28" t="n">
        <v>36395</v>
      </c>
      <c r="B1119" s="28" t="n">
        <v>36401</v>
      </c>
      <c r="C1119" s="21" t="n">
        <v>0</v>
      </c>
      <c r="D1119" s="21" t="n">
        <v>0</v>
      </c>
      <c r="E1119" s="21" t="n">
        <v>0</v>
      </c>
      <c r="F1119" s="21" t="n">
        <v>0</v>
      </c>
      <c r="G1119" s="30" t="s">
        <v>3432</v>
      </c>
    </row>
    <row r="1120" customFormat="false" ht="15" hidden="false" customHeight="false" outlineLevel="0" collapsed="false">
      <c r="A1120" s="28" t="n">
        <v>36402</v>
      </c>
      <c r="B1120" s="28" t="n">
        <v>36408</v>
      </c>
      <c r="C1120" s="21" t="n">
        <v>0</v>
      </c>
      <c r="D1120" s="21" t="n">
        <v>0</v>
      </c>
      <c r="E1120" s="21" t="n">
        <v>0</v>
      </c>
      <c r="F1120" s="21" t="n">
        <v>0</v>
      </c>
      <c r="G1120" s="30" t="s">
        <v>3432</v>
      </c>
    </row>
    <row r="1121" customFormat="false" ht="15" hidden="false" customHeight="false" outlineLevel="0" collapsed="false">
      <c r="A1121" s="28" t="n">
        <v>36409</v>
      </c>
      <c r="B1121" s="28" t="n">
        <v>36415</v>
      </c>
      <c r="C1121" s="21" t="n">
        <v>0</v>
      </c>
      <c r="D1121" s="21" t="n">
        <v>0</v>
      </c>
      <c r="E1121" s="21" t="n">
        <v>0</v>
      </c>
      <c r="F1121" s="21" t="n">
        <v>0</v>
      </c>
      <c r="G1121" s="30" t="s">
        <v>3432</v>
      </c>
    </row>
    <row r="1122" customFormat="false" ht="15" hidden="false" customHeight="false" outlineLevel="0" collapsed="false">
      <c r="A1122" s="28" t="n">
        <v>36416</v>
      </c>
      <c r="B1122" s="28" t="n">
        <v>36422</v>
      </c>
      <c r="C1122" s="21" t="n">
        <v>0</v>
      </c>
      <c r="D1122" s="21" t="n">
        <v>0</v>
      </c>
      <c r="E1122" s="21" t="n">
        <v>0</v>
      </c>
      <c r="F1122" s="21" t="n">
        <v>0</v>
      </c>
      <c r="G1122" s="30" t="s">
        <v>3432</v>
      </c>
    </row>
    <row r="1123" customFormat="false" ht="15" hidden="false" customHeight="false" outlineLevel="0" collapsed="false">
      <c r="A1123" s="28" t="n">
        <v>36423</v>
      </c>
      <c r="B1123" s="28" t="n">
        <v>36429</v>
      </c>
      <c r="C1123" s="21" t="n">
        <v>0</v>
      </c>
      <c r="D1123" s="21" t="n">
        <v>0</v>
      </c>
      <c r="E1123" s="21" t="n">
        <v>0</v>
      </c>
      <c r="F1123" s="21" t="n">
        <v>0</v>
      </c>
      <c r="G1123" s="30" t="s">
        <v>3432</v>
      </c>
    </row>
    <row r="1124" customFormat="false" ht="15" hidden="false" customHeight="false" outlineLevel="0" collapsed="false">
      <c r="A1124" s="28" t="n">
        <v>36430</v>
      </c>
      <c r="B1124" s="28" t="n">
        <v>36436</v>
      </c>
      <c r="C1124" s="21" t="n">
        <v>0</v>
      </c>
      <c r="D1124" s="21" t="n">
        <v>0</v>
      </c>
      <c r="E1124" s="21" t="n">
        <v>0</v>
      </c>
      <c r="F1124" s="21" t="n">
        <v>0</v>
      </c>
      <c r="G1124" s="30" t="s">
        <v>3432</v>
      </c>
    </row>
    <row r="1125" customFormat="false" ht="15" hidden="false" customHeight="false" outlineLevel="0" collapsed="false">
      <c r="A1125" s="28" t="n">
        <v>36437</v>
      </c>
      <c r="B1125" s="28" t="n">
        <v>36443</v>
      </c>
      <c r="C1125" s="21" t="n">
        <v>0</v>
      </c>
      <c r="D1125" s="21" t="n">
        <v>0</v>
      </c>
      <c r="E1125" s="21" t="n">
        <v>0</v>
      </c>
      <c r="F1125" s="21" t="n">
        <v>0</v>
      </c>
      <c r="G1125" s="30" t="s">
        <v>3432</v>
      </c>
    </row>
    <row r="1126" customFormat="false" ht="15" hidden="false" customHeight="false" outlineLevel="0" collapsed="false">
      <c r="A1126" s="28" t="n">
        <v>36444</v>
      </c>
      <c r="B1126" s="28" t="n">
        <v>36450</v>
      </c>
      <c r="C1126" s="21" t="n">
        <v>0</v>
      </c>
      <c r="D1126" s="21" t="n">
        <v>0</v>
      </c>
      <c r="E1126" s="21" t="n">
        <v>0</v>
      </c>
      <c r="F1126" s="21" t="n">
        <v>0</v>
      </c>
      <c r="G1126" s="30" t="s">
        <v>3432</v>
      </c>
    </row>
    <row r="1127" customFormat="false" ht="15" hidden="false" customHeight="false" outlineLevel="0" collapsed="false">
      <c r="A1127" s="28" t="n">
        <v>36451</v>
      </c>
      <c r="B1127" s="28" t="n">
        <v>36457</v>
      </c>
      <c r="C1127" s="21" t="n">
        <v>0</v>
      </c>
      <c r="D1127" s="21" t="n">
        <v>0</v>
      </c>
      <c r="E1127" s="21" t="n">
        <v>0</v>
      </c>
      <c r="F1127" s="21" t="n">
        <v>0</v>
      </c>
      <c r="G1127" s="30" t="s">
        <v>3432</v>
      </c>
    </row>
    <row r="1128" customFormat="false" ht="15" hidden="false" customHeight="false" outlineLevel="0" collapsed="false">
      <c r="A1128" s="28" t="n">
        <v>36458</v>
      </c>
      <c r="B1128" s="28" t="n">
        <v>36464</v>
      </c>
      <c r="C1128" s="21" t="n">
        <v>0</v>
      </c>
      <c r="D1128" s="21" t="n">
        <v>0</v>
      </c>
      <c r="E1128" s="21" t="n">
        <v>0</v>
      </c>
      <c r="F1128" s="21" t="n">
        <v>0</v>
      </c>
      <c r="G1128" s="30" t="s">
        <v>3432</v>
      </c>
    </row>
    <row r="1129" customFormat="false" ht="15" hidden="false" customHeight="false" outlineLevel="0" collapsed="false">
      <c r="A1129" s="28" t="n">
        <v>36465</v>
      </c>
      <c r="B1129" s="28" t="n">
        <v>36471</v>
      </c>
      <c r="C1129" s="21" t="n">
        <v>0</v>
      </c>
      <c r="D1129" s="21" t="n">
        <v>0</v>
      </c>
      <c r="E1129" s="21" t="n">
        <v>0</v>
      </c>
      <c r="F1129" s="21" t="n">
        <v>0</v>
      </c>
      <c r="G1129" s="30" t="s">
        <v>3432</v>
      </c>
    </row>
    <row r="1130" customFormat="false" ht="15" hidden="false" customHeight="false" outlineLevel="0" collapsed="false">
      <c r="A1130" s="28" t="n">
        <v>36472</v>
      </c>
      <c r="B1130" s="28" t="n">
        <v>36478</v>
      </c>
      <c r="C1130" s="21" t="n">
        <v>0</v>
      </c>
      <c r="D1130" s="21" t="n">
        <v>0</v>
      </c>
      <c r="E1130" s="21" t="n">
        <v>0</v>
      </c>
      <c r="F1130" s="21" t="n">
        <v>0</v>
      </c>
      <c r="G1130" s="30" t="s">
        <v>3432</v>
      </c>
    </row>
    <row r="1131" customFormat="false" ht="15" hidden="false" customHeight="false" outlineLevel="0" collapsed="false">
      <c r="A1131" s="28" t="n">
        <v>36479</v>
      </c>
      <c r="B1131" s="28" t="n">
        <v>36485</v>
      </c>
      <c r="C1131" s="21" t="n">
        <v>0</v>
      </c>
      <c r="D1131" s="21" t="n">
        <v>0</v>
      </c>
      <c r="E1131" s="21" t="n">
        <v>0</v>
      </c>
      <c r="F1131" s="21" t="n">
        <v>0</v>
      </c>
      <c r="G1131" s="30" t="s">
        <v>3432</v>
      </c>
    </row>
    <row r="1132" customFormat="false" ht="15" hidden="false" customHeight="false" outlineLevel="0" collapsed="false">
      <c r="A1132" s="28" t="n">
        <v>36486</v>
      </c>
      <c r="B1132" s="28" t="n">
        <v>36492</v>
      </c>
      <c r="C1132" s="21" t="n">
        <v>0</v>
      </c>
      <c r="D1132" s="21" t="n">
        <v>0</v>
      </c>
      <c r="E1132" s="21" t="n">
        <v>0</v>
      </c>
      <c r="F1132" s="21" t="n">
        <v>0</v>
      </c>
      <c r="G1132" s="30" t="s">
        <v>3432</v>
      </c>
    </row>
    <row r="1133" customFormat="false" ht="15" hidden="false" customHeight="false" outlineLevel="0" collapsed="false">
      <c r="A1133" s="28" t="n">
        <v>36493</v>
      </c>
      <c r="B1133" s="28" t="n">
        <v>36499</v>
      </c>
      <c r="C1133" s="21" t="n">
        <v>0</v>
      </c>
      <c r="D1133" s="21" t="n">
        <v>0</v>
      </c>
      <c r="E1133" s="21" t="n">
        <v>0</v>
      </c>
      <c r="F1133" s="21" t="n">
        <v>0</v>
      </c>
      <c r="G1133" s="30" t="s">
        <v>3432</v>
      </c>
    </row>
    <row r="1134" customFormat="false" ht="15" hidden="false" customHeight="false" outlineLevel="0" collapsed="false">
      <c r="A1134" s="28" t="n">
        <v>36500</v>
      </c>
      <c r="B1134" s="28" t="n">
        <v>36506</v>
      </c>
      <c r="C1134" s="21" t="n">
        <v>0</v>
      </c>
      <c r="D1134" s="21" t="n">
        <v>0</v>
      </c>
      <c r="E1134" s="21" t="n">
        <v>0</v>
      </c>
      <c r="F1134" s="21" t="n">
        <v>0</v>
      </c>
      <c r="G1134" s="30" t="s">
        <v>3432</v>
      </c>
    </row>
    <row r="1135" customFormat="false" ht="15" hidden="false" customHeight="false" outlineLevel="0" collapsed="false">
      <c r="A1135" s="28" t="n">
        <v>36507</v>
      </c>
      <c r="B1135" s="28" t="n">
        <v>36513</v>
      </c>
      <c r="C1135" s="21" t="n">
        <v>0</v>
      </c>
      <c r="D1135" s="21" t="n">
        <v>0</v>
      </c>
      <c r="E1135" s="21" t="n">
        <v>0</v>
      </c>
      <c r="F1135" s="21" t="n">
        <v>0</v>
      </c>
      <c r="G1135" s="30" t="s">
        <v>3432</v>
      </c>
    </row>
    <row r="1136" customFormat="false" ht="15" hidden="false" customHeight="false" outlineLevel="0" collapsed="false">
      <c r="A1136" s="28" t="n">
        <v>36514</v>
      </c>
      <c r="B1136" s="28" t="n">
        <v>36520</v>
      </c>
      <c r="C1136" s="21" t="n">
        <v>0</v>
      </c>
      <c r="D1136" s="21" t="n">
        <v>0</v>
      </c>
      <c r="E1136" s="21" t="n">
        <v>0</v>
      </c>
      <c r="F1136" s="21" t="n">
        <v>0</v>
      </c>
      <c r="G1136" s="30" t="s">
        <v>3432</v>
      </c>
    </row>
    <row r="1137" customFormat="false" ht="15" hidden="false" customHeight="false" outlineLevel="0" collapsed="false">
      <c r="A1137" s="28" t="n">
        <v>36521</v>
      </c>
      <c r="B1137" s="28" t="n">
        <v>36527</v>
      </c>
      <c r="C1137" s="21" t="n">
        <v>0</v>
      </c>
      <c r="D1137" s="21" t="n">
        <v>0</v>
      </c>
      <c r="E1137" s="21" t="n">
        <v>0</v>
      </c>
      <c r="F1137" s="21" t="n">
        <v>0</v>
      </c>
      <c r="G1137" s="30" t="s">
        <v>3432</v>
      </c>
    </row>
    <row r="1138" customFormat="false" ht="15" hidden="false" customHeight="false" outlineLevel="0" collapsed="false">
      <c r="A1138" s="28" t="n">
        <v>36528</v>
      </c>
      <c r="B1138" s="28" t="n">
        <v>36534</v>
      </c>
      <c r="C1138" s="21" t="n">
        <v>0</v>
      </c>
      <c r="D1138" s="21" t="n">
        <v>0</v>
      </c>
      <c r="E1138" s="21" t="n">
        <v>0</v>
      </c>
      <c r="F1138" s="21" t="n">
        <v>0</v>
      </c>
      <c r="G1138" s="30" t="s">
        <v>3432</v>
      </c>
    </row>
    <row r="1139" customFormat="false" ht="15" hidden="false" customHeight="false" outlineLevel="0" collapsed="false">
      <c r="A1139" s="28" t="n">
        <v>36535</v>
      </c>
      <c r="B1139" s="28" t="n">
        <v>36541</v>
      </c>
      <c r="C1139" s="21" t="n">
        <v>0</v>
      </c>
      <c r="D1139" s="21" t="n">
        <v>0</v>
      </c>
      <c r="E1139" s="21" t="n">
        <v>0</v>
      </c>
      <c r="F1139" s="21" t="n">
        <v>0</v>
      </c>
      <c r="G1139" s="30" t="s">
        <v>3432</v>
      </c>
    </row>
    <row r="1140" customFormat="false" ht="15" hidden="false" customHeight="false" outlineLevel="0" collapsed="false">
      <c r="A1140" s="28" t="n">
        <v>36542</v>
      </c>
      <c r="B1140" s="28" t="n">
        <v>36548</v>
      </c>
      <c r="C1140" s="21" t="n">
        <v>0</v>
      </c>
      <c r="D1140" s="21" t="n">
        <v>0</v>
      </c>
      <c r="E1140" s="21" t="n">
        <v>0</v>
      </c>
      <c r="F1140" s="21" t="n">
        <v>0</v>
      </c>
      <c r="G1140" s="30" t="s">
        <v>3432</v>
      </c>
    </row>
    <row r="1141" customFormat="false" ht="15" hidden="false" customHeight="false" outlineLevel="0" collapsed="false">
      <c r="A1141" s="28" t="n">
        <v>36549</v>
      </c>
      <c r="B1141" s="28" t="n">
        <v>36555</v>
      </c>
      <c r="C1141" s="21" t="n">
        <v>0</v>
      </c>
      <c r="D1141" s="21" t="n">
        <v>0</v>
      </c>
      <c r="E1141" s="21" t="n">
        <v>0</v>
      </c>
      <c r="F1141" s="21" t="n">
        <v>0</v>
      </c>
      <c r="G1141" s="30" t="s">
        <v>3432</v>
      </c>
    </row>
    <row r="1142" customFormat="false" ht="15" hidden="false" customHeight="false" outlineLevel="0" collapsed="false">
      <c r="A1142" s="28" t="n">
        <v>36556</v>
      </c>
      <c r="B1142" s="28" t="n">
        <v>36562</v>
      </c>
      <c r="C1142" s="21" t="n">
        <v>0</v>
      </c>
      <c r="D1142" s="21" t="n">
        <v>0</v>
      </c>
      <c r="E1142" s="21" t="n">
        <v>0</v>
      </c>
      <c r="F1142" s="21" t="n">
        <v>0</v>
      </c>
      <c r="G1142" s="30" t="s">
        <v>3432</v>
      </c>
    </row>
    <row r="1143" customFormat="false" ht="15" hidden="false" customHeight="false" outlineLevel="0" collapsed="false">
      <c r="A1143" s="28" t="n">
        <v>36563</v>
      </c>
      <c r="B1143" s="28" t="n">
        <v>36569</v>
      </c>
      <c r="C1143" s="21" t="n">
        <v>0</v>
      </c>
      <c r="D1143" s="21" t="n">
        <v>0</v>
      </c>
      <c r="E1143" s="21" t="n">
        <v>0</v>
      </c>
      <c r="F1143" s="21" t="n">
        <v>0</v>
      </c>
      <c r="G1143" s="30" t="s">
        <v>3432</v>
      </c>
    </row>
    <row r="1144" customFormat="false" ht="15" hidden="false" customHeight="false" outlineLevel="0" collapsed="false">
      <c r="A1144" s="28" t="n">
        <v>36570</v>
      </c>
      <c r="B1144" s="28" t="n">
        <v>36576</v>
      </c>
      <c r="C1144" s="21" t="n">
        <v>0</v>
      </c>
      <c r="D1144" s="21" t="n">
        <v>0</v>
      </c>
      <c r="E1144" s="21" t="n">
        <v>0</v>
      </c>
      <c r="F1144" s="21" t="n">
        <v>0</v>
      </c>
      <c r="G1144" s="30" t="s">
        <v>3432</v>
      </c>
    </row>
    <row r="1145" customFormat="false" ht="15" hidden="false" customHeight="false" outlineLevel="0" collapsed="false">
      <c r="A1145" s="28" t="n">
        <v>36577</v>
      </c>
      <c r="B1145" s="28" t="n">
        <v>36583</v>
      </c>
      <c r="C1145" s="21" t="n">
        <v>0</v>
      </c>
      <c r="D1145" s="21" t="n">
        <v>0</v>
      </c>
      <c r="E1145" s="21" t="n">
        <v>0</v>
      </c>
      <c r="F1145" s="21" t="n">
        <v>0</v>
      </c>
      <c r="G1145" s="30" t="s">
        <v>3432</v>
      </c>
    </row>
    <row r="1146" customFormat="false" ht="15" hidden="false" customHeight="false" outlineLevel="0" collapsed="false">
      <c r="A1146" s="28" t="n">
        <v>36584</v>
      </c>
      <c r="B1146" s="28" t="n">
        <v>36590</v>
      </c>
      <c r="C1146" s="21" t="n">
        <v>0</v>
      </c>
      <c r="D1146" s="21" t="n">
        <v>0</v>
      </c>
      <c r="E1146" s="21" t="n">
        <v>0</v>
      </c>
      <c r="F1146" s="21" t="n">
        <v>0</v>
      </c>
      <c r="G1146" s="30" t="s">
        <v>3432</v>
      </c>
    </row>
    <row r="1147" customFormat="false" ht="15" hidden="false" customHeight="false" outlineLevel="0" collapsed="false">
      <c r="A1147" s="28" t="n">
        <v>36591</v>
      </c>
      <c r="B1147" s="28" t="n">
        <v>36597</v>
      </c>
      <c r="C1147" s="21" t="n">
        <v>0</v>
      </c>
      <c r="D1147" s="21" t="n">
        <v>0</v>
      </c>
      <c r="E1147" s="21" t="n">
        <v>0</v>
      </c>
      <c r="F1147" s="21" t="n">
        <v>0</v>
      </c>
      <c r="G1147" s="30" t="s">
        <v>3432</v>
      </c>
    </row>
    <row r="1148" customFormat="false" ht="15" hidden="false" customHeight="false" outlineLevel="0" collapsed="false">
      <c r="A1148" s="28" t="n">
        <v>36598</v>
      </c>
      <c r="B1148" s="28" t="n">
        <v>36604</v>
      </c>
      <c r="C1148" s="21" t="n">
        <v>0</v>
      </c>
      <c r="D1148" s="21" t="n">
        <v>0</v>
      </c>
      <c r="E1148" s="21" t="n">
        <v>0</v>
      </c>
      <c r="F1148" s="21" t="n">
        <v>0</v>
      </c>
      <c r="G1148" s="30" t="s">
        <v>3432</v>
      </c>
    </row>
    <row r="1149" customFormat="false" ht="15" hidden="false" customHeight="false" outlineLevel="0" collapsed="false">
      <c r="A1149" s="28" t="n">
        <v>36605</v>
      </c>
      <c r="B1149" s="28" t="n">
        <v>36611</v>
      </c>
      <c r="C1149" s="21" t="n">
        <v>0</v>
      </c>
      <c r="D1149" s="21" t="n">
        <v>0</v>
      </c>
      <c r="E1149" s="21" t="n">
        <v>0</v>
      </c>
      <c r="F1149" s="21" t="n">
        <v>0</v>
      </c>
      <c r="G1149" s="30" t="s">
        <v>3432</v>
      </c>
    </row>
    <row r="1150" customFormat="false" ht="15" hidden="false" customHeight="false" outlineLevel="0" collapsed="false">
      <c r="A1150" s="28" t="n">
        <v>36612</v>
      </c>
      <c r="B1150" s="28" t="n">
        <v>36618</v>
      </c>
      <c r="C1150" s="21" t="n">
        <v>0</v>
      </c>
      <c r="D1150" s="21" t="n">
        <v>0</v>
      </c>
      <c r="E1150" s="21" t="n">
        <v>0</v>
      </c>
      <c r="F1150" s="21" t="n">
        <v>0</v>
      </c>
      <c r="G1150" s="30" t="s">
        <v>3432</v>
      </c>
    </row>
    <row r="1151" customFormat="false" ht="15" hidden="false" customHeight="false" outlineLevel="0" collapsed="false">
      <c r="A1151" s="28" t="n">
        <v>36619</v>
      </c>
      <c r="B1151" s="28" t="n">
        <v>36625</v>
      </c>
      <c r="C1151" s="21" t="n">
        <v>0</v>
      </c>
      <c r="D1151" s="21" t="n">
        <v>0</v>
      </c>
      <c r="E1151" s="21" t="n">
        <v>0</v>
      </c>
      <c r="F1151" s="21" t="n">
        <v>0</v>
      </c>
      <c r="G1151" s="30" t="s">
        <v>3432</v>
      </c>
    </row>
    <row r="1152" customFormat="false" ht="15" hidden="false" customHeight="false" outlineLevel="0" collapsed="false">
      <c r="A1152" s="28" t="n">
        <v>36626</v>
      </c>
      <c r="B1152" s="28" t="n">
        <v>36632</v>
      </c>
      <c r="C1152" s="21" t="n">
        <v>0</v>
      </c>
      <c r="D1152" s="21" t="n">
        <v>0</v>
      </c>
      <c r="E1152" s="21" t="n">
        <v>0</v>
      </c>
      <c r="F1152" s="21" t="n">
        <v>0</v>
      </c>
      <c r="G1152" s="30" t="s">
        <v>3432</v>
      </c>
    </row>
    <row r="1153" customFormat="false" ht="15" hidden="false" customHeight="false" outlineLevel="0" collapsed="false">
      <c r="A1153" s="28" t="n">
        <v>36633</v>
      </c>
      <c r="B1153" s="28" t="n">
        <v>36639</v>
      </c>
      <c r="C1153" s="21" t="n">
        <v>0</v>
      </c>
      <c r="D1153" s="21" t="n">
        <v>0</v>
      </c>
      <c r="E1153" s="21" t="n">
        <v>0</v>
      </c>
      <c r="F1153" s="21" t="n">
        <v>0</v>
      </c>
      <c r="G1153" s="30" t="s">
        <v>3432</v>
      </c>
    </row>
    <row r="1154" customFormat="false" ht="15" hidden="false" customHeight="false" outlineLevel="0" collapsed="false">
      <c r="A1154" s="28" t="n">
        <v>36640</v>
      </c>
      <c r="B1154" s="28" t="n">
        <v>36646</v>
      </c>
      <c r="C1154" s="21" t="n">
        <v>0</v>
      </c>
      <c r="D1154" s="21" t="n">
        <v>0</v>
      </c>
      <c r="E1154" s="21" t="n">
        <v>0</v>
      </c>
      <c r="F1154" s="21" t="n">
        <v>0</v>
      </c>
      <c r="G1154" s="30" t="s">
        <v>3432</v>
      </c>
    </row>
    <row r="1155" customFormat="false" ht="15" hidden="false" customHeight="false" outlineLevel="0" collapsed="false">
      <c r="A1155" s="28" t="n">
        <v>36647</v>
      </c>
      <c r="B1155" s="28" t="n">
        <v>36653</v>
      </c>
      <c r="C1155" s="21" t="n">
        <v>0</v>
      </c>
      <c r="D1155" s="21" t="n">
        <v>0</v>
      </c>
      <c r="E1155" s="21" t="n">
        <v>0</v>
      </c>
      <c r="F1155" s="21" t="n">
        <v>0</v>
      </c>
      <c r="G1155" s="30" t="s">
        <v>3432</v>
      </c>
    </row>
    <row r="1156" customFormat="false" ht="15" hidden="false" customHeight="false" outlineLevel="0" collapsed="false">
      <c r="A1156" s="28" t="n">
        <v>36654</v>
      </c>
      <c r="B1156" s="28" t="n">
        <v>36660</v>
      </c>
      <c r="C1156" s="21" t="n">
        <v>0</v>
      </c>
      <c r="D1156" s="21" t="n">
        <v>0</v>
      </c>
      <c r="E1156" s="21" t="n">
        <v>0</v>
      </c>
      <c r="F1156" s="21" t="n">
        <v>0</v>
      </c>
      <c r="G1156" s="30" t="s">
        <v>3432</v>
      </c>
    </row>
    <row r="1157" customFormat="false" ht="15" hidden="false" customHeight="false" outlineLevel="0" collapsed="false">
      <c r="A1157" s="28" t="n">
        <v>36661</v>
      </c>
      <c r="B1157" s="28" t="n">
        <v>36667</v>
      </c>
      <c r="C1157" s="21" t="n">
        <v>0</v>
      </c>
      <c r="D1157" s="21" t="n">
        <v>0</v>
      </c>
      <c r="E1157" s="21" t="n">
        <v>0</v>
      </c>
      <c r="F1157" s="21" t="n">
        <v>0</v>
      </c>
      <c r="G1157" s="30" t="s">
        <v>3432</v>
      </c>
    </row>
    <row r="1158" customFormat="false" ht="15" hidden="false" customHeight="false" outlineLevel="0" collapsed="false">
      <c r="A1158" s="28" t="n">
        <v>36668</v>
      </c>
      <c r="B1158" s="28" t="n">
        <v>36674</v>
      </c>
      <c r="C1158" s="21" t="n">
        <v>0</v>
      </c>
      <c r="D1158" s="21" t="n">
        <v>0</v>
      </c>
      <c r="E1158" s="21" t="n">
        <v>0</v>
      </c>
      <c r="F1158" s="21" t="n">
        <v>0</v>
      </c>
      <c r="G1158" s="30" t="s">
        <v>3432</v>
      </c>
    </row>
    <row r="1159" customFormat="false" ht="15" hidden="false" customHeight="false" outlineLevel="0" collapsed="false">
      <c r="A1159" s="28" t="n">
        <v>36675</v>
      </c>
      <c r="B1159" s="28" t="n">
        <v>36681</v>
      </c>
      <c r="C1159" s="21" t="n">
        <v>0</v>
      </c>
      <c r="D1159" s="21" t="n">
        <v>0</v>
      </c>
      <c r="E1159" s="21" t="n">
        <v>0</v>
      </c>
      <c r="F1159" s="21" t="n">
        <v>0</v>
      </c>
      <c r="G1159" s="30" t="s">
        <v>3432</v>
      </c>
    </row>
    <row r="1160" customFormat="false" ht="15" hidden="false" customHeight="false" outlineLevel="0" collapsed="false">
      <c r="A1160" s="28" t="n">
        <v>36682</v>
      </c>
      <c r="B1160" s="28" t="n">
        <v>36688</v>
      </c>
      <c r="C1160" s="21" t="n">
        <v>0</v>
      </c>
      <c r="D1160" s="21" t="n">
        <v>0</v>
      </c>
      <c r="E1160" s="21" t="n">
        <v>0</v>
      </c>
      <c r="F1160" s="21" t="n">
        <v>0</v>
      </c>
      <c r="G1160" s="30" t="s">
        <v>3432</v>
      </c>
    </row>
    <row r="1161" customFormat="false" ht="15" hidden="false" customHeight="false" outlineLevel="0" collapsed="false">
      <c r="A1161" s="28" t="n">
        <v>36689</v>
      </c>
      <c r="B1161" s="28" t="n">
        <v>36695</v>
      </c>
      <c r="C1161" s="21" t="n">
        <v>0</v>
      </c>
      <c r="D1161" s="21" t="n">
        <v>0</v>
      </c>
      <c r="E1161" s="21" t="n">
        <v>0</v>
      </c>
      <c r="F1161" s="21" t="n">
        <v>0</v>
      </c>
      <c r="G1161" s="30" t="s">
        <v>3432</v>
      </c>
    </row>
    <row r="1162" customFormat="false" ht="15" hidden="false" customHeight="false" outlineLevel="0" collapsed="false">
      <c r="A1162" s="28" t="n">
        <v>36696</v>
      </c>
      <c r="B1162" s="28" t="n">
        <v>36702</v>
      </c>
      <c r="C1162" s="21" t="n">
        <v>0</v>
      </c>
      <c r="D1162" s="21" t="n">
        <v>0</v>
      </c>
      <c r="E1162" s="21" t="n">
        <v>0</v>
      </c>
      <c r="F1162" s="21" t="n">
        <v>0</v>
      </c>
      <c r="G1162" s="30" t="s">
        <v>3432</v>
      </c>
    </row>
    <row r="1163" customFormat="false" ht="15" hidden="false" customHeight="false" outlineLevel="0" collapsed="false">
      <c r="A1163" s="28" t="n">
        <v>36703</v>
      </c>
      <c r="B1163" s="28" t="n">
        <v>36709</v>
      </c>
      <c r="C1163" s="21" t="n">
        <v>0</v>
      </c>
      <c r="D1163" s="21" t="n">
        <v>0</v>
      </c>
      <c r="E1163" s="21" t="n">
        <v>0</v>
      </c>
      <c r="F1163" s="21" t="n">
        <v>0</v>
      </c>
      <c r="G1163" s="30" t="s">
        <v>3432</v>
      </c>
    </row>
    <row r="1164" customFormat="false" ht="15" hidden="false" customHeight="false" outlineLevel="0" collapsed="false">
      <c r="A1164" s="28" t="n">
        <v>36710</v>
      </c>
      <c r="B1164" s="28" t="n">
        <v>36716</v>
      </c>
      <c r="C1164" s="21" t="n">
        <v>0</v>
      </c>
      <c r="D1164" s="21" t="n">
        <v>0</v>
      </c>
      <c r="E1164" s="21" t="n">
        <v>0</v>
      </c>
      <c r="F1164" s="21" t="n">
        <v>0</v>
      </c>
      <c r="G1164" s="30" t="s">
        <v>3432</v>
      </c>
    </row>
    <row r="1165" customFormat="false" ht="15" hidden="false" customHeight="false" outlineLevel="0" collapsed="false">
      <c r="A1165" s="28" t="n">
        <v>36717</v>
      </c>
      <c r="B1165" s="28" t="n">
        <v>36723</v>
      </c>
      <c r="C1165" s="21" t="n">
        <v>0</v>
      </c>
      <c r="D1165" s="21" t="n">
        <v>0</v>
      </c>
      <c r="E1165" s="21" t="n">
        <v>0</v>
      </c>
      <c r="F1165" s="21" t="n">
        <v>0</v>
      </c>
      <c r="G1165" s="30" t="s">
        <v>3432</v>
      </c>
    </row>
    <row r="1166" customFormat="false" ht="15" hidden="false" customHeight="false" outlineLevel="0" collapsed="false">
      <c r="A1166" s="28" t="n">
        <v>36724</v>
      </c>
      <c r="B1166" s="28" t="n">
        <v>36730</v>
      </c>
      <c r="C1166" s="21" t="n">
        <v>0</v>
      </c>
      <c r="D1166" s="21" t="n">
        <v>0</v>
      </c>
      <c r="E1166" s="21" t="n">
        <v>0</v>
      </c>
      <c r="F1166" s="21" t="n">
        <v>0</v>
      </c>
      <c r="G1166" s="30" t="s">
        <v>3432</v>
      </c>
    </row>
    <row r="1167" customFormat="false" ht="15" hidden="false" customHeight="false" outlineLevel="0" collapsed="false">
      <c r="A1167" s="28" t="n">
        <v>36731</v>
      </c>
      <c r="B1167" s="28" t="n">
        <v>36737</v>
      </c>
      <c r="C1167" s="21" t="n">
        <v>0</v>
      </c>
      <c r="D1167" s="21" t="n">
        <v>0</v>
      </c>
      <c r="E1167" s="21" t="n">
        <v>0</v>
      </c>
      <c r="F1167" s="21" t="n">
        <v>0</v>
      </c>
      <c r="G1167" s="30" t="s">
        <v>3432</v>
      </c>
    </row>
    <row r="1168" customFormat="false" ht="15" hidden="false" customHeight="false" outlineLevel="0" collapsed="false">
      <c r="A1168" s="28" t="n">
        <v>36738</v>
      </c>
      <c r="B1168" s="28" t="n">
        <v>36744</v>
      </c>
      <c r="C1168" s="21" t="n">
        <v>0</v>
      </c>
      <c r="D1168" s="21" t="n">
        <v>0</v>
      </c>
      <c r="E1168" s="21" t="n">
        <v>0</v>
      </c>
      <c r="F1168" s="21" t="n">
        <v>0</v>
      </c>
      <c r="G1168" s="30" t="s">
        <v>3432</v>
      </c>
    </row>
    <row r="1169" customFormat="false" ht="15" hidden="false" customHeight="false" outlineLevel="0" collapsed="false">
      <c r="A1169" s="28" t="n">
        <v>36745</v>
      </c>
      <c r="B1169" s="28" t="n">
        <v>36751</v>
      </c>
      <c r="C1169" s="21" t="n">
        <v>0</v>
      </c>
      <c r="D1169" s="21" t="n">
        <v>0</v>
      </c>
      <c r="E1169" s="21" t="n">
        <v>0</v>
      </c>
      <c r="F1169" s="21" t="n">
        <v>0</v>
      </c>
      <c r="G1169" s="30" t="s">
        <v>3432</v>
      </c>
    </row>
    <row r="1170" customFormat="false" ht="15" hidden="false" customHeight="false" outlineLevel="0" collapsed="false">
      <c r="A1170" s="28" t="n">
        <v>36752</v>
      </c>
      <c r="B1170" s="28" t="n">
        <v>36758</v>
      </c>
      <c r="C1170" s="21" t="n">
        <v>0</v>
      </c>
      <c r="D1170" s="21" t="n">
        <v>0</v>
      </c>
      <c r="E1170" s="21" t="n">
        <v>0</v>
      </c>
      <c r="F1170" s="21" t="n">
        <v>0</v>
      </c>
      <c r="G1170" s="30" t="s">
        <v>3432</v>
      </c>
    </row>
    <row r="1171" customFormat="false" ht="15" hidden="false" customHeight="false" outlineLevel="0" collapsed="false">
      <c r="A1171" s="28" t="n">
        <v>36759</v>
      </c>
      <c r="B1171" s="28" t="n">
        <v>36765</v>
      </c>
      <c r="C1171" s="21" t="n">
        <v>0</v>
      </c>
      <c r="D1171" s="21" t="n">
        <v>0</v>
      </c>
      <c r="E1171" s="21" t="n">
        <v>0</v>
      </c>
      <c r="F1171" s="21" t="n">
        <v>0</v>
      </c>
      <c r="G1171" s="30" t="s">
        <v>3432</v>
      </c>
    </row>
    <row r="1172" customFormat="false" ht="15" hidden="false" customHeight="false" outlineLevel="0" collapsed="false">
      <c r="A1172" s="28" t="n">
        <v>36766</v>
      </c>
      <c r="B1172" s="28" t="n">
        <v>36772</v>
      </c>
      <c r="C1172" s="21" t="n">
        <v>0</v>
      </c>
      <c r="D1172" s="21" t="n">
        <v>0</v>
      </c>
      <c r="E1172" s="21" t="n">
        <v>0</v>
      </c>
      <c r="F1172" s="21" t="n">
        <v>0</v>
      </c>
      <c r="G1172" s="30" t="s">
        <v>3432</v>
      </c>
    </row>
    <row r="1173" customFormat="false" ht="15" hidden="false" customHeight="false" outlineLevel="0" collapsed="false">
      <c r="A1173" s="28" t="n">
        <v>36773</v>
      </c>
      <c r="B1173" s="28" t="n">
        <v>36779</v>
      </c>
      <c r="C1173" s="21" t="n">
        <v>0</v>
      </c>
      <c r="D1173" s="21" t="n">
        <v>0</v>
      </c>
      <c r="E1173" s="21" t="n">
        <v>0</v>
      </c>
      <c r="F1173" s="21" t="n">
        <v>0</v>
      </c>
      <c r="G1173" s="30" t="s">
        <v>3432</v>
      </c>
    </row>
    <row r="1174" customFormat="false" ht="15" hidden="false" customHeight="false" outlineLevel="0" collapsed="false">
      <c r="A1174" s="28" t="n">
        <v>36780</v>
      </c>
      <c r="B1174" s="28" t="n">
        <v>36786</v>
      </c>
      <c r="C1174" s="21" t="n">
        <v>0</v>
      </c>
      <c r="D1174" s="21" t="n">
        <v>0</v>
      </c>
      <c r="E1174" s="21" t="n">
        <v>0</v>
      </c>
      <c r="F1174" s="21" t="n">
        <v>0</v>
      </c>
      <c r="G1174" s="30" t="s">
        <v>3432</v>
      </c>
    </row>
    <row r="1175" customFormat="false" ht="15" hidden="false" customHeight="false" outlineLevel="0" collapsed="false">
      <c r="A1175" s="28" t="n">
        <v>36787</v>
      </c>
      <c r="B1175" s="28" t="n">
        <v>36793</v>
      </c>
      <c r="C1175" s="21" t="n">
        <v>0</v>
      </c>
      <c r="D1175" s="21" t="n">
        <v>0</v>
      </c>
      <c r="E1175" s="21" t="n">
        <v>0</v>
      </c>
      <c r="F1175" s="21" t="n">
        <v>0</v>
      </c>
      <c r="G1175" s="30" t="s">
        <v>3432</v>
      </c>
    </row>
    <row r="1176" customFormat="false" ht="15" hidden="false" customHeight="false" outlineLevel="0" collapsed="false">
      <c r="A1176" s="28" t="n">
        <v>36794</v>
      </c>
      <c r="B1176" s="28" t="n">
        <v>36800</v>
      </c>
      <c r="C1176" s="21" t="n">
        <v>0</v>
      </c>
      <c r="D1176" s="21" t="n">
        <v>0</v>
      </c>
      <c r="E1176" s="21" t="n">
        <v>0</v>
      </c>
      <c r="F1176" s="21" t="n">
        <v>0</v>
      </c>
      <c r="G1176" s="30" t="s">
        <v>3432</v>
      </c>
    </row>
    <row r="1177" customFormat="false" ht="15" hidden="false" customHeight="false" outlineLevel="0" collapsed="false">
      <c r="A1177" s="28" t="n">
        <v>36801</v>
      </c>
      <c r="B1177" s="28" t="n">
        <v>36807</v>
      </c>
      <c r="C1177" s="21" t="n">
        <v>0</v>
      </c>
      <c r="D1177" s="21" t="n">
        <v>0</v>
      </c>
      <c r="E1177" s="21" t="n">
        <v>0</v>
      </c>
      <c r="F1177" s="21" t="n">
        <v>0</v>
      </c>
      <c r="G1177" s="30" t="s">
        <v>3432</v>
      </c>
    </row>
    <row r="1178" customFormat="false" ht="15" hidden="false" customHeight="false" outlineLevel="0" collapsed="false">
      <c r="A1178" s="28" t="n">
        <v>36808</v>
      </c>
      <c r="B1178" s="28" t="n">
        <v>36814</v>
      </c>
      <c r="C1178" s="21" t="n">
        <v>0</v>
      </c>
      <c r="D1178" s="21" t="n">
        <v>0</v>
      </c>
      <c r="E1178" s="21" t="n">
        <v>0</v>
      </c>
      <c r="F1178" s="21" t="n">
        <v>0</v>
      </c>
      <c r="G1178" s="30" t="s">
        <v>3432</v>
      </c>
    </row>
    <row r="1179" customFormat="false" ht="15" hidden="false" customHeight="false" outlineLevel="0" collapsed="false">
      <c r="A1179" s="28" t="n">
        <v>36815</v>
      </c>
      <c r="B1179" s="28" t="n">
        <v>36821</v>
      </c>
      <c r="C1179" s="21" t="n">
        <v>0</v>
      </c>
      <c r="D1179" s="21" t="n">
        <v>0</v>
      </c>
      <c r="E1179" s="21" t="n">
        <v>0</v>
      </c>
      <c r="F1179" s="21" t="n">
        <v>0</v>
      </c>
      <c r="G1179" s="30" t="s">
        <v>3432</v>
      </c>
    </row>
    <row r="1180" customFormat="false" ht="15" hidden="false" customHeight="false" outlineLevel="0" collapsed="false">
      <c r="A1180" s="28" t="n">
        <v>36822</v>
      </c>
      <c r="B1180" s="28" t="n">
        <v>36828</v>
      </c>
      <c r="C1180" s="21" t="n">
        <v>0</v>
      </c>
      <c r="D1180" s="21" t="n">
        <v>0</v>
      </c>
      <c r="E1180" s="21" t="n">
        <v>0</v>
      </c>
      <c r="F1180" s="21" t="n">
        <v>0</v>
      </c>
      <c r="G1180" s="30" t="s">
        <v>3432</v>
      </c>
    </row>
    <row r="1181" customFormat="false" ht="15" hidden="false" customHeight="false" outlineLevel="0" collapsed="false">
      <c r="A1181" s="28" t="n">
        <v>36829</v>
      </c>
      <c r="B1181" s="28" t="n">
        <v>36835</v>
      </c>
      <c r="C1181" s="21" t="n">
        <v>0</v>
      </c>
      <c r="D1181" s="21" t="n">
        <v>0</v>
      </c>
      <c r="E1181" s="21" t="n">
        <v>0</v>
      </c>
      <c r="F1181" s="21" t="n">
        <v>0</v>
      </c>
      <c r="G1181" s="30" t="s">
        <v>3432</v>
      </c>
    </row>
    <row r="1182" customFormat="false" ht="15" hidden="false" customHeight="false" outlineLevel="0" collapsed="false">
      <c r="A1182" s="28" t="n">
        <v>36836</v>
      </c>
      <c r="B1182" s="28" t="n">
        <v>36842</v>
      </c>
      <c r="C1182" s="21" t="n">
        <v>0</v>
      </c>
      <c r="D1182" s="21" t="n">
        <v>0</v>
      </c>
      <c r="E1182" s="21" t="n">
        <v>0</v>
      </c>
      <c r="F1182" s="21" t="n">
        <v>0</v>
      </c>
      <c r="G1182" s="30" t="s">
        <v>3432</v>
      </c>
    </row>
    <row r="1183" customFormat="false" ht="15" hidden="false" customHeight="false" outlineLevel="0" collapsed="false">
      <c r="A1183" s="28" t="n">
        <v>36843</v>
      </c>
      <c r="B1183" s="28" t="n">
        <v>36849</v>
      </c>
      <c r="C1183" s="21" t="n">
        <v>0</v>
      </c>
      <c r="D1183" s="21" t="n">
        <v>0</v>
      </c>
      <c r="E1183" s="21" t="n">
        <v>0</v>
      </c>
      <c r="F1183" s="21" t="n">
        <v>0</v>
      </c>
      <c r="G1183" s="30" t="s">
        <v>3432</v>
      </c>
    </row>
    <row r="1184" customFormat="false" ht="15" hidden="false" customHeight="false" outlineLevel="0" collapsed="false">
      <c r="A1184" s="28" t="n">
        <v>36850</v>
      </c>
      <c r="B1184" s="28" t="n">
        <v>36856</v>
      </c>
      <c r="C1184" s="21" t="n">
        <v>0</v>
      </c>
      <c r="D1184" s="21" t="n">
        <v>0</v>
      </c>
      <c r="E1184" s="21" t="n">
        <v>0</v>
      </c>
      <c r="F1184" s="21" t="n">
        <v>0</v>
      </c>
      <c r="G1184" s="30" t="s">
        <v>3432</v>
      </c>
    </row>
    <row r="1185" customFormat="false" ht="15" hidden="false" customHeight="false" outlineLevel="0" collapsed="false">
      <c r="A1185" s="28" t="n">
        <v>36857</v>
      </c>
      <c r="B1185" s="28" t="n">
        <v>36863</v>
      </c>
      <c r="C1185" s="21" t="n">
        <v>0</v>
      </c>
      <c r="D1185" s="21" t="n">
        <v>0</v>
      </c>
      <c r="E1185" s="21" t="n">
        <v>0</v>
      </c>
      <c r="F1185" s="21" t="n">
        <v>0</v>
      </c>
      <c r="G1185" s="30" t="s">
        <v>3432</v>
      </c>
    </row>
    <row r="1186" customFormat="false" ht="15" hidden="false" customHeight="false" outlineLevel="0" collapsed="false">
      <c r="A1186" s="28" t="n">
        <v>36864</v>
      </c>
      <c r="B1186" s="28" t="n">
        <v>36870</v>
      </c>
      <c r="C1186" s="21" t="n">
        <v>0</v>
      </c>
      <c r="D1186" s="21" t="n">
        <v>0</v>
      </c>
      <c r="E1186" s="21" t="n">
        <v>0</v>
      </c>
      <c r="F1186" s="21" t="n">
        <v>0</v>
      </c>
      <c r="G1186" s="30" t="s">
        <v>3432</v>
      </c>
    </row>
    <row r="1187" customFormat="false" ht="15" hidden="false" customHeight="false" outlineLevel="0" collapsed="false">
      <c r="A1187" s="28" t="n">
        <v>36871</v>
      </c>
      <c r="B1187" s="28" t="n">
        <v>36877</v>
      </c>
      <c r="C1187" s="21" t="n">
        <v>0</v>
      </c>
      <c r="D1187" s="21" t="n">
        <v>0</v>
      </c>
      <c r="E1187" s="21" t="n">
        <v>0</v>
      </c>
      <c r="F1187" s="21" t="n">
        <v>0</v>
      </c>
      <c r="G1187" s="30" t="s">
        <v>3432</v>
      </c>
    </row>
    <row r="1188" customFormat="false" ht="15" hidden="false" customHeight="false" outlineLevel="0" collapsed="false">
      <c r="A1188" s="28" t="n">
        <v>36878</v>
      </c>
      <c r="B1188" s="28" t="n">
        <v>36884</v>
      </c>
      <c r="C1188" s="21" t="n">
        <v>0</v>
      </c>
      <c r="D1188" s="21" t="n">
        <v>0</v>
      </c>
      <c r="E1188" s="21" t="n">
        <v>0</v>
      </c>
      <c r="F1188" s="21" t="n">
        <v>0</v>
      </c>
      <c r="G1188" s="30" t="s">
        <v>3432</v>
      </c>
    </row>
    <row r="1189" customFormat="false" ht="15" hidden="false" customHeight="false" outlineLevel="0" collapsed="false">
      <c r="A1189" s="28" t="n">
        <v>36885</v>
      </c>
      <c r="B1189" s="28" t="n">
        <v>36891</v>
      </c>
      <c r="C1189" s="21" t="n">
        <v>0</v>
      </c>
      <c r="D1189" s="21" t="n">
        <v>0</v>
      </c>
      <c r="E1189" s="21" t="n">
        <v>0</v>
      </c>
      <c r="F1189" s="21" t="n">
        <v>0</v>
      </c>
      <c r="G1189" s="30" t="s">
        <v>3432</v>
      </c>
    </row>
    <row r="1190" customFormat="false" ht="15" hidden="false" customHeight="false" outlineLevel="0" collapsed="false">
      <c r="A1190" s="28" t="n">
        <v>36892</v>
      </c>
      <c r="B1190" s="28" t="n">
        <v>36898</v>
      </c>
      <c r="C1190" s="21" t="n">
        <v>0</v>
      </c>
      <c r="D1190" s="21" t="n">
        <v>0</v>
      </c>
      <c r="E1190" s="21" t="n">
        <v>0</v>
      </c>
      <c r="F1190" s="21" t="n">
        <v>0</v>
      </c>
      <c r="G1190" s="30" t="s">
        <v>3432</v>
      </c>
    </row>
    <row r="1191" customFormat="false" ht="15" hidden="false" customHeight="false" outlineLevel="0" collapsed="false">
      <c r="A1191" s="28" t="n">
        <v>36899</v>
      </c>
      <c r="B1191" s="28" t="n">
        <v>36905</v>
      </c>
      <c r="C1191" s="21" t="n">
        <v>0</v>
      </c>
      <c r="D1191" s="21" t="n">
        <v>0</v>
      </c>
      <c r="E1191" s="21" t="n">
        <v>0</v>
      </c>
      <c r="F1191" s="21" t="n">
        <v>0</v>
      </c>
      <c r="G1191" s="30" t="s">
        <v>3432</v>
      </c>
    </row>
    <row r="1192" customFormat="false" ht="15" hidden="false" customHeight="false" outlineLevel="0" collapsed="false">
      <c r="A1192" s="28" t="n">
        <v>36906</v>
      </c>
      <c r="B1192" s="28" t="n">
        <v>36912</v>
      </c>
      <c r="C1192" s="21" t="n">
        <v>0</v>
      </c>
      <c r="D1192" s="21" t="n">
        <v>0</v>
      </c>
      <c r="E1192" s="21" t="n">
        <v>0</v>
      </c>
      <c r="F1192" s="21" t="n">
        <v>0</v>
      </c>
      <c r="G1192" s="30" t="s">
        <v>3432</v>
      </c>
    </row>
    <row r="1193" customFormat="false" ht="15" hidden="false" customHeight="false" outlineLevel="0" collapsed="false">
      <c r="A1193" s="28" t="n">
        <v>36913</v>
      </c>
      <c r="B1193" s="28" t="n">
        <v>36919</v>
      </c>
      <c r="C1193" s="21" t="n">
        <v>0</v>
      </c>
      <c r="D1193" s="21" t="n">
        <v>0</v>
      </c>
      <c r="E1193" s="21" t="n">
        <v>0</v>
      </c>
      <c r="F1193" s="21" t="n">
        <v>0</v>
      </c>
      <c r="G1193" s="30" t="s">
        <v>3432</v>
      </c>
    </row>
    <row r="1194" customFormat="false" ht="15" hidden="false" customHeight="false" outlineLevel="0" collapsed="false">
      <c r="A1194" s="28" t="n">
        <v>36920</v>
      </c>
      <c r="B1194" s="28" t="n">
        <v>36926</v>
      </c>
      <c r="C1194" s="21" t="n">
        <v>0</v>
      </c>
      <c r="D1194" s="21" t="n">
        <v>0</v>
      </c>
      <c r="E1194" s="21" t="n">
        <v>0</v>
      </c>
      <c r="F1194" s="21" t="n">
        <v>0</v>
      </c>
      <c r="G1194" s="30" t="s">
        <v>3432</v>
      </c>
    </row>
    <row r="1195" customFormat="false" ht="15" hidden="false" customHeight="false" outlineLevel="0" collapsed="false">
      <c r="A1195" s="28" t="n">
        <v>36927</v>
      </c>
      <c r="B1195" s="28" t="n">
        <v>36933</v>
      </c>
      <c r="C1195" s="21" t="n">
        <v>0</v>
      </c>
      <c r="D1195" s="21" t="n">
        <v>0</v>
      </c>
      <c r="E1195" s="21" t="n">
        <v>0</v>
      </c>
      <c r="F1195" s="21" t="n">
        <v>0</v>
      </c>
      <c r="G1195" s="30" t="s">
        <v>3432</v>
      </c>
    </row>
    <row r="1196" customFormat="false" ht="15" hidden="false" customHeight="false" outlineLevel="0" collapsed="false">
      <c r="A1196" s="28" t="n">
        <v>36934</v>
      </c>
      <c r="B1196" s="28" t="n">
        <v>36940</v>
      </c>
      <c r="C1196" s="21" t="n">
        <v>0</v>
      </c>
      <c r="D1196" s="21" t="n">
        <v>0</v>
      </c>
      <c r="E1196" s="21" t="n">
        <v>0</v>
      </c>
      <c r="F1196" s="21" t="n">
        <v>0</v>
      </c>
      <c r="G1196" s="30" t="s">
        <v>3432</v>
      </c>
    </row>
    <row r="1197" customFormat="false" ht="15" hidden="false" customHeight="false" outlineLevel="0" collapsed="false">
      <c r="A1197" s="28" t="n">
        <v>36941</v>
      </c>
      <c r="B1197" s="28" t="n">
        <v>36947</v>
      </c>
      <c r="C1197" s="21" t="n">
        <v>0</v>
      </c>
      <c r="D1197" s="21" t="n">
        <v>0</v>
      </c>
      <c r="E1197" s="21" t="n">
        <v>0</v>
      </c>
      <c r="F1197" s="21" t="n">
        <v>0</v>
      </c>
      <c r="G1197" s="30" t="s">
        <v>3432</v>
      </c>
    </row>
    <row r="1198" customFormat="false" ht="15" hidden="false" customHeight="false" outlineLevel="0" collapsed="false">
      <c r="A1198" s="28" t="n">
        <v>36948</v>
      </c>
      <c r="B1198" s="28" t="n">
        <v>36954</v>
      </c>
      <c r="C1198" s="21" t="n">
        <v>0</v>
      </c>
      <c r="D1198" s="21" t="n">
        <v>0</v>
      </c>
      <c r="E1198" s="21" t="n">
        <v>0</v>
      </c>
      <c r="F1198" s="21" t="n">
        <v>0</v>
      </c>
      <c r="G1198" s="30" t="s">
        <v>3432</v>
      </c>
    </row>
    <row r="1199" customFormat="false" ht="15" hidden="false" customHeight="false" outlineLevel="0" collapsed="false">
      <c r="A1199" s="28" t="n">
        <v>36955</v>
      </c>
      <c r="B1199" s="28" t="n">
        <v>36961</v>
      </c>
      <c r="C1199" s="21" t="n">
        <v>0</v>
      </c>
      <c r="D1199" s="21" t="n">
        <v>0</v>
      </c>
      <c r="E1199" s="21" t="n">
        <v>0</v>
      </c>
      <c r="F1199" s="21" t="n">
        <v>0</v>
      </c>
      <c r="G1199" s="30" t="s">
        <v>3432</v>
      </c>
    </row>
    <row r="1200" customFormat="false" ht="15" hidden="false" customHeight="false" outlineLevel="0" collapsed="false">
      <c r="A1200" s="28" t="n">
        <v>36962</v>
      </c>
      <c r="B1200" s="28" t="n">
        <v>36968</v>
      </c>
      <c r="C1200" s="21" t="n">
        <v>0</v>
      </c>
      <c r="D1200" s="21" t="n">
        <v>0</v>
      </c>
      <c r="E1200" s="21" t="n">
        <v>0</v>
      </c>
      <c r="F1200" s="21" t="n">
        <v>0</v>
      </c>
      <c r="G1200" s="30" t="s">
        <v>3432</v>
      </c>
    </row>
    <row r="1201" customFormat="false" ht="15" hidden="false" customHeight="false" outlineLevel="0" collapsed="false">
      <c r="A1201" s="28" t="n">
        <v>36969</v>
      </c>
      <c r="B1201" s="28" t="n">
        <v>36975</v>
      </c>
      <c r="C1201" s="21" t="n">
        <v>0</v>
      </c>
      <c r="D1201" s="21" t="n">
        <v>0</v>
      </c>
      <c r="E1201" s="21" t="n">
        <v>0</v>
      </c>
      <c r="F1201" s="21" t="n">
        <v>0</v>
      </c>
      <c r="G1201" s="30" t="s">
        <v>3432</v>
      </c>
    </row>
    <row r="1202" customFormat="false" ht="15" hidden="false" customHeight="false" outlineLevel="0" collapsed="false">
      <c r="A1202" s="28" t="n">
        <v>36976</v>
      </c>
      <c r="B1202" s="28" t="n">
        <v>36982</v>
      </c>
      <c r="C1202" s="21" t="n">
        <v>0</v>
      </c>
      <c r="D1202" s="21" t="n">
        <v>0</v>
      </c>
      <c r="E1202" s="21" t="n">
        <v>0</v>
      </c>
      <c r="F1202" s="21" t="n">
        <v>0</v>
      </c>
      <c r="G1202" s="30" t="s">
        <v>3432</v>
      </c>
    </row>
    <row r="1203" customFormat="false" ht="15" hidden="false" customHeight="false" outlineLevel="0" collapsed="false">
      <c r="A1203" s="28" t="n">
        <v>36983</v>
      </c>
      <c r="B1203" s="28" t="n">
        <v>36989</v>
      </c>
      <c r="C1203" s="21" t="n">
        <v>0</v>
      </c>
      <c r="D1203" s="21" t="n">
        <v>0</v>
      </c>
      <c r="E1203" s="21" t="n">
        <v>0</v>
      </c>
      <c r="F1203" s="21" t="n">
        <v>0</v>
      </c>
      <c r="G1203" s="30" t="s">
        <v>3432</v>
      </c>
    </row>
    <row r="1204" customFormat="false" ht="15" hidden="false" customHeight="false" outlineLevel="0" collapsed="false">
      <c r="A1204" s="28" t="n">
        <v>36990</v>
      </c>
      <c r="B1204" s="28" t="n">
        <v>36996</v>
      </c>
      <c r="C1204" s="21" t="n">
        <v>0</v>
      </c>
      <c r="D1204" s="21" t="n">
        <v>0</v>
      </c>
      <c r="E1204" s="21" t="n">
        <v>0</v>
      </c>
      <c r="F1204" s="21" t="n">
        <v>0</v>
      </c>
      <c r="G1204" s="30" t="s">
        <v>3432</v>
      </c>
    </row>
    <row r="1205" customFormat="false" ht="15" hidden="false" customHeight="false" outlineLevel="0" collapsed="false">
      <c r="A1205" s="28" t="n">
        <v>36997</v>
      </c>
      <c r="B1205" s="28" t="n">
        <v>37003</v>
      </c>
      <c r="C1205" s="21" t="n">
        <v>0</v>
      </c>
      <c r="D1205" s="21" t="n">
        <v>0</v>
      </c>
      <c r="E1205" s="21" t="n">
        <v>0</v>
      </c>
      <c r="F1205" s="21" t="n">
        <v>0</v>
      </c>
      <c r="G1205" s="30" t="s">
        <v>3432</v>
      </c>
    </row>
    <row r="1206" customFormat="false" ht="15" hidden="false" customHeight="false" outlineLevel="0" collapsed="false">
      <c r="A1206" s="28" t="n">
        <v>37004</v>
      </c>
      <c r="B1206" s="28" t="n">
        <v>37010</v>
      </c>
      <c r="C1206" s="21" t="n">
        <v>0</v>
      </c>
      <c r="D1206" s="21" t="n">
        <v>0</v>
      </c>
      <c r="E1206" s="21" t="n">
        <v>0</v>
      </c>
      <c r="F1206" s="21" t="n">
        <v>0</v>
      </c>
      <c r="G1206" s="30" t="s">
        <v>3432</v>
      </c>
    </row>
    <row r="1207" customFormat="false" ht="15" hidden="false" customHeight="false" outlineLevel="0" collapsed="false">
      <c r="A1207" s="28" t="n">
        <v>37011</v>
      </c>
      <c r="B1207" s="28" t="n">
        <v>37017</v>
      </c>
      <c r="C1207" s="21" t="n">
        <v>0</v>
      </c>
      <c r="D1207" s="21" t="n">
        <v>0</v>
      </c>
      <c r="E1207" s="21" t="n">
        <v>0</v>
      </c>
      <c r="F1207" s="21" t="n">
        <v>0</v>
      </c>
      <c r="G1207" s="30" t="s">
        <v>3432</v>
      </c>
    </row>
    <row r="1208" customFormat="false" ht="15" hidden="false" customHeight="false" outlineLevel="0" collapsed="false">
      <c r="A1208" s="28" t="n">
        <v>37018</v>
      </c>
      <c r="B1208" s="28" t="n">
        <v>37024</v>
      </c>
      <c r="C1208" s="21" t="n">
        <v>0</v>
      </c>
      <c r="D1208" s="21" t="n">
        <v>0</v>
      </c>
      <c r="E1208" s="21" t="n">
        <v>0</v>
      </c>
      <c r="F1208" s="21" t="n">
        <v>0</v>
      </c>
      <c r="G1208" s="30" t="s">
        <v>3432</v>
      </c>
    </row>
    <row r="1209" customFormat="false" ht="15" hidden="false" customHeight="false" outlineLevel="0" collapsed="false">
      <c r="A1209" s="28" t="n">
        <v>37025</v>
      </c>
      <c r="B1209" s="28" t="n">
        <v>37031</v>
      </c>
      <c r="C1209" s="21" t="n">
        <v>0</v>
      </c>
      <c r="D1209" s="21" t="n">
        <v>0</v>
      </c>
      <c r="E1209" s="21" t="n">
        <v>0</v>
      </c>
      <c r="F1209" s="21" t="n">
        <v>0</v>
      </c>
      <c r="G1209" s="30" t="s">
        <v>3432</v>
      </c>
    </row>
    <row r="1210" customFormat="false" ht="15" hidden="false" customHeight="false" outlineLevel="0" collapsed="false">
      <c r="A1210" s="28" t="n">
        <v>37032</v>
      </c>
      <c r="B1210" s="28" t="n">
        <v>37038</v>
      </c>
      <c r="C1210" s="21" t="n">
        <v>0</v>
      </c>
      <c r="D1210" s="21" t="n">
        <v>0</v>
      </c>
      <c r="E1210" s="21" t="n">
        <v>0</v>
      </c>
      <c r="F1210" s="21" t="n">
        <v>0</v>
      </c>
      <c r="G1210" s="30" t="s">
        <v>3432</v>
      </c>
    </row>
    <row r="1211" customFormat="false" ht="15" hidden="false" customHeight="false" outlineLevel="0" collapsed="false">
      <c r="A1211" s="28" t="n">
        <v>37039</v>
      </c>
      <c r="B1211" s="28" t="n">
        <v>37045</v>
      </c>
      <c r="C1211" s="21" t="n">
        <v>0</v>
      </c>
      <c r="D1211" s="21" t="n">
        <v>0</v>
      </c>
      <c r="E1211" s="21" t="n">
        <v>0</v>
      </c>
      <c r="F1211" s="21" t="n">
        <v>0</v>
      </c>
      <c r="G1211" s="30" t="s">
        <v>3432</v>
      </c>
    </row>
    <row r="1212" customFormat="false" ht="15" hidden="false" customHeight="false" outlineLevel="0" collapsed="false">
      <c r="A1212" s="28" t="n">
        <v>37046</v>
      </c>
      <c r="B1212" s="28" t="n">
        <v>37052</v>
      </c>
      <c r="C1212" s="21" t="n">
        <v>0</v>
      </c>
      <c r="D1212" s="21" t="n">
        <v>0</v>
      </c>
      <c r="E1212" s="21" t="n">
        <v>0</v>
      </c>
      <c r="F1212" s="21" t="n">
        <v>0</v>
      </c>
      <c r="G1212" s="30" t="s">
        <v>3432</v>
      </c>
    </row>
    <row r="1213" customFormat="false" ht="15" hidden="false" customHeight="false" outlineLevel="0" collapsed="false">
      <c r="A1213" s="28" t="n">
        <v>37053</v>
      </c>
      <c r="B1213" s="28" t="n">
        <v>37059</v>
      </c>
      <c r="C1213" s="21" t="n">
        <v>0</v>
      </c>
      <c r="D1213" s="21" t="n">
        <v>0</v>
      </c>
      <c r="E1213" s="21" t="n">
        <v>0</v>
      </c>
      <c r="F1213" s="21" t="n">
        <v>0</v>
      </c>
      <c r="G1213" s="30" t="s">
        <v>3432</v>
      </c>
    </row>
    <row r="1214" customFormat="false" ht="15" hidden="false" customHeight="false" outlineLevel="0" collapsed="false">
      <c r="A1214" s="28" t="n">
        <v>37060</v>
      </c>
      <c r="B1214" s="28" t="n">
        <v>37066</v>
      </c>
      <c r="C1214" s="21" t="n">
        <v>0</v>
      </c>
      <c r="D1214" s="21" t="n">
        <v>0</v>
      </c>
      <c r="E1214" s="21" t="n">
        <v>0</v>
      </c>
      <c r="F1214" s="21" t="n">
        <v>0</v>
      </c>
      <c r="G1214" s="30" t="s">
        <v>3432</v>
      </c>
    </row>
    <row r="1215" customFormat="false" ht="15" hidden="false" customHeight="false" outlineLevel="0" collapsed="false">
      <c r="A1215" s="28" t="n">
        <v>37067</v>
      </c>
      <c r="B1215" s="28" t="n">
        <v>37073</v>
      </c>
      <c r="C1215" s="21" t="n">
        <v>0</v>
      </c>
      <c r="D1215" s="21" t="n">
        <v>0</v>
      </c>
      <c r="E1215" s="21" t="n">
        <v>0</v>
      </c>
      <c r="F1215" s="21" t="n">
        <v>0</v>
      </c>
      <c r="G1215" s="30" t="s">
        <v>3432</v>
      </c>
    </row>
    <row r="1216" customFormat="false" ht="15" hidden="false" customHeight="false" outlineLevel="0" collapsed="false">
      <c r="A1216" s="28" t="n">
        <v>37074</v>
      </c>
      <c r="B1216" s="28" t="n">
        <v>37080</v>
      </c>
      <c r="C1216" s="21" t="n">
        <v>0</v>
      </c>
      <c r="D1216" s="21" t="n">
        <v>0</v>
      </c>
      <c r="E1216" s="21" t="n">
        <v>0</v>
      </c>
      <c r="F1216" s="21" t="n">
        <v>0</v>
      </c>
      <c r="G1216" s="30" t="s">
        <v>3432</v>
      </c>
    </row>
    <row r="1217" customFormat="false" ht="15" hidden="false" customHeight="false" outlineLevel="0" collapsed="false">
      <c r="A1217" s="28" t="n">
        <v>37081</v>
      </c>
      <c r="B1217" s="28" t="n">
        <v>37087</v>
      </c>
      <c r="C1217" s="21" t="n">
        <v>0</v>
      </c>
      <c r="D1217" s="21" t="n">
        <v>0</v>
      </c>
      <c r="E1217" s="21" t="n">
        <v>0</v>
      </c>
      <c r="F1217" s="21" t="n">
        <v>0</v>
      </c>
      <c r="G1217" s="30" t="s">
        <v>3432</v>
      </c>
    </row>
    <row r="1218" customFormat="false" ht="15" hidden="false" customHeight="false" outlineLevel="0" collapsed="false">
      <c r="A1218" s="28" t="n">
        <v>37088</v>
      </c>
      <c r="B1218" s="28" t="n">
        <v>37094</v>
      </c>
      <c r="C1218" s="21" t="n">
        <v>0</v>
      </c>
      <c r="D1218" s="21" t="n">
        <v>0</v>
      </c>
      <c r="E1218" s="21" t="n">
        <v>0</v>
      </c>
      <c r="F1218" s="21" t="n">
        <v>0</v>
      </c>
      <c r="G1218" s="30" t="s">
        <v>3432</v>
      </c>
    </row>
    <row r="1219" customFormat="false" ht="15" hidden="false" customHeight="false" outlineLevel="0" collapsed="false">
      <c r="A1219" s="28" t="n">
        <v>37095</v>
      </c>
      <c r="B1219" s="28" t="n">
        <v>37101</v>
      </c>
      <c r="C1219" s="21" t="n">
        <v>0</v>
      </c>
      <c r="D1219" s="21" t="n">
        <v>0</v>
      </c>
      <c r="E1219" s="21" t="n">
        <v>0</v>
      </c>
      <c r="F1219" s="21" t="n">
        <v>0</v>
      </c>
      <c r="G1219" s="30" t="s">
        <v>3432</v>
      </c>
    </row>
    <row r="1220" customFormat="false" ht="15" hidden="false" customHeight="false" outlineLevel="0" collapsed="false">
      <c r="A1220" s="28" t="n">
        <v>37102</v>
      </c>
      <c r="B1220" s="28" t="n">
        <v>37108</v>
      </c>
      <c r="C1220" s="21" t="n">
        <v>0</v>
      </c>
      <c r="D1220" s="21" t="n">
        <v>0</v>
      </c>
      <c r="E1220" s="21" t="n">
        <v>0</v>
      </c>
      <c r="F1220" s="21" t="n">
        <v>0</v>
      </c>
      <c r="G1220" s="30" t="s">
        <v>3432</v>
      </c>
    </row>
    <row r="1221" customFormat="false" ht="15" hidden="false" customHeight="false" outlineLevel="0" collapsed="false">
      <c r="A1221" s="28" t="n">
        <v>37109</v>
      </c>
      <c r="B1221" s="28" t="n">
        <v>37115</v>
      </c>
      <c r="C1221" s="21" t="n">
        <v>0</v>
      </c>
      <c r="D1221" s="21" t="n">
        <v>0</v>
      </c>
      <c r="E1221" s="21" t="n">
        <v>0</v>
      </c>
      <c r="F1221" s="21" t="n">
        <v>0</v>
      </c>
      <c r="G1221" s="30" t="s">
        <v>3432</v>
      </c>
    </row>
    <row r="1222" customFormat="false" ht="15" hidden="false" customHeight="false" outlineLevel="0" collapsed="false">
      <c r="A1222" s="28" t="n">
        <v>37116</v>
      </c>
      <c r="B1222" s="28" t="n">
        <v>37122</v>
      </c>
      <c r="C1222" s="21" t="n">
        <v>0</v>
      </c>
      <c r="D1222" s="21" t="n">
        <v>0</v>
      </c>
      <c r="E1222" s="21" t="n">
        <v>0</v>
      </c>
      <c r="F1222" s="21" t="n">
        <v>0</v>
      </c>
      <c r="G1222" s="30" t="s">
        <v>3432</v>
      </c>
    </row>
    <row r="1223" customFormat="false" ht="15" hidden="false" customHeight="false" outlineLevel="0" collapsed="false">
      <c r="A1223" s="28" t="n">
        <v>37123</v>
      </c>
      <c r="B1223" s="28" t="n">
        <v>37129</v>
      </c>
      <c r="C1223" s="21" t="n">
        <v>0</v>
      </c>
      <c r="D1223" s="21" t="n">
        <v>0</v>
      </c>
      <c r="E1223" s="21" t="n">
        <v>0</v>
      </c>
      <c r="F1223" s="21" t="n">
        <v>0</v>
      </c>
      <c r="G1223" s="30" t="s">
        <v>3432</v>
      </c>
    </row>
    <row r="1224" customFormat="false" ht="15" hidden="false" customHeight="false" outlineLevel="0" collapsed="false">
      <c r="A1224" s="28" t="n">
        <v>37130</v>
      </c>
      <c r="B1224" s="28" t="n">
        <v>37136</v>
      </c>
      <c r="C1224" s="21" t="n">
        <v>0</v>
      </c>
      <c r="D1224" s="21" t="n">
        <v>0</v>
      </c>
      <c r="E1224" s="21" t="n">
        <v>0</v>
      </c>
      <c r="F1224" s="21" t="n">
        <v>0</v>
      </c>
      <c r="G1224" s="30" t="s">
        <v>3432</v>
      </c>
    </row>
    <row r="1225" customFormat="false" ht="15" hidden="false" customHeight="false" outlineLevel="0" collapsed="false">
      <c r="A1225" s="28" t="n">
        <v>37137</v>
      </c>
      <c r="B1225" s="28" t="n">
        <v>37143</v>
      </c>
      <c r="C1225" s="21" t="n">
        <v>0</v>
      </c>
      <c r="D1225" s="21" t="n">
        <v>0</v>
      </c>
      <c r="E1225" s="21" t="n">
        <v>0</v>
      </c>
      <c r="F1225" s="21" t="n">
        <v>0</v>
      </c>
      <c r="G1225" s="30" t="s">
        <v>3432</v>
      </c>
    </row>
    <row r="1226" customFormat="false" ht="15" hidden="false" customHeight="false" outlineLevel="0" collapsed="false">
      <c r="A1226" s="28" t="n">
        <v>37144</v>
      </c>
      <c r="B1226" s="28" t="n">
        <v>37150</v>
      </c>
      <c r="C1226" s="21" t="n">
        <v>0</v>
      </c>
      <c r="D1226" s="21" t="n">
        <v>0</v>
      </c>
      <c r="E1226" s="21" t="n">
        <v>0</v>
      </c>
      <c r="F1226" s="21" t="n">
        <v>0</v>
      </c>
      <c r="G1226" s="30" t="s">
        <v>3432</v>
      </c>
    </row>
    <row r="1227" customFormat="false" ht="15" hidden="false" customHeight="false" outlineLevel="0" collapsed="false">
      <c r="A1227" s="28" t="n">
        <v>37151</v>
      </c>
      <c r="B1227" s="28" t="n">
        <v>37157</v>
      </c>
      <c r="C1227" s="21" t="n">
        <v>0</v>
      </c>
      <c r="D1227" s="21" t="n">
        <v>0</v>
      </c>
      <c r="E1227" s="21" t="n">
        <v>0</v>
      </c>
      <c r="F1227" s="21" t="n">
        <v>0</v>
      </c>
      <c r="G1227" s="30" t="s">
        <v>3432</v>
      </c>
    </row>
    <row r="1228" customFormat="false" ht="15" hidden="false" customHeight="false" outlineLevel="0" collapsed="false">
      <c r="A1228" s="28" t="n">
        <v>37158</v>
      </c>
      <c r="B1228" s="28" t="n">
        <v>37164</v>
      </c>
      <c r="C1228" s="21" t="n">
        <v>0</v>
      </c>
      <c r="D1228" s="21" t="n">
        <v>0</v>
      </c>
      <c r="E1228" s="21" t="n">
        <v>0</v>
      </c>
      <c r="F1228" s="21" t="n">
        <v>0</v>
      </c>
      <c r="G1228" s="30" t="s">
        <v>3432</v>
      </c>
    </row>
    <row r="1229" customFormat="false" ht="15" hidden="false" customHeight="false" outlineLevel="0" collapsed="false">
      <c r="A1229" s="28" t="n">
        <v>37165</v>
      </c>
      <c r="B1229" s="28" t="n">
        <v>37171</v>
      </c>
      <c r="C1229" s="21" t="n">
        <v>0</v>
      </c>
      <c r="D1229" s="21" t="n">
        <v>0</v>
      </c>
      <c r="E1229" s="21" t="n">
        <v>0</v>
      </c>
      <c r="F1229" s="21" t="n">
        <v>0</v>
      </c>
      <c r="G1229" s="30" t="s">
        <v>3432</v>
      </c>
    </row>
    <row r="1230" customFormat="false" ht="15" hidden="false" customHeight="false" outlineLevel="0" collapsed="false">
      <c r="A1230" s="28" t="n">
        <v>37172</v>
      </c>
      <c r="B1230" s="28" t="n">
        <v>37178</v>
      </c>
      <c r="C1230" s="21" t="n">
        <v>0</v>
      </c>
      <c r="D1230" s="21" t="n">
        <v>0</v>
      </c>
      <c r="E1230" s="21" t="n">
        <v>0</v>
      </c>
      <c r="F1230" s="21" t="n">
        <v>0</v>
      </c>
      <c r="G1230" s="30" t="s">
        <v>3432</v>
      </c>
    </row>
    <row r="1231" customFormat="false" ht="15" hidden="false" customHeight="false" outlineLevel="0" collapsed="false">
      <c r="A1231" s="28" t="n">
        <v>37179</v>
      </c>
      <c r="B1231" s="28" t="n">
        <v>37185</v>
      </c>
      <c r="C1231" s="21" t="n">
        <v>0</v>
      </c>
      <c r="D1231" s="21" t="n">
        <v>0</v>
      </c>
      <c r="E1231" s="21" t="n">
        <v>0</v>
      </c>
      <c r="F1231" s="21" t="n">
        <v>0</v>
      </c>
      <c r="G1231" s="30" t="s">
        <v>3432</v>
      </c>
    </row>
    <row r="1232" customFormat="false" ht="15" hidden="false" customHeight="false" outlineLevel="0" collapsed="false">
      <c r="A1232" s="28" t="n">
        <v>37186</v>
      </c>
      <c r="B1232" s="28" t="n">
        <v>37192</v>
      </c>
      <c r="C1232" s="21" t="n">
        <v>0</v>
      </c>
      <c r="D1232" s="21" t="n">
        <v>0</v>
      </c>
      <c r="E1232" s="21" t="n">
        <v>0</v>
      </c>
      <c r="F1232" s="21" t="n">
        <v>0</v>
      </c>
      <c r="G1232" s="30" t="s">
        <v>3432</v>
      </c>
    </row>
    <row r="1233" customFormat="false" ht="15" hidden="false" customHeight="false" outlineLevel="0" collapsed="false">
      <c r="A1233" s="28" t="n">
        <v>37193</v>
      </c>
      <c r="B1233" s="28" t="n">
        <v>37199</v>
      </c>
      <c r="C1233" s="21" t="n">
        <v>0</v>
      </c>
      <c r="D1233" s="21" t="n">
        <v>0</v>
      </c>
      <c r="E1233" s="21" t="n">
        <v>0</v>
      </c>
      <c r="F1233" s="21" t="n">
        <v>0</v>
      </c>
      <c r="G1233" s="30" t="s">
        <v>3432</v>
      </c>
    </row>
    <row r="1234" customFormat="false" ht="15" hidden="false" customHeight="false" outlineLevel="0" collapsed="false">
      <c r="A1234" s="28" t="n">
        <v>37200</v>
      </c>
      <c r="B1234" s="28" t="n">
        <v>37206</v>
      </c>
      <c r="C1234" s="21" t="n">
        <v>0</v>
      </c>
      <c r="D1234" s="21" t="n">
        <v>0</v>
      </c>
      <c r="E1234" s="21" t="n">
        <v>0</v>
      </c>
      <c r="F1234" s="21" t="n">
        <v>0</v>
      </c>
      <c r="G1234" s="30" t="s">
        <v>3432</v>
      </c>
    </row>
    <row r="1235" customFormat="false" ht="15" hidden="false" customHeight="false" outlineLevel="0" collapsed="false">
      <c r="A1235" s="28" t="n">
        <v>37207</v>
      </c>
      <c r="B1235" s="28" t="n">
        <v>37213</v>
      </c>
      <c r="C1235" s="21" t="n">
        <v>0</v>
      </c>
      <c r="D1235" s="21" t="n">
        <v>0</v>
      </c>
      <c r="E1235" s="21" t="n">
        <v>0</v>
      </c>
      <c r="F1235" s="21" t="n">
        <v>0</v>
      </c>
      <c r="G1235" s="30" t="s">
        <v>3432</v>
      </c>
    </row>
    <row r="1236" customFormat="false" ht="15" hidden="false" customHeight="false" outlineLevel="0" collapsed="false">
      <c r="A1236" s="28" t="n">
        <v>37214</v>
      </c>
      <c r="B1236" s="28" t="n">
        <v>37220</v>
      </c>
      <c r="C1236" s="21" t="n">
        <v>0</v>
      </c>
      <c r="D1236" s="21" t="n">
        <v>0</v>
      </c>
      <c r="E1236" s="21" t="n">
        <v>0</v>
      </c>
      <c r="F1236" s="21" t="n">
        <v>0</v>
      </c>
      <c r="G1236" s="30" t="s">
        <v>3432</v>
      </c>
    </row>
    <row r="1237" customFormat="false" ht="15" hidden="false" customHeight="false" outlineLevel="0" collapsed="false">
      <c r="A1237" s="28" t="n">
        <v>37221</v>
      </c>
      <c r="B1237" s="28" t="n">
        <v>37227</v>
      </c>
      <c r="C1237" s="21" t="n">
        <v>0</v>
      </c>
      <c r="D1237" s="21" t="n">
        <v>0</v>
      </c>
      <c r="E1237" s="21" t="n">
        <v>0</v>
      </c>
      <c r="F1237" s="21" t="n">
        <v>0</v>
      </c>
      <c r="G1237" s="30" t="s">
        <v>3432</v>
      </c>
    </row>
    <row r="1238" customFormat="false" ht="15" hidden="false" customHeight="false" outlineLevel="0" collapsed="false">
      <c r="A1238" s="28" t="n">
        <v>37228</v>
      </c>
      <c r="B1238" s="28" t="n">
        <v>37234</v>
      </c>
      <c r="C1238" s="21" t="n">
        <v>0</v>
      </c>
      <c r="D1238" s="21" t="n">
        <v>0</v>
      </c>
      <c r="E1238" s="21" t="n">
        <v>0</v>
      </c>
      <c r="F1238" s="21" t="n">
        <v>0</v>
      </c>
      <c r="G1238" s="30" t="s">
        <v>3432</v>
      </c>
    </row>
    <row r="1239" customFormat="false" ht="15" hidden="false" customHeight="false" outlineLevel="0" collapsed="false">
      <c r="A1239" s="28" t="n">
        <v>37235</v>
      </c>
      <c r="B1239" s="28" t="n">
        <v>37241</v>
      </c>
      <c r="C1239" s="21" t="n">
        <v>0</v>
      </c>
      <c r="D1239" s="21" t="n">
        <v>0</v>
      </c>
      <c r="E1239" s="21" t="n">
        <v>0</v>
      </c>
      <c r="F1239" s="21" t="n">
        <v>0</v>
      </c>
      <c r="G1239" s="30" t="s">
        <v>3432</v>
      </c>
    </row>
    <row r="1240" customFormat="false" ht="15" hidden="false" customHeight="false" outlineLevel="0" collapsed="false">
      <c r="A1240" s="28" t="n">
        <v>37242</v>
      </c>
      <c r="B1240" s="28" t="n">
        <v>37248</v>
      </c>
      <c r="C1240" s="21" t="n">
        <v>0</v>
      </c>
      <c r="D1240" s="21" t="n">
        <v>0</v>
      </c>
      <c r="E1240" s="21" t="n">
        <v>0</v>
      </c>
      <c r="F1240" s="21" t="n">
        <v>0</v>
      </c>
      <c r="G1240" s="30" t="s">
        <v>3432</v>
      </c>
    </row>
    <row r="1241" customFormat="false" ht="15" hidden="false" customHeight="false" outlineLevel="0" collapsed="false">
      <c r="A1241" s="28" t="n">
        <v>37249</v>
      </c>
      <c r="B1241" s="28" t="n">
        <v>37255</v>
      </c>
      <c r="C1241" s="21" t="n">
        <v>0</v>
      </c>
      <c r="D1241" s="21" t="n">
        <v>0</v>
      </c>
      <c r="E1241" s="21" t="n">
        <v>0</v>
      </c>
      <c r="F1241" s="21" t="n">
        <v>0</v>
      </c>
      <c r="G1241" s="30" t="s">
        <v>3432</v>
      </c>
    </row>
    <row r="1242" customFormat="false" ht="15" hidden="false" customHeight="false" outlineLevel="0" collapsed="false">
      <c r="A1242" s="28" t="n">
        <v>37256</v>
      </c>
      <c r="B1242" s="28" t="n">
        <v>37262</v>
      </c>
      <c r="C1242" s="21" t="n">
        <v>0</v>
      </c>
      <c r="D1242" s="21" t="n">
        <v>0</v>
      </c>
      <c r="E1242" s="21" t="n">
        <v>0</v>
      </c>
      <c r="F1242" s="21" t="n">
        <v>0</v>
      </c>
      <c r="G1242" s="30" t="s">
        <v>3432</v>
      </c>
    </row>
    <row r="1243" customFormat="false" ht="15" hidden="false" customHeight="false" outlineLevel="0" collapsed="false">
      <c r="A1243" s="28" t="n">
        <v>37263</v>
      </c>
      <c r="B1243" s="28" t="n">
        <v>37269</v>
      </c>
      <c r="C1243" s="21" t="n">
        <v>0</v>
      </c>
      <c r="D1243" s="21" t="n">
        <v>0</v>
      </c>
      <c r="E1243" s="21" t="n">
        <v>0</v>
      </c>
      <c r="F1243" s="21" t="n">
        <v>0</v>
      </c>
      <c r="G1243" s="30" t="s">
        <v>3432</v>
      </c>
    </row>
    <row r="1244" customFormat="false" ht="15" hidden="false" customHeight="false" outlineLevel="0" collapsed="false">
      <c r="A1244" s="28" t="n">
        <v>37270</v>
      </c>
      <c r="B1244" s="28" t="n">
        <v>37276</v>
      </c>
      <c r="C1244" s="21" t="n">
        <v>0</v>
      </c>
      <c r="D1244" s="21" t="n">
        <v>0</v>
      </c>
      <c r="E1244" s="21" t="n">
        <v>0</v>
      </c>
      <c r="F1244" s="21" t="n">
        <v>0</v>
      </c>
      <c r="G1244" s="30" t="s">
        <v>3432</v>
      </c>
    </row>
    <row r="1245" customFormat="false" ht="15" hidden="false" customHeight="false" outlineLevel="0" collapsed="false">
      <c r="A1245" s="28" t="n">
        <v>37277</v>
      </c>
      <c r="B1245" s="28" t="n">
        <v>37283</v>
      </c>
      <c r="C1245" s="21" t="n">
        <v>0</v>
      </c>
      <c r="D1245" s="21" t="n">
        <v>0</v>
      </c>
      <c r="E1245" s="21" t="n">
        <v>0</v>
      </c>
      <c r="F1245" s="21" t="n">
        <v>0</v>
      </c>
      <c r="G1245" s="30" t="s">
        <v>3432</v>
      </c>
    </row>
    <row r="1246" customFormat="false" ht="15" hidden="false" customHeight="false" outlineLevel="0" collapsed="false">
      <c r="A1246" s="28" t="n">
        <v>37284</v>
      </c>
      <c r="B1246" s="28" t="n">
        <v>37290</v>
      </c>
      <c r="C1246" s="21" t="n">
        <v>0</v>
      </c>
      <c r="D1246" s="21" t="n">
        <v>0</v>
      </c>
      <c r="E1246" s="21" t="n">
        <v>0</v>
      </c>
      <c r="F1246" s="21" t="n">
        <v>0</v>
      </c>
      <c r="G1246" s="30" t="s">
        <v>3432</v>
      </c>
    </row>
    <row r="1247" customFormat="false" ht="15" hidden="false" customHeight="false" outlineLevel="0" collapsed="false">
      <c r="A1247" s="28" t="n">
        <v>37291</v>
      </c>
      <c r="B1247" s="28" t="n">
        <v>37297</v>
      </c>
      <c r="C1247" s="21" t="n">
        <v>0</v>
      </c>
      <c r="D1247" s="21" t="n">
        <v>0</v>
      </c>
      <c r="E1247" s="21" t="n">
        <v>0</v>
      </c>
      <c r="F1247" s="21" t="n">
        <v>0</v>
      </c>
      <c r="G1247" s="30" t="s">
        <v>3432</v>
      </c>
    </row>
    <row r="1248" customFormat="false" ht="15" hidden="false" customHeight="false" outlineLevel="0" collapsed="false">
      <c r="A1248" s="28" t="n">
        <v>37298</v>
      </c>
      <c r="B1248" s="28" t="n">
        <v>37304</v>
      </c>
      <c r="C1248" s="21" t="n">
        <v>0</v>
      </c>
      <c r="D1248" s="21" t="n">
        <v>0</v>
      </c>
      <c r="E1248" s="21" t="n">
        <v>0</v>
      </c>
      <c r="F1248" s="21" t="n">
        <v>0</v>
      </c>
      <c r="G1248" s="30" t="s">
        <v>3432</v>
      </c>
    </row>
    <row r="1249" customFormat="false" ht="15" hidden="false" customHeight="false" outlineLevel="0" collapsed="false">
      <c r="A1249" s="28" t="n">
        <v>37305</v>
      </c>
      <c r="B1249" s="28" t="n">
        <v>37311</v>
      </c>
      <c r="C1249" s="21" t="n">
        <v>0</v>
      </c>
      <c r="D1249" s="21" t="n">
        <v>0</v>
      </c>
      <c r="E1249" s="21" t="n">
        <v>0</v>
      </c>
      <c r="F1249" s="21" t="n">
        <v>0</v>
      </c>
      <c r="G1249" s="30" t="s">
        <v>3432</v>
      </c>
    </row>
    <row r="1250" customFormat="false" ht="15" hidden="false" customHeight="false" outlineLevel="0" collapsed="false">
      <c r="A1250" s="28" t="n">
        <v>37312</v>
      </c>
      <c r="B1250" s="28" t="n">
        <v>37318</v>
      </c>
      <c r="C1250" s="21" t="n">
        <v>0</v>
      </c>
      <c r="D1250" s="21" t="n">
        <v>0</v>
      </c>
      <c r="E1250" s="21" t="n">
        <v>0</v>
      </c>
      <c r="F1250" s="21" t="n">
        <v>0</v>
      </c>
      <c r="G1250" s="30" t="s">
        <v>3432</v>
      </c>
    </row>
    <row r="1251" customFormat="false" ht="15" hidden="false" customHeight="false" outlineLevel="0" collapsed="false">
      <c r="A1251" s="28" t="n">
        <v>37319</v>
      </c>
      <c r="B1251" s="28" t="n">
        <v>37325</v>
      </c>
      <c r="C1251" s="21" t="n">
        <v>0</v>
      </c>
      <c r="D1251" s="21" t="n">
        <v>0</v>
      </c>
      <c r="E1251" s="21" t="n">
        <v>0</v>
      </c>
      <c r="F1251" s="21" t="n">
        <v>0</v>
      </c>
      <c r="G1251" s="30" t="s">
        <v>3432</v>
      </c>
    </row>
    <row r="1252" customFormat="false" ht="15" hidden="false" customHeight="false" outlineLevel="0" collapsed="false">
      <c r="A1252" s="28" t="n">
        <v>37326</v>
      </c>
      <c r="B1252" s="28" t="n">
        <v>37332</v>
      </c>
      <c r="C1252" s="21" t="n">
        <v>0</v>
      </c>
      <c r="D1252" s="21" t="n">
        <v>0</v>
      </c>
      <c r="E1252" s="21" t="n">
        <v>0</v>
      </c>
      <c r="F1252" s="21" t="n">
        <v>0</v>
      </c>
      <c r="G1252" s="30" t="s">
        <v>3432</v>
      </c>
    </row>
    <row r="1253" customFormat="false" ht="15" hidden="false" customHeight="false" outlineLevel="0" collapsed="false">
      <c r="A1253" s="28" t="n">
        <v>37333</v>
      </c>
      <c r="B1253" s="28" t="n">
        <v>37339</v>
      </c>
      <c r="C1253" s="21" t="n">
        <v>0</v>
      </c>
      <c r="D1253" s="21" t="n">
        <v>0</v>
      </c>
      <c r="E1253" s="21" t="n">
        <v>0</v>
      </c>
      <c r="F1253" s="21" t="n">
        <v>0</v>
      </c>
      <c r="G1253" s="30" t="s">
        <v>3432</v>
      </c>
    </row>
    <row r="1254" customFormat="false" ht="15" hidden="false" customHeight="false" outlineLevel="0" collapsed="false">
      <c r="A1254" s="28" t="n">
        <v>37340</v>
      </c>
      <c r="B1254" s="28" t="n">
        <v>37346</v>
      </c>
      <c r="C1254" s="21" t="n">
        <v>0</v>
      </c>
      <c r="D1254" s="21" t="n">
        <v>0</v>
      </c>
      <c r="E1254" s="21" t="n">
        <v>0</v>
      </c>
      <c r="F1254" s="21" t="n">
        <v>0</v>
      </c>
      <c r="G1254" s="30" t="s">
        <v>3432</v>
      </c>
    </row>
    <row r="1255" customFormat="false" ht="15" hidden="false" customHeight="false" outlineLevel="0" collapsed="false">
      <c r="A1255" s="28" t="n">
        <v>37347</v>
      </c>
      <c r="B1255" s="28" t="n">
        <v>37353</v>
      </c>
      <c r="C1255" s="21" t="n">
        <v>0</v>
      </c>
      <c r="D1255" s="21" t="n">
        <v>0</v>
      </c>
      <c r="E1255" s="21" t="n">
        <v>0</v>
      </c>
      <c r="F1255" s="21" t="n">
        <v>0</v>
      </c>
      <c r="G1255" s="30" t="s">
        <v>3432</v>
      </c>
    </row>
    <row r="1256" customFormat="false" ht="15" hidden="false" customHeight="false" outlineLevel="0" collapsed="false">
      <c r="A1256" s="28" t="n">
        <v>37354</v>
      </c>
      <c r="B1256" s="28" t="n">
        <v>37360</v>
      </c>
      <c r="C1256" s="21" t="n">
        <v>0</v>
      </c>
      <c r="D1256" s="21" t="n">
        <v>0</v>
      </c>
      <c r="E1256" s="21" t="n">
        <v>0</v>
      </c>
      <c r="F1256" s="21" t="n">
        <v>0</v>
      </c>
      <c r="G1256" s="30" t="s">
        <v>3432</v>
      </c>
    </row>
    <row r="1257" customFormat="false" ht="15" hidden="false" customHeight="false" outlineLevel="0" collapsed="false">
      <c r="A1257" s="28" t="n">
        <v>37361</v>
      </c>
      <c r="B1257" s="28" t="n">
        <v>37367</v>
      </c>
      <c r="C1257" s="21" t="n">
        <v>0</v>
      </c>
      <c r="D1257" s="21" t="n">
        <v>0</v>
      </c>
      <c r="E1257" s="21" t="n">
        <v>0</v>
      </c>
      <c r="F1257" s="21" t="n">
        <v>0</v>
      </c>
      <c r="G1257" s="30" t="s">
        <v>3432</v>
      </c>
    </row>
    <row r="1258" customFormat="false" ht="15" hidden="false" customHeight="false" outlineLevel="0" collapsed="false">
      <c r="A1258" s="28" t="n">
        <v>37368</v>
      </c>
      <c r="B1258" s="28" t="n">
        <v>37374</v>
      </c>
      <c r="C1258" s="21" t="n">
        <v>0</v>
      </c>
      <c r="D1258" s="21" t="n">
        <v>0</v>
      </c>
      <c r="E1258" s="21" t="n">
        <v>0</v>
      </c>
      <c r="F1258" s="21" t="n">
        <v>0</v>
      </c>
      <c r="G1258" s="30" t="s">
        <v>3432</v>
      </c>
    </row>
    <row r="1259" customFormat="false" ht="15" hidden="false" customHeight="false" outlineLevel="0" collapsed="false">
      <c r="A1259" s="28" t="n">
        <v>37375</v>
      </c>
      <c r="B1259" s="28" t="n">
        <v>37381</v>
      </c>
      <c r="C1259" s="21" t="n">
        <v>0</v>
      </c>
      <c r="D1259" s="21" t="n">
        <v>0</v>
      </c>
      <c r="E1259" s="21" t="n">
        <v>0</v>
      </c>
      <c r="F1259" s="21" t="n">
        <v>0</v>
      </c>
      <c r="G1259" s="30" t="s">
        <v>3432</v>
      </c>
    </row>
    <row r="1260" customFormat="false" ht="15" hidden="false" customHeight="false" outlineLevel="0" collapsed="false">
      <c r="A1260" s="28" t="n">
        <v>37382</v>
      </c>
      <c r="B1260" s="28" t="n">
        <v>37388</v>
      </c>
      <c r="C1260" s="21" t="n">
        <v>0</v>
      </c>
      <c r="D1260" s="21" t="n">
        <v>0</v>
      </c>
      <c r="E1260" s="21" t="n">
        <v>0</v>
      </c>
      <c r="F1260" s="21" t="n">
        <v>0</v>
      </c>
      <c r="G1260" s="30" t="s">
        <v>3432</v>
      </c>
    </row>
    <row r="1261" customFormat="false" ht="15" hidden="false" customHeight="false" outlineLevel="0" collapsed="false">
      <c r="A1261" s="28" t="n">
        <v>37389</v>
      </c>
      <c r="B1261" s="28" t="n">
        <v>37395</v>
      </c>
      <c r="C1261" s="21" t="n">
        <v>0</v>
      </c>
      <c r="D1261" s="21" t="n">
        <v>0</v>
      </c>
      <c r="E1261" s="21" t="n">
        <v>0</v>
      </c>
      <c r="F1261" s="21" t="n">
        <v>0</v>
      </c>
      <c r="G1261" s="30" t="s">
        <v>3432</v>
      </c>
    </row>
    <row r="1262" customFormat="false" ht="15" hidden="false" customHeight="false" outlineLevel="0" collapsed="false">
      <c r="A1262" s="28" t="n">
        <v>37396</v>
      </c>
      <c r="B1262" s="28" t="n">
        <v>37402</v>
      </c>
      <c r="C1262" s="21" t="n">
        <v>0</v>
      </c>
      <c r="D1262" s="21" t="n">
        <v>0</v>
      </c>
      <c r="E1262" s="21" t="n">
        <v>0</v>
      </c>
      <c r="F1262" s="21" t="n">
        <v>0</v>
      </c>
      <c r="G1262" s="30" t="s">
        <v>3432</v>
      </c>
    </row>
    <row r="1263" customFormat="false" ht="15" hidden="false" customHeight="false" outlineLevel="0" collapsed="false">
      <c r="A1263" s="28" t="n">
        <v>37403</v>
      </c>
      <c r="B1263" s="28" t="n">
        <v>37409</v>
      </c>
      <c r="C1263" s="21" t="n">
        <v>0</v>
      </c>
      <c r="D1263" s="21" t="n">
        <v>0</v>
      </c>
      <c r="E1263" s="21" t="n">
        <v>0</v>
      </c>
      <c r="F1263" s="21" t="n">
        <v>0</v>
      </c>
      <c r="G1263" s="30" t="s">
        <v>3432</v>
      </c>
    </row>
    <row r="1264" customFormat="false" ht="15" hidden="false" customHeight="false" outlineLevel="0" collapsed="false">
      <c r="A1264" s="28" t="n">
        <v>37410</v>
      </c>
      <c r="B1264" s="28" t="n">
        <v>37416</v>
      </c>
      <c r="C1264" s="21" t="n">
        <v>0</v>
      </c>
      <c r="D1264" s="21" t="n">
        <v>0</v>
      </c>
      <c r="E1264" s="21" t="n">
        <v>0</v>
      </c>
      <c r="F1264" s="21" t="n">
        <v>0</v>
      </c>
      <c r="G1264" s="30" t="s">
        <v>3432</v>
      </c>
    </row>
    <row r="1265" customFormat="false" ht="15" hidden="false" customHeight="false" outlineLevel="0" collapsed="false">
      <c r="A1265" s="28" t="n">
        <v>37417</v>
      </c>
      <c r="B1265" s="28" t="n">
        <v>37423</v>
      </c>
      <c r="C1265" s="21" t="n">
        <v>0</v>
      </c>
      <c r="D1265" s="21" t="n">
        <v>0</v>
      </c>
      <c r="E1265" s="21" t="n">
        <v>0</v>
      </c>
      <c r="F1265" s="21" t="n">
        <v>0</v>
      </c>
      <c r="G1265" s="30" t="s">
        <v>3432</v>
      </c>
    </row>
    <row r="1266" customFormat="false" ht="15" hidden="false" customHeight="false" outlineLevel="0" collapsed="false">
      <c r="A1266" s="28" t="n">
        <v>37424</v>
      </c>
      <c r="B1266" s="28" t="n">
        <v>37430</v>
      </c>
      <c r="C1266" s="21" t="n">
        <v>0</v>
      </c>
      <c r="D1266" s="21" t="n">
        <v>0</v>
      </c>
      <c r="E1266" s="21" t="n">
        <v>0</v>
      </c>
      <c r="F1266" s="21" t="n">
        <v>0</v>
      </c>
      <c r="G1266" s="30" t="s">
        <v>3432</v>
      </c>
    </row>
    <row r="1267" customFormat="false" ht="15" hidden="false" customHeight="false" outlineLevel="0" collapsed="false">
      <c r="A1267" s="28" t="n">
        <v>37431</v>
      </c>
      <c r="B1267" s="28" t="n">
        <v>37437</v>
      </c>
      <c r="C1267" s="21" t="n">
        <v>0</v>
      </c>
      <c r="D1267" s="21" t="n">
        <v>0</v>
      </c>
      <c r="E1267" s="21" t="n">
        <v>0</v>
      </c>
      <c r="F1267" s="21" t="n">
        <v>0</v>
      </c>
      <c r="G1267" s="30" t="s">
        <v>3432</v>
      </c>
    </row>
    <row r="1268" customFormat="false" ht="15" hidden="false" customHeight="false" outlineLevel="0" collapsed="false">
      <c r="A1268" s="28" t="n">
        <v>37438</v>
      </c>
      <c r="B1268" s="28" t="n">
        <v>37444</v>
      </c>
      <c r="C1268" s="21" t="n">
        <v>0</v>
      </c>
      <c r="D1268" s="21" t="n">
        <v>0</v>
      </c>
      <c r="E1268" s="21" t="n">
        <v>0</v>
      </c>
      <c r="F1268" s="21" t="n">
        <v>0</v>
      </c>
      <c r="G1268" s="30" t="s">
        <v>3432</v>
      </c>
    </row>
    <row r="1269" customFormat="false" ht="15" hidden="false" customHeight="false" outlineLevel="0" collapsed="false">
      <c r="A1269" s="28" t="n">
        <v>37445</v>
      </c>
      <c r="B1269" s="28" t="n">
        <v>37451</v>
      </c>
      <c r="C1269" s="21" t="n">
        <v>0</v>
      </c>
      <c r="D1269" s="21" t="n">
        <v>0</v>
      </c>
      <c r="E1269" s="21" t="n">
        <v>0</v>
      </c>
      <c r="F1269" s="21" t="n">
        <v>0</v>
      </c>
      <c r="G1269" s="30" t="s">
        <v>3432</v>
      </c>
    </row>
    <row r="1270" customFormat="false" ht="15" hidden="false" customHeight="false" outlineLevel="0" collapsed="false">
      <c r="A1270" s="28" t="n">
        <v>37452</v>
      </c>
      <c r="B1270" s="28" t="n">
        <v>37458</v>
      </c>
      <c r="C1270" s="21" t="n">
        <v>0</v>
      </c>
      <c r="D1270" s="21" t="n">
        <v>0</v>
      </c>
      <c r="E1270" s="21" t="n">
        <v>0</v>
      </c>
      <c r="F1270" s="21" t="n">
        <v>0</v>
      </c>
      <c r="G1270" s="30" t="s">
        <v>3432</v>
      </c>
    </row>
    <row r="1271" customFormat="false" ht="15" hidden="false" customHeight="false" outlineLevel="0" collapsed="false">
      <c r="A1271" s="28" t="n">
        <v>37459</v>
      </c>
      <c r="B1271" s="28" t="n">
        <v>37465</v>
      </c>
      <c r="C1271" s="21" t="n">
        <v>0</v>
      </c>
      <c r="D1271" s="21" t="n">
        <v>0</v>
      </c>
      <c r="E1271" s="21" t="n">
        <v>0</v>
      </c>
      <c r="F1271" s="21" t="n">
        <v>0</v>
      </c>
      <c r="G1271" s="30" t="s">
        <v>3432</v>
      </c>
    </row>
    <row r="1272" customFormat="false" ht="15" hidden="false" customHeight="false" outlineLevel="0" collapsed="false">
      <c r="A1272" s="28" t="n">
        <v>37466</v>
      </c>
      <c r="B1272" s="28" t="n">
        <v>37472</v>
      </c>
      <c r="C1272" s="21" t="n">
        <v>0</v>
      </c>
      <c r="D1272" s="21" t="n">
        <v>0</v>
      </c>
      <c r="E1272" s="21" t="n">
        <v>0</v>
      </c>
      <c r="F1272" s="21" t="n">
        <v>0</v>
      </c>
      <c r="G1272" s="30" t="s">
        <v>3432</v>
      </c>
    </row>
    <row r="1273" customFormat="false" ht="15" hidden="false" customHeight="false" outlineLevel="0" collapsed="false">
      <c r="A1273" s="28" t="n">
        <v>37473</v>
      </c>
      <c r="B1273" s="28" t="n">
        <v>37479</v>
      </c>
      <c r="C1273" s="21" t="n">
        <v>0</v>
      </c>
      <c r="D1273" s="21" t="n">
        <v>0</v>
      </c>
      <c r="E1273" s="21" t="n">
        <v>0</v>
      </c>
      <c r="F1273" s="21" t="n">
        <v>0</v>
      </c>
      <c r="G1273" s="30" t="s">
        <v>3432</v>
      </c>
    </row>
    <row r="1274" customFormat="false" ht="15" hidden="false" customHeight="false" outlineLevel="0" collapsed="false">
      <c r="A1274" s="28" t="n">
        <v>37480</v>
      </c>
      <c r="B1274" s="28" t="n">
        <v>37486</v>
      </c>
      <c r="C1274" s="21" t="n">
        <v>0</v>
      </c>
      <c r="D1274" s="21" t="n">
        <v>0</v>
      </c>
      <c r="E1274" s="21" t="n">
        <v>0</v>
      </c>
      <c r="F1274" s="21" t="n">
        <v>0</v>
      </c>
      <c r="G1274" s="30" t="s">
        <v>3432</v>
      </c>
    </row>
    <row r="1275" customFormat="false" ht="15" hidden="false" customHeight="false" outlineLevel="0" collapsed="false">
      <c r="A1275" s="28" t="n">
        <v>37487</v>
      </c>
      <c r="B1275" s="28" t="n">
        <v>37493</v>
      </c>
      <c r="C1275" s="21" t="n">
        <v>0</v>
      </c>
      <c r="D1275" s="21" t="n">
        <v>0</v>
      </c>
      <c r="E1275" s="21" t="n">
        <v>0</v>
      </c>
      <c r="F1275" s="21" t="n">
        <v>0</v>
      </c>
      <c r="G1275" s="30" t="s">
        <v>3432</v>
      </c>
    </row>
    <row r="1276" customFormat="false" ht="15" hidden="false" customHeight="false" outlineLevel="0" collapsed="false">
      <c r="A1276" s="28" t="n">
        <v>37494</v>
      </c>
      <c r="B1276" s="28" t="n">
        <v>37500</v>
      </c>
      <c r="C1276" s="21" t="n">
        <v>0</v>
      </c>
      <c r="D1276" s="21" t="n">
        <v>0</v>
      </c>
      <c r="E1276" s="21" t="n">
        <v>0</v>
      </c>
      <c r="F1276" s="21" t="n">
        <v>0</v>
      </c>
      <c r="G1276" s="30" t="s">
        <v>3432</v>
      </c>
    </row>
    <row r="1277" customFormat="false" ht="15" hidden="false" customHeight="false" outlineLevel="0" collapsed="false">
      <c r="A1277" s="28" t="n">
        <v>37501</v>
      </c>
      <c r="B1277" s="28" t="n">
        <v>37507</v>
      </c>
      <c r="C1277" s="21" t="n">
        <v>0</v>
      </c>
      <c r="D1277" s="21" t="n">
        <v>0</v>
      </c>
      <c r="E1277" s="21" t="n">
        <v>0</v>
      </c>
      <c r="F1277" s="21" t="n">
        <v>0</v>
      </c>
      <c r="G1277" s="30" t="s">
        <v>3432</v>
      </c>
    </row>
    <row r="1278" customFormat="false" ht="15" hidden="false" customHeight="false" outlineLevel="0" collapsed="false">
      <c r="A1278" s="28" t="n">
        <v>37508</v>
      </c>
      <c r="B1278" s="28" t="n">
        <v>37514</v>
      </c>
      <c r="C1278" s="21" t="n">
        <v>0</v>
      </c>
      <c r="D1278" s="21" t="n">
        <v>0</v>
      </c>
      <c r="E1278" s="21" t="n">
        <v>0</v>
      </c>
      <c r="F1278" s="21" t="n">
        <v>0</v>
      </c>
      <c r="G1278" s="30" t="s">
        <v>3432</v>
      </c>
    </row>
    <row r="1279" customFormat="false" ht="15" hidden="false" customHeight="false" outlineLevel="0" collapsed="false">
      <c r="A1279" s="28" t="n">
        <v>37515</v>
      </c>
      <c r="B1279" s="28" t="n">
        <v>37521</v>
      </c>
      <c r="C1279" s="21" t="n">
        <v>0</v>
      </c>
      <c r="D1279" s="21" t="n">
        <v>0</v>
      </c>
      <c r="E1279" s="21" t="n">
        <v>0</v>
      </c>
      <c r="F1279" s="21" t="n">
        <v>0</v>
      </c>
      <c r="G1279" s="30" t="s">
        <v>3432</v>
      </c>
    </row>
    <row r="1280" customFormat="false" ht="15" hidden="false" customHeight="false" outlineLevel="0" collapsed="false">
      <c r="A1280" s="28" t="n">
        <v>37522</v>
      </c>
      <c r="B1280" s="28" t="n">
        <v>37528</v>
      </c>
      <c r="C1280" s="21" t="n">
        <v>0</v>
      </c>
      <c r="D1280" s="21" t="n">
        <v>0</v>
      </c>
      <c r="E1280" s="21" t="n">
        <v>0</v>
      </c>
      <c r="F1280" s="21" t="n">
        <v>0</v>
      </c>
      <c r="G1280" s="30" t="s">
        <v>3432</v>
      </c>
    </row>
    <row r="1281" customFormat="false" ht="15" hidden="false" customHeight="false" outlineLevel="0" collapsed="false">
      <c r="A1281" s="28" t="n">
        <v>37529</v>
      </c>
      <c r="B1281" s="28" t="n">
        <v>37535</v>
      </c>
      <c r="C1281" s="21" t="n">
        <v>0</v>
      </c>
      <c r="D1281" s="21" t="n">
        <v>0</v>
      </c>
      <c r="E1281" s="21" t="n">
        <v>0</v>
      </c>
      <c r="F1281" s="21" t="n">
        <v>0</v>
      </c>
      <c r="G1281" s="30" t="s">
        <v>3432</v>
      </c>
    </row>
    <row r="1282" customFormat="false" ht="15" hidden="false" customHeight="false" outlineLevel="0" collapsed="false">
      <c r="A1282" s="28" t="n">
        <v>37536</v>
      </c>
      <c r="B1282" s="28" t="n">
        <v>37542</v>
      </c>
      <c r="C1282" s="21" t="n">
        <v>0</v>
      </c>
      <c r="D1282" s="21" t="n">
        <v>0</v>
      </c>
      <c r="E1282" s="21" t="n">
        <v>0</v>
      </c>
      <c r="F1282" s="21" t="n">
        <v>0</v>
      </c>
      <c r="G1282" s="30" t="s">
        <v>3432</v>
      </c>
    </row>
    <row r="1283" customFormat="false" ht="15" hidden="false" customHeight="false" outlineLevel="0" collapsed="false">
      <c r="A1283" s="28" t="n">
        <v>37543</v>
      </c>
      <c r="B1283" s="28" t="n">
        <v>37549</v>
      </c>
      <c r="C1283" s="21" t="n">
        <v>0</v>
      </c>
      <c r="D1283" s="21" t="n">
        <v>0</v>
      </c>
      <c r="E1283" s="21" t="n">
        <v>0</v>
      </c>
      <c r="F1283" s="21" t="n">
        <v>0</v>
      </c>
      <c r="G1283" s="30" t="s">
        <v>3432</v>
      </c>
    </row>
    <row r="1284" customFormat="false" ht="15" hidden="false" customHeight="false" outlineLevel="0" collapsed="false">
      <c r="A1284" s="28" t="n">
        <v>37550</v>
      </c>
      <c r="B1284" s="28" t="n">
        <v>37556</v>
      </c>
      <c r="C1284" s="21" t="n">
        <v>0</v>
      </c>
      <c r="D1284" s="21" t="n">
        <v>0</v>
      </c>
      <c r="E1284" s="21" t="n">
        <v>0</v>
      </c>
      <c r="F1284" s="21" t="n">
        <v>0</v>
      </c>
      <c r="G1284" s="30" t="s">
        <v>3432</v>
      </c>
    </row>
    <row r="1285" customFormat="false" ht="15" hidden="false" customHeight="false" outlineLevel="0" collapsed="false">
      <c r="A1285" s="28" t="n">
        <v>37557</v>
      </c>
      <c r="B1285" s="28" t="n">
        <v>37563</v>
      </c>
      <c r="C1285" s="21" t="n">
        <v>0</v>
      </c>
      <c r="D1285" s="21" t="n">
        <v>0</v>
      </c>
      <c r="E1285" s="21" t="n">
        <v>0</v>
      </c>
      <c r="F1285" s="21" t="n">
        <v>0</v>
      </c>
      <c r="G1285" s="30" t="s">
        <v>3432</v>
      </c>
    </row>
    <row r="1286" customFormat="false" ht="15" hidden="false" customHeight="false" outlineLevel="0" collapsed="false">
      <c r="A1286" s="28" t="n">
        <v>37564</v>
      </c>
      <c r="B1286" s="28" t="n">
        <v>37570</v>
      </c>
      <c r="C1286" s="21" t="n">
        <v>0</v>
      </c>
      <c r="D1286" s="21" t="n">
        <v>0</v>
      </c>
      <c r="E1286" s="21" t="n">
        <v>0</v>
      </c>
      <c r="F1286" s="21" t="n">
        <v>0</v>
      </c>
      <c r="G1286" s="30" t="s">
        <v>3432</v>
      </c>
    </row>
    <row r="1287" customFormat="false" ht="15" hidden="false" customHeight="false" outlineLevel="0" collapsed="false">
      <c r="A1287" s="28" t="n">
        <v>37571</v>
      </c>
      <c r="B1287" s="28" t="n">
        <v>37577</v>
      </c>
      <c r="C1287" s="21" t="n">
        <v>0</v>
      </c>
      <c r="D1287" s="21" t="n">
        <v>0</v>
      </c>
      <c r="E1287" s="21" t="n">
        <v>0</v>
      </c>
      <c r="F1287" s="21" t="n">
        <v>0</v>
      </c>
      <c r="G1287" s="30" t="s">
        <v>3432</v>
      </c>
    </row>
    <row r="1288" customFormat="false" ht="15" hidden="false" customHeight="false" outlineLevel="0" collapsed="false">
      <c r="A1288" s="28" t="n">
        <v>37578</v>
      </c>
      <c r="B1288" s="28" t="n">
        <v>37584</v>
      </c>
      <c r="C1288" s="21" t="n">
        <v>0</v>
      </c>
      <c r="D1288" s="21" t="n">
        <v>0</v>
      </c>
      <c r="E1288" s="21" t="n">
        <v>0</v>
      </c>
      <c r="F1288" s="21" t="n">
        <v>0</v>
      </c>
      <c r="G1288" s="30" t="s">
        <v>3432</v>
      </c>
    </row>
    <row r="1289" customFormat="false" ht="15" hidden="false" customHeight="false" outlineLevel="0" collapsed="false">
      <c r="A1289" s="28" t="n">
        <v>37585</v>
      </c>
      <c r="B1289" s="28" t="n">
        <v>37591</v>
      </c>
      <c r="C1289" s="21" t="n">
        <v>0</v>
      </c>
      <c r="D1289" s="21" t="n">
        <v>0</v>
      </c>
      <c r="E1289" s="21" t="n">
        <v>0</v>
      </c>
      <c r="F1289" s="21" t="n">
        <v>0</v>
      </c>
      <c r="G1289" s="30" t="s">
        <v>3432</v>
      </c>
    </row>
    <row r="1290" customFormat="false" ht="15" hidden="false" customHeight="false" outlineLevel="0" collapsed="false">
      <c r="A1290" s="28" t="n">
        <v>37592</v>
      </c>
      <c r="B1290" s="28" t="n">
        <v>37598</v>
      </c>
      <c r="C1290" s="21" t="n">
        <v>0</v>
      </c>
      <c r="D1290" s="21" t="n">
        <v>0</v>
      </c>
      <c r="E1290" s="21" t="n">
        <v>0</v>
      </c>
      <c r="F1290" s="21" t="n">
        <v>0</v>
      </c>
      <c r="G1290" s="30" t="s">
        <v>3432</v>
      </c>
    </row>
    <row r="1291" customFormat="false" ht="15" hidden="false" customHeight="false" outlineLevel="0" collapsed="false">
      <c r="A1291" s="28" t="n">
        <v>37599</v>
      </c>
      <c r="B1291" s="28" t="n">
        <v>37605</v>
      </c>
      <c r="C1291" s="21" t="n">
        <v>0</v>
      </c>
      <c r="D1291" s="21" t="n">
        <v>0</v>
      </c>
      <c r="E1291" s="21" t="n">
        <v>0</v>
      </c>
      <c r="F1291" s="21" t="n">
        <v>0</v>
      </c>
      <c r="G1291" s="30" t="s">
        <v>3432</v>
      </c>
    </row>
    <row r="1292" customFormat="false" ht="15" hidden="false" customHeight="false" outlineLevel="0" collapsed="false">
      <c r="A1292" s="28" t="n">
        <v>37606</v>
      </c>
      <c r="B1292" s="28" t="n">
        <v>37612</v>
      </c>
      <c r="C1292" s="21" t="n">
        <v>0</v>
      </c>
      <c r="D1292" s="21" t="n">
        <v>0</v>
      </c>
      <c r="E1292" s="21" t="n">
        <v>0</v>
      </c>
      <c r="F1292" s="21" t="n">
        <v>0</v>
      </c>
      <c r="G1292" s="30" t="s">
        <v>3432</v>
      </c>
    </row>
    <row r="1293" customFormat="false" ht="15" hidden="false" customHeight="false" outlineLevel="0" collapsed="false">
      <c r="A1293" s="28" t="n">
        <v>37613</v>
      </c>
      <c r="B1293" s="28" t="n">
        <v>37619</v>
      </c>
      <c r="C1293" s="21" t="n">
        <v>0</v>
      </c>
      <c r="D1293" s="21" t="n">
        <v>0</v>
      </c>
      <c r="E1293" s="21" t="n">
        <v>0</v>
      </c>
      <c r="F1293" s="21" t="n">
        <v>0</v>
      </c>
      <c r="G1293" s="30" t="s">
        <v>3432</v>
      </c>
    </row>
    <row r="1294" customFormat="false" ht="15" hidden="false" customHeight="false" outlineLevel="0" collapsed="false">
      <c r="A1294" s="28" t="n">
        <v>37620</v>
      </c>
      <c r="B1294" s="28" t="n">
        <v>37626</v>
      </c>
      <c r="C1294" s="21" t="n">
        <v>0</v>
      </c>
      <c r="D1294" s="21" t="n">
        <v>0</v>
      </c>
      <c r="E1294" s="21" t="n">
        <v>0</v>
      </c>
      <c r="F1294" s="21" t="n">
        <v>0</v>
      </c>
      <c r="G1294" s="30" t="s">
        <v>3432</v>
      </c>
    </row>
    <row r="1295" customFormat="false" ht="15" hidden="false" customHeight="false" outlineLevel="0" collapsed="false">
      <c r="A1295" s="28" t="n">
        <v>37627</v>
      </c>
      <c r="B1295" s="28" t="n">
        <v>37633</v>
      </c>
      <c r="C1295" s="21" t="n">
        <v>0</v>
      </c>
      <c r="D1295" s="21" t="n">
        <v>0</v>
      </c>
      <c r="E1295" s="21" t="n">
        <v>0</v>
      </c>
      <c r="F1295" s="21" t="n">
        <v>0</v>
      </c>
      <c r="G1295" s="30" t="s">
        <v>3432</v>
      </c>
    </row>
    <row r="1296" customFormat="false" ht="15" hidden="false" customHeight="false" outlineLevel="0" collapsed="false">
      <c r="A1296" s="28" t="n">
        <v>37634</v>
      </c>
      <c r="B1296" s="28" t="n">
        <v>37640</v>
      </c>
      <c r="C1296" s="21" t="n">
        <v>0</v>
      </c>
      <c r="D1296" s="21" t="n">
        <v>0</v>
      </c>
      <c r="E1296" s="21" t="n">
        <v>0</v>
      </c>
      <c r="F1296" s="21" t="n">
        <v>0</v>
      </c>
      <c r="G1296" s="30" t="s">
        <v>3432</v>
      </c>
    </row>
    <row r="1297" customFormat="false" ht="15" hidden="false" customHeight="false" outlineLevel="0" collapsed="false">
      <c r="A1297" s="28" t="n">
        <v>37641</v>
      </c>
      <c r="B1297" s="28" t="n">
        <v>37647</v>
      </c>
      <c r="C1297" s="21" t="n">
        <v>0</v>
      </c>
      <c r="D1297" s="21" t="n">
        <v>0</v>
      </c>
      <c r="E1297" s="21" t="n">
        <v>0</v>
      </c>
      <c r="F1297" s="21" t="n">
        <v>0</v>
      </c>
      <c r="G1297" s="30" t="s">
        <v>3432</v>
      </c>
    </row>
    <row r="1298" customFormat="false" ht="15" hidden="false" customHeight="false" outlineLevel="0" collapsed="false">
      <c r="A1298" s="28" t="n">
        <v>37648</v>
      </c>
      <c r="B1298" s="28" t="n">
        <v>37654</v>
      </c>
      <c r="C1298" s="21" t="n">
        <v>0</v>
      </c>
      <c r="D1298" s="21" t="n">
        <v>0</v>
      </c>
      <c r="E1298" s="21" t="n">
        <v>0</v>
      </c>
      <c r="F1298" s="21" t="n">
        <v>0</v>
      </c>
      <c r="G1298" s="30" t="s">
        <v>3432</v>
      </c>
    </row>
    <row r="1299" customFormat="false" ht="15" hidden="false" customHeight="false" outlineLevel="0" collapsed="false">
      <c r="A1299" s="28" t="n">
        <v>37655</v>
      </c>
      <c r="B1299" s="28" t="n">
        <v>37661</v>
      </c>
      <c r="C1299" s="21" t="n">
        <v>0</v>
      </c>
      <c r="D1299" s="21" t="n">
        <v>0</v>
      </c>
      <c r="E1299" s="21" t="n">
        <v>0</v>
      </c>
      <c r="F1299" s="21" t="n">
        <v>0</v>
      </c>
      <c r="G1299" s="30" t="s">
        <v>3432</v>
      </c>
    </row>
    <row r="1300" customFormat="false" ht="15" hidden="false" customHeight="false" outlineLevel="0" collapsed="false">
      <c r="A1300" s="28" t="n">
        <v>37662</v>
      </c>
      <c r="B1300" s="28" t="n">
        <v>37668</v>
      </c>
      <c r="C1300" s="21" t="n">
        <v>0</v>
      </c>
      <c r="D1300" s="21" t="n">
        <v>0</v>
      </c>
      <c r="E1300" s="21" t="n">
        <v>0</v>
      </c>
      <c r="F1300" s="21" t="n">
        <v>0</v>
      </c>
      <c r="G1300" s="30" t="s">
        <v>3432</v>
      </c>
    </row>
    <row r="1301" customFormat="false" ht="15" hidden="false" customHeight="false" outlineLevel="0" collapsed="false">
      <c r="A1301" s="28" t="n">
        <v>37669</v>
      </c>
      <c r="B1301" s="28" t="n">
        <v>37675</v>
      </c>
      <c r="C1301" s="21" t="n">
        <v>0</v>
      </c>
      <c r="D1301" s="21" t="n">
        <v>0</v>
      </c>
      <c r="E1301" s="21" t="n">
        <v>0</v>
      </c>
      <c r="F1301" s="21" t="n">
        <v>0</v>
      </c>
      <c r="G1301" s="30" t="s">
        <v>3432</v>
      </c>
    </row>
    <row r="1302" customFormat="false" ht="15" hidden="false" customHeight="false" outlineLevel="0" collapsed="false">
      <c r="A1302" s="28" t="n">
        <v>37676</v>
      </c>
      <c r="B1302" s="28" t="n">
        <v>37682</v>
      </c>
      <c r="C1302" s="21" t="n">
        <v>0</v>
      </c>
      <c r="D1302" s="21" t="n">
        <v>0</v>
      </c>
      <c r="E1302" s="21" t="n">
        <v>0</v>
      </c>
      <c r="F1302" s="21" t="n">
        <v>0</v>
      </c>
      <c r="G1302" s="30" t="s">
        <v>3432</v>
      </c>
    </row>
    <row r="1303" customFormat="false" ht="15" hidden="false" customHeight="false" outlineLevel="0" collapsed="false">
      <c r="A1303" s="28" t="n">
        <v>37683</v>
      </c>
      <c r="B1303" s="28" t="n">
        <v>37689</v>
      </c>
      <c r="C1303" s="21" t="n">
        <v>0</v>
      </c>
      <c r="D1303" s="21" t="n">
        <v>0</v>
      </c>
      <c r="E1303" s="21" t="n">
        <v>0</v>
      </c>
      <c r="F1303" s="21" t="n">
        <v>0</v>
      </c>
      <c r="G1303" s="30" t="s">
        <v>3432</v>
      </c>
    </row>
    <row r="1304" customFormat="false" ht="15" hidden="false" customHeight="false" outlineLevel="0" collapsed="false">
      <c r="A1304" s="28" t="n">
        <v>37690</v>
      </c>
      <c r="B1304" s="28" t="n">
        <v>37696</v>
      </c>
      <c r="C1304" s="21" t="n">
        <v>0</v>
      </c>
      <c r="D1304" s="21" t="n">
        <v>0</v>
      </c>
      <c r="E1304" s="21" t="n">
        <v>0</v>
      </c>
      <c r="F1304" s="21" t="n">
        <v>0</v>
      </c>
      <c r="G1304" s="30" t="s">
        <v>3432</v>
      </c>
    </row>
    <row r="1305" customFormat="false" ht="15" hidden="false" customHeight="false" outlineLevel="0" collapsed="false">
      <c r="A1305" s="28" t="n">
        <v>37697</v>
      </c>
      <c r="B1305" s="28" t="n">
        <v>37703</v>
      </c>
      <c r="C1305" s="21" t="n">
        <v>0</v>
      </c>
      <c r="D1305" s="21" t="n">
        <v>0</v>
      </c>
      <c r="E1305" s="21" t="n">
        <v>0</v>
      </c>
      <c r="F1305" s="21" t="n">
        <v>0</v>
      </c>
      <c r="G1305" s="30" t="s">
        <v>3432</v>
      </c>
    </row>
    <row r="1306" customFormat="false" ht="15" hidden="false" customHeight="false" outlineLevel="0" collapsed="false">
      <c r="A1306" s="28" t="n">
        <v>37704</v>
      </c>
      <c r="B1306" s="28" t="n">
        <v>37710</v>
      </c>
      <c r="C1306" s="21" t="n">
        <v>0</v>
      </c>
      <c r="D1306" s="21" t="n">
        <v>0</v>
      </c>
      <c r="E1306" s="21" t="n">
        <v>0</v>
      </c>
      <c r="F1306" s="21" t="n">
        <v>0</v>
      </c>
      <c r="G1306" s="30" t="s">
        <v>3432</v>
      </c>
    </row>
    <row r="1307" customFormat="false" ht="15" hidden="false" customHeight="false" outlineLevel="0" collapsed="false">
      <c r="A1307" s="28" t="n">
        <v>37711</v>
      </c>
      <c r="B1307" s="28" t="n">
        <v>37717</v>
      </c>
      <c r="C1307" s="21" t="n">
        <v>0</v>
      </c>
      <c r="D1307" s="21" t="n">
        <v>0</v>
      </c>
      <c r="E1307" s="21" t="n">
        <v>0</v>
      </c>
      <c r="F1307" s="21" t="n">
        <v>0</v>
      </c>
      <c r="G1307" s="30" t="s">
        <v>3432</v>
      </c>
    </row>
    <row r="1308" customFormat="false" ht="15" hidden="false" customHeight="false" outlineLevel="0" collapsed="false">
      <c r="A1308" s="28" t="n">
        <v>37718</v>
      </c>
      <c r="B1308" s="28" t="n">
        <v>37724</v>
      </c>
      <c r="C1308" s="21" t="n">
        <v>0</v>
      </c>
      <c r="D1308" s="21" t="n">
        <v>0</v>
      </c>
      <c r="E1308" s="21" t="n">
        <v>0</v>
      </c>
      <c r="F1308" s="21" t="n">
        <v>0</v>
      </c>
      <c r="G1308" s="30" t="s">
        <v>3432</v>
      </c>
    </row>
    <row r="1309" customFormat="false" ht="15" hidden="false" customHeight="false" outlineLevel="0" collapsed="false">
      <c r="A1309" s="28" t="n">
        <v>37725</v>
      </c>
      <c r="B1309" s="28" t="n">
        <v>37731</v>
      </c>
      <c r="C1309" s="21" t="n">
        <v>0</v>
      </c>
      <c r="D1309" s="21" t="n">
        <v>0</v>
      </c>
      <c r="E1309" s="21" t="n">
        <v>0</v>
      </c>
      <c r="F1309" s="21" t="n">
        <v>0</v>
      </c>
      <c r="G1309" s="30" t="s">
        <v>3432</v>
      </c>
    </row>
    <row r="1310" customFormat="false" ht="15" hidden="false" customHeight="false" outlineLevel="0" collapsed="false">
      <c r="A1310" s="28" t="n">
        <v>37732</v>
      </c>
      <c r="B1310" s="28" t="n">
        <v>37738</v>
      </c>
      <c r="C1310" s="21" t="n">
        <v>0</v>
      </c>
      <c r="D1310" s="21" t="n">
        <v>0</v>
      </c>
      <c r="E1310" s="21" t="n">
        <v>0</v>
      </c>
      <c r="F1310" s="21" t="n">
        <v>0</v>
      </c>
      <c r="G1310" s="30" t="s">
        <v>3432</v>
      </c>
    </row>
    <row r="1311" customFormat="false" ht="15" hidden="false" customHeight="false" outlineLevel="0" collapsed="false">
      <c r="A1311" s="28" t="n">
        <v>37739</v>
      </c>
      <c r="B1311" s="28" t="n">
        <v>37745</v>
      </c>
      <c r="C1311" s="21" t="n">
        <v>0</v>
      </c>
      <c r="D1311" s="21" t="n">
        <v>0</v>
      </c>
      <c r="E1311" s="21" t="n">
        <v>0</v>
      </c>
      <c r="F1311" s="21" t="n">
        <v>0</v>
      </c>
      <c r="G1311" s="30" t="s">
        <v>3432</v>
      </c>
    </row>
    <row r="1312" customFormat="false" ht="15" hidden="false" customHeight="false" outlineLevel="0" collapsed="false">
      <c r="A1312" s="28" t="n">
        <v>37746</v>
      </c>
      <c r="B1312" s="28" t="n">
        <v>37752</v>
      </c>
      <c r="C1312" s="21" t="n">
        <v>0</v>
      </c>
      <c r="D1312" s="21" t="n">
        <v>0</v>
      </c>
      <c r="E1312" s="21" t="n">
        <v>0</v>
      </c>
      <c r="F1312" s="21" t="n">
        <v>0</v>
      </c>
      <c r="G1312" s="30" t="s">
        <v>3432</v>
      </c>
    </row>
    <row r="1313" customFormat="false" ht="15" hidden="false" customHeight="false" outlineLevel="0" collapsed="false">
      <c r="A1313" s="28" t="n">
        <v>37753</v>
      </c>
      <c r="B1313" s="28" t="n">
        <v>37759</v>
      </c>
      <c r="C1313" s="21" t="n">
        <v>0</v>
      </c>
      <c r="D1313" s="21" t="n">
        <v>0</v>
      </c>
      <c r="E1313" s="21" t="n">
        <v>0</v>
      </c>
      <c r="F1313" s="21" t="n">
        <v>0</v>
      </c>
      <c r="G1313" s="30" t="s">
        <v>3432</v>
      </c>
    </row>
    <row r="1314" customFormat="false" ht="15" hidden="false" customHeight="false" outlineLevel="0" collapsed="false">
      <c r="A1314" s="28" t="n">
        <v>37760</v>
      </c>
      <c r="B1314" s="28" t="n">
        <v>37766</v>
      </c>
      <c r="C1314" s="21" t="n">
        <v>0</v>
      </c>
      <c r="D1314" s="21" t="n">
        <v>0</v>
      </c>
      <c r="E1314" s="21" t="n">
        <v>0</v>
      </c>
      <c r="F1314" s="21" t="n">
        <v>0</v>
      </c>
      <c r="G1314" s="30" t="s">
        <v>3432</v>
      </c>
    </row>
    <row r="1315" customFormat="false" ht="15" hidden="false" customHeight="false" outlineLevel="0" collapsed="false">
      <c r="A1315" s="28" t="n">
        <v>37767</v>
      </c>
      <c r="B1315" s="28" t="n">
        <v>37773</v>
      </c>
      <c r="C1315" s="21" t="n">
        <v>0</v>
      </c>
      <c r="D1315" s="21" t="n">
        <v>0</v>
      </c>
      <c r="E1315" s="21" t="n">
        <v>0</v>
      </c>
      <c r="F1315" s="21" t="n">
        <v>0</v>
      </c>
      <c r="G1315" s="30" t="s">
        <v>3432</v>
      </c>
    </row>
    <row r="1316" customFormat="false" ht="15" hidden="false" customHeight="false" outlineLevel="0" collapsed="false">
      <c r="A1316" s="28" t="n">
        <v>37774</v>
      </c>
      <c r="B1316" s="28" t="n">
        <v>37780</v>
      </c>
      <c r="C1316" s="21" t="n">
        <v>0</v>
      </c>
      <c r="D1316" s="21" t="n">
        <v>0</v>
      </c>
      <c r="E1316" s="21" t="n">
        <v>0</v>
      </c>
      <c r="F1316" s="21" t="n">
        <v>0</v>
      </c>
      <c r="G1316" s="30" t="s">
        <v>3432</v>
      </c>
    </row>
    <row r="1317" customFormat="false" ht="15" hidden="false" customHeight="false" outlineLevel="0" collapsed="false">
      <c r="A1317" s="28" t="n">
        <v>37781</v>
      </c>
      <c r="B1317" s="28" t="n">
        <v>37787</v>
      </c>
      <c r="C1317" s="21" t="n">
        <v>0</v>
      </c>
      <c r="D1317" s="21" t="n">
        <v>0</v>
      </c>
      <c r="E1317" s="21" t="n">
        <v>0</v>
      </c>
      <c r="F1317" s="21" t="n">
        <v>0</v>
      </c>
      <c r="G1317" s="30" t="s">
        <v>3432</v>
      </c>
    </row>
    <row r="1318" customFormat="false" ht="15" hidden="false" customHeight="false" outlineLevel="0" collapsed="false">
      <c r="A1318" s="28" t="n">
        <v>37788</v>
      </c>
      <c r="B1318" s="28" t="n">
        <v>37794</v>
      </c>
      <c r="C1318" s="21" t="n">
        <v>0</v>
      </c>
      <c r="D1318" s="21" t="n">
        <v>0</v>
      </c>
      <c r="E1318" s="21" t="n">
        <v>0</v>
      </c>
      <c r="F1318" s="21" t="n">
        <v>0</v>
      </c>
      <c r="G1318" s="30" t="s">
        <v>3432</v>
      </c>
    </row>
    <row r="1319" customFormat="false" ht="15" hidden="false" customHeight="false" outlineLevel="0" collapsed="false">
      <c r="A1319" s="28" t="n">
        <v>37795</v>
      </c>
      <c r="B1319" s="28" t="n">
        <v>37801</v>
      </c>
      <c r="C1319" s="21" t="n">
        <v>0</v>
      </c>
      <c r="D1319" s="21" t="n">
        <v>0</v>
      </c>
      <c r="E1319" s="21" t="n">
        <v>0</v>
      </c>
      <c r="F1319" s="21" t="n">
        <v>0</v>
      </c>
      <c r="G1319" s="30" t="s">
        <v>3432</v>
      </c>
    </row>
    <row r="1320" customFormat="false" ht="15" hidden="false" customHeight="false" outlineLevel="0" collapsed="false">
      <c r="A1320" s="28" t="n">
        <v>37802</v>
      </c>
      <c r="B1320" s="28" t="n">
        <v>37808</v>
      </c>
      <c r="C1320" s="21" t="n">
        <v>0</v>
      </c>
      <c r="D1320" s="21" t="n">
        <v>0</v>
      </c>
      <c r="E1320" s="21" t="n">
        <v>0</v>
      </c>
      <c r="F1320" s="21" t="n">
        <v>0</v>
      </c>
      <c r="G1320" s="30" t="s">
        <v>3432</v>
      </c>
    </row>
    <row r="1321" customFormat="false" ht="15" hidden="false" customHeight="false" outlineLevel="0" collapsed="false">
      <c r="A1321" s="28" t="n">
        <v>37809</v>
      </c>
      <c r="B1321" s="28" t="n">
        <v>37815</v>
      </c>
      <c r="C1321" s="21" t="n">
        <v>0</v>
      </c>
      <c r="D1321" s="21" t="n">
        <v>0</v>
      </c>
      <c r="E1321" s="21" t="n">
        <v>0</v>
      </c>
      <c r="F1321" s="21" t="n">
        <v>0</v>
      </c>
      <c r="G1321" s="30" t="s">
        <v>3432</v>
      </c>
    </row>
    <row r="1322" customFormat="false" ht="15" hidden="false" customHeight="false" outlineLevel="0" collapsed="false">
      <c r="A1322" s="28" t="n">
        <v>37816</v>
      </c>
      <c r="B1322" s="28" t="n">
        <v>37822</v>
      </c>
      <c r="C1322" s="21" t="n">
        <v>0</v>
      </c>
      <c r="D1322" s="21" t="n">
        <v>0</v>
      </c>
      <c r="E1322" s="21" t="n">
        <v>0</v>
      </c>
      <c r="F1322" s="21" t="n">
        <v>0</v>
      </c>
      <c r="G1322" s="30" t="s">
        <v>3432</v>
      </c>
    </row>
    <row r="1323" customFormat="false" ht="15" hidden="false" customHeight="false" outlineLevel="0" collapsed="false">
      <c r="A1323" s="28" t="n">
        <v>37823</v>
      </c>
      <c r="B1323" s="28" t="n">
        <v>37829</v>
      </c>
      <c r="C1323" s="21" t="n">
        <v>0</v>
      </c>
      <c r="D1323" s="21" t="n">
        <v>0</v>
      </c>
      <c r="E1323" s="21" t="n">
        <v>0</v>
      </c>
      <c r="F1323" s="21" t="n">
        <v>0</v>
      </c>
      <c r="G1323" s="30" t="s">
        <v>3432</v>
      </c>
    </row>
    <row r="1324" customFormat="false" ht="15" hidden="false" customHeight="false" outlineLevel="0" collapsed="false">
      <c r="A1324" s="28" t="n">
        <v>37830</v>
      </c>
      <c r="B1324" s="28" t="n">
        <v>37836</v>
      </c>
      <c r="C1324" s="21" t="n">
        <v>0</v>
      </c>
      <c r="D1324" s="21" t="n">
        <v>0</v>
      </c>
      <c r="E1324" s="21" t="n">
        <v>0</v>
      </c>
      <c r="F1324" s="21" t="n">
        <v>0</v>
      </c>
      <c r="G1324" s="30" t="s">
        <v>3432</v>
      </c>
    </row>
    <row r="1325" customFormat="false" ht="15" hidden="false" customHeight="false" outlineLevel="0" collapsed="false">
      <c r="A1325" s="28" t="n">
        <v>37837</v>
      </c>
      <c r="B1325" s="28" t="n">
        <v>37843</v>
      </c>
      <c r="C1325" s="21" t="n">
        <v>0</v>
      </c>
      <c r="D1325" s="21" t="n">
        <v>0</v>
      </c>
      <c r="E1325" s="21" t="n">
        <v>0</v>
      </c>
      <c r="F1325" s="21" t="n">
        <v>0</v>
      </c>
      <c r="G1325" s="30" t="s">
        <v>3432</v>
      </c>
    </row>
    <row r="1326" customFormat="false" ht="15" hidden="false" customHeight="false" outlineLevel="0" collapsed="false">
      <c r="A1326" s="28" t="n">
        <v>37844</v>
      </c>
      <c r="B1326" s="28" t="n">
        <v>37850</v>
      </c>
      <c r="C1326" s="21" t="n">
        <v>0</v>
      </c>
      <c r="D1326" s="21" t="n">
        <v>0</v>
      </c>
      <c r="E1326" s="21" t="n">
        <v>0</v>
      </c>
      <c r="F1326" s="21" t="n">
        <v>0</v>
      </c>
      <c r="G1326" s="30" t="s">
        <v>3432</v>
      </c>
    </row>
    <row r="1327" customFormat="false" ht="15" hidden="false" customHeight="false" outlineLevel="0" collapsed="false">
      <c r="A1327" s="28" t="n">
        <v>37851</v>
      </c>
      <c r="B1327" s="28" t="n">
        <v>37857</v>
      </c>
      <c r="C1327" s="21" t="n">
        <v>0</v>
      </c>
      <c r="D1327" s="21" t="n">
        <v>0</v>
      </c>
      <c r="E1327" s="21" t="n">
        <v>0</v>
      </c>
      <c r="F1327" s="21" t="n">
        <v>0</v>
      </c>
      <c r="G1327" s="30" t="s">
        <v>3432</v>
      </c>
    </row>
    <row r="1328" customFormat="false" ht="15" hidden="false" customHeight="false" outlineLevel="0" collapsed="false">
      <c r="A1328" s="28" t="n">
        <v>37858</v>
      </c>
      <c r="B1328" s="28" t="n">
        <v>37864</v>
      </c>
      <c r="C1328" s="21" t="n">
        <v>0</v>
      </c>
      <c r="D1328" s="21" t="n">
        <v>0</v>
      </c>
      <c r="E1328" s="21" t="n">
        <v>0</v>
      </c>
      <c r="F1328" s="21" t="n">
        <v>0</v>
      </c>
      <c r="G1328" s="30" t="s">
        <v>3432</v>
      </c>
    </row>
    <row r="1329" customFormat="false" ht="15" hidden="false" customHeight="false" outlineLevel="0" collapsed="false">
      <c r="A1329" s="28" t="n">
        <v>37865</v>
      </c>
      <c r="B1329" s="28" t="n">
        <v>37871</v>
      </c>
      <c r="C1329" s="21" t="n">
        <v>0</v>
      </c>
      <c r="D1329" s="21" t="n">
        <v>0</v>
      </c>
      <c r="E1329" s="21" t="n">
        <v>0</v>
      </c>
      <c r="F1329" s="21" t="n">
        <v>0</v>
      </c>
      <c r="G1329" s="30" t="s">
        <v>3432</v>
      </c>
    </row>
    <row r="1330" customFormat="false" ht="15" hidden="false" customHeight="false" outlineLevel="0" collapsed="false">
      <c r="A1330" s="28" t="n">
        <v>37872</v>
      </c>
      <c r="B1330" s="28" t="n">
        <v>37878</v>
      </c>
      <c r="C1330" s="21" t="n">
        <v>0</v>
      </c>
      <c r="D1330" s="21" t="n">
        <v>0</v>
      </c>
      <c r="E1330" s="21" t="n">
        <v>0</v>
      </c>
      <c r="F1330" s="21" t="n">
        <v>0</v>
      </c>
      <c r="G1330" s="30" t="s">
        <v>3432</v>
      </c>
    </row>
    <row r="1331" customFormat="false" ht="15" hidden="false" customHeight="false" outlineLevel="0" collapsed="false">
      <c r="A1331" s="28" t="n">
        <v>37879</v>
      </c>
      <c r="B1331" s="28" t="n">
        <v>37885</v>
      </c>
      <c r="C1331" s="21" t="n">
        <v>0</v>
      </c>
      <c r="D1331" s="21" t="n">
        <v>0</v>
      </c>
      <c r="E1331" s="21" t="n">
        <v>0</v>
      </c>
      <c r="F1331" s="21" t="n">
        <v>0</v>
      </c>
      <c r="G1331" s="30" t="s">
        <v>3432</v>
      </c>
    </row>
    <row r="1332" customFormat="false" ht="15" hidden="false" customHeight="false" outlineLevel="0" collapsed="false">
      <c r="A1332" s="28" t="n">
        <v>37886</v>
      </c>
      <c r="B1332" s="28" t="n">
        <v>37892</v>
      </c>
      <c r="C1332" s="21" t="n">
        <v>0</v>
      </c>
      <c r="D1332" s="21" t="n">
        <v>0</v>
      </c>
      <c r="E1332" s="21" t="n">
        <v>0</v>
      </c>
      <c r="F1332" s="21" t="n">
        <v>0</v>
      </c>
      <c r="G1332" s="30" t="s">
        <v>3432</v>
      </c>
    </row>
    <row r="1333" customFormat="false" ht="15" hidden="false" customHeight="false" outlineLevel="0" collapsed="false">
      <c r="A1333" s="28" t="n">
        <v>37893</v>
      </c>
      <c r="B1333" s="28" t="n">
        <v>37899</v>
      </c>
      <c r="C1333" s="21" t="n">
        <v>0</v>
      </c>
      <c r="D1333" s="21" t="n">
        <v>0</v>
      </c>
      <c r="E1333" s="21" t="n">
        <v>0</v>
      </c>
      <c r="F1333" s="21" t="n">
        <v>0</v>
      </c>
      <c r="G1333" s="30" t="s">
        <v>3432</v>
      </c>
    </row>
    <row r="1334" customFormat="false" ht="15" hidden="false" customHeight="false" outlineLevel="0" collapsed="false">
      <c r="A1334" s="28" t="n">
        <v>37900</v>
      </c>
      <c r="B1334" s="28" t="n">
        <v>37906</v>
      </c>
      <c r="C1334" s="21" t="n">
        <v>0</v>
      </c>
      <c r="D1334" s="21" t="n">
        <v>0</v>
      </c>
      <c r="E1334" s="21" t="n">
        <v>0</v>
      </c>
      <c r="F1334" s="21" t="n">
        <v>0</v>
      </c>
      <c r="G1334" s="30" t="s">
        <v>3432</v>
      </c>
    </row>
    <row r="1335" customFormat="false" ht="15" hidden="false" customHeight="false" outlineLevel="0" collapsed="false">
      <c r="A1335" s="28" t="n">
        <v>37907</v>
      </c>
      <c r="B1335" s="28" t="n">
        <v>37913</v>
      </c>
      <c r="C1335" s="21" t="n">
        <v>0</v>
      </c>
      <c r="D1335" s="21" t="n">
        <v>0</v>
      </c>
      <c r="E1335" s="21" t="n">
        <v>0</v>
      </c>
      <c r="F1335" s="21" t="n">
        <v>0</v>
      </c>
      <c r="G1335" s="30" t="s">
        <v>3432</v>
      </c>
    </row>
    <row r="1336" customFormat="false" ht="15" hidden="false" customHeight="false" outlineLevel="0" collapsed="false">
      <c r="A1336" s="28" t="n">
        <v>37914</v>
      </c>
      <c r="B1336" s="28" t="n">
        <v>37920</v>
      </c>
      <c r="C1336" s="21" t="n">
        <v>0</v>
      </c>
      <c r="D1336" s="21" t="n">
        <v>0</v>
      </c>
      <c r="E1336" s="21" t="n">
        <v>0</v>
      </c>
      <c r="F1336" s="21" t="n">
        <v>0</v>
      </c>
      <c r="G1336" s="30" t="s">
        <v>3432</v>
      </c>
    </row>
    <row r="1337" customFormat="false" ht="15" hidden="false" customHeight="false" outlineLevel="0" collapsed="false">
      <c r="A1337" s="28" t="n">
        <v>37921</v>
      </c>
      <c r="B1337" s="28" t="n">
        <v>37927</v>
      </c>
      <c r="C1337" s="21" t="n">
        <v>0</v>
      </c>
      <c r="D1337" s="21" t="n">
        <v>0</v>
      </c>
      <c r="E1337" s="21" t="n">
        <v>0</v>
      </c>
      <c r="F1337" s="21" t="n">
        <v>0</v>
      </c>
      <c r="G1337" s="30" t="s">
        <v>3432</v>
      </c>
    </row>
    <row r="1338" customFormat="false" ht="15" hidden="false" customHeight="false" outlineLevel="0" collapsed="false">
      <c r="A1338" s="28" t="n">
        <v>37928</v>
      </c>
      <c r="B1338" s="28" t="n">
        <v>37934</v>
      </c>
      <c r="C1338" s="21" t="n">
        <v>0</v>
      </c>
      <c r="D1338" s="21" t="n">
        <v>0</v>
      </c>
      <c r="E1338" s="21" t="n">
        <v>0</v>
      </c>
      <c r="F1338" s="21" t="n">
        <v>0</v>
      </c>
      <c r="G1338" s="30" t="s">
        <v>3432</v>
      </c>
    </row>
    <row r="1339" customFormat="false" ht="15" hidden="false" customHeight="false" outlineLevel="0" collapsed="false">
      <c r="A1339" s="28" t="n">
        <v>37935</v>
      </c>
      <c r="B1339" s="28" t="n">
        <v>37941</v>
      </c>
      <c r="C1339" s="21" t="n">
        <v>0</v>
      </c>
      <c r="D1339" s="21" t="n">
        <v>0</v>
      </c>
      <c r="E1339" s="21" t="n">
        <v>0</v>
      </c>
      <c r="F1339" s="21" t="n">
        <v>0</v>
      </c>
      <c r="G1339" s="30" t="s">
        <v>3432</v>
      </c>
    </row>
    <row r="1340" customFormat="false" ht="15" hidden="false" customHeight="false" outlineLevel="0" collapsed="false">
      <c r="A1340" s="28" t="n">
        <v>37942</v>
      </c>
      <c r="B1340" s="28" t="n">
        <v>37948</v>
      </c>
      <c r="C1340" s="21" t="n">
        <v>0</v>
      </c>
      <c r="D1340" s="21" t="n">
        <v>0</v>
      </c>
      <c r="E1340" s="21" t="n">
        <v>0</v>
      </c>
      <c r="F1340" s="21" t="n">
        <v>0</v>
      </c>
      <c r="G1340" s="30" t="s">
        <v>3432</v>
      </c>
    </row>
    <row r="1341" customFormat="false" ht="15" hidden="false" customHeight="false" outlineLevel="0" collapsed="false">
      <c r="A1341" s="28" t="n">
        <v>37949</v>
      </c>
      <c r="B1341" s="28" t="n">
        <v>37955</v>
      </c>
      <c r="C1341" s="21" t="n">
        <v>0</v>
      </c>
      <c r="D1341" s="21" t="n">
        <v>0</v>
      </c>
      <c r="E1341" s="21" t="n">
        <v>0</v>
      </c>
      <c r="F1341" s="21" t="n">
        <v>0</v>
      </c>
      <c r="G1341" s="30" t="s">
        <v>3432</v>
      </c>
    </row>
    <row r="1342" customFormat="false" ht="15" hidden="false" customHeight="false" outlineLevel="0" collapsed="false">
      <c r="A1342" s="28" t="n">
        <v>37956</v>
      </c>
      <c r="B1342" s="28" t="n">
        <v>37962</v>
      </c>
      <c r="C1342" s="21" t="n">
        <v>0</v>
      </c>
      <c r="D1342" s="21" t="n">
        <v>0</v>
      </c>
      <c r="E1342" s="21" t="n">
        <v>0</v>
      </c>
      <c r="F1342" s="21" t="n">
        <v>0</v>
      </c>
      <c r="G1342" s="30" t="s">
        <v>3432</v>
      </c>
    </row>
    <row r="1343" customFormat="false" ht="15" hidden="false" customHeight="false" outlineLevel="0" collapsed="false">
      <c r="A1343" s="28" t="n">
        <v>37963</v>
      </c>
      <c r="B1343" s="28" t="n">
        <v>37969</v>
      </c>
      <c r="C1343" s="21" t="n">
        <v>0</v>
      </c>
      <c r="D1343" s="21" t="n">
        <v>0</v>
      </c>
      <c r="E1343" s="21" t="n">
        <v>0</v>
      </c>
      <c r="F1343" s="21" t="n">
        <v>0</v>
      </c>
      <c r="G1343" s="30" t="s">
        <v>3432</v>
      </c>
    </row>
    <row r="1344" customFormat="false" ht="15" hidden="false" customHeight="false" outlineLevel="0" collapsed="false">
      <c r="A1344" s="28" t="n">
        <v>37970</v>
      </c>
      <c r="B1344" s="28" t="n">
        <v>37976</v>
      </c>
      <c r="C1344" s="21" t="n">
        <v>0</v>
      </c>
      <c r="D1344" s="21" t="n">
        <v>0</v>
      </c>
      <c r="E1344" s="21" t="n">
        <v>0</v>
      </c>
      <c r="F1344" s="21" t="n">
        <v>0</v>
      </c>
      <c r="G1344" s="30" t="s">
        <v>3432</v>
      </c>
    </row>
    <row r="1345" customFormat="false" ht="15" hidden="false" customHeight="false" outlineLevel="0" collapsed="false">
      <c r="A1345" s="28" t="n">
        <v>37977</v>
      </c>
      <c r="B1345" s="28" t="n">
        <v>37983</v>
      </c>
      <c r="C1345" s="21" t="n">
        <v>0</v>
      </c>
      <c r="D1345" s="21" t="n">
        <v>0</v>
      </c>
      <c r="E1345" s="21" t="n">
        <v>0</v>
      </c>
      <c r="F1345" s="21" t="n">
        <v>0</v>
      </c>
      <c r="G1345" s="30" t="s">
        <v>3432</v>
      </c>
    </row>
    <row r="1346" customFormat="false" ht="15" hidden="false" customHeight="false" outlineLevel="0" collapsed="false">
      <c r="A1346" s="28" t="n">
        <v>37984</v>
      </c>
      <c r="B1346" s="28" t="n">
        <v>37990</v>
      </c>
      <c r="C1346" s="21" t="n">
        <v>0</v>
      </c>
      <c r="D1346" s="21" t="n">
        <v>0</v>
      </c>
      <c r="E1346" s="21" t="n">
        <v>0</v>
      </c>
      <c r="F1346" s="21" t="n">
        <v>0</v>
      </c>
      <c r="G1346" s="30" t="s">
        <v>3432</v>
      </c>
    </row>
    <row r="1347" customFormat="false" ht="15" hidden="false" customHeight="false" outlineLevel="0" collapsed="false">
      <c r="A1347" s="28" t="n">
        <v>37991</v>
      </c>
      <c r="B1347" s="28" t="n">
        <v>37997</v>
      </c>
      <c r="C1347" s="21" t="n">
        <v>0</v>
      </c>
      <c r="D1347" s="21" t="n">
        <v>0</v>
      </c>
      <c r="E1347" s="21" t="n">
        <v>0</v>
      </c>
      <c r="F1347" s="21" t="n">
        <v>0</v>
      </c>
      <c r="G1347" s="30" t="s">
        <v>3432</v>
      </c>
    </row>
    <row r="1348" customFormat="false" ht="15" hidden="false" customHeight="false" outlineLevel="0" collapsed="false">
      <c r="A1348" s="28" t="n">
        <v>37998</v>
      </c>
      <c r="B1348" s="28" t="n">
        <v>38004</v>
      </c>
      <c r="C1348" s="21" t="n">
        <v>0</v>
      </c>
      <c r="D1348" s="21" t="n">
        <v>0</v>
      </c>
      <c r="E1348" s="21" t="n">
        <v>0</v>
      </c>
      <c r="F1348" s="21" t="n">
        <v>0</v>
      </c>
      <c r="G1348" s="30" t="s">
        <v>3432</v>
      </c>
    </row>
    <row r="1349" customFormat="false" ht="15" hidden="false" customHeight="false" outlineLevel="0" collapsed="false">
      <c r="A1349" s="28" t="n">
        <v>38005</v>
      </c>
      <c r="B1349" s="28" t="n">
        <v>38011</v>
      </c>
      <c r="C1349" s="21" t="n">
        <v>0</v>
      </c>
      <c r="D1349" s="21" t="n">
        <v>0</v>
      </c>
      <c r="E1349" s="21" t="n">
        <v>0</v>
      </c>
      <c r="F1349" s="21" t="n">
        <v>0</v>
      </c>
      <c r="G1349" s="30" t="s">
        <v>3432</v>
      </c>
    </row>
    <row r="1350" customFormat="false" ht="15" hidden="false" customHeight="false" outlineLevel="0" collapsed="false">
      <c r="A1350" s="28" t="n">
        <v>38012</v>
      </c>
      <c r="B1350" s="28" t="n">
        <v>38018</v>
      </c>
      <c r="C1350" s="21" t="n">
        <v>0</v>
      </c>
      <c r="D1350" s="21" t="n">
        <v>0</v>
      </c>
      <c r="E1350" s="21" t="n">
        <v>0</v>
      </c>
      <c r="F1350" s="21" t="n">
        <v>0</v>
      </c>
      <c r="G1350" s="30" t="s">
        <v>3432</v>
      </c>
    </row>
    <row r="1351" customFormat="false" ht="15" hidden="false" customHeight="false" outlineLevel="0" collapsed="false">
      <c r="A1351" s="28" t="n">
        <v>38019</v>
      </c>
      <c r="B1351" s="28" t="n">
        <v>38025</v>
      </c>
      <c r="C1351" s="21" t="n">
        <v>0</v>
      </c>
      <c r="D1351" s="21" t="n">
        <v>0</v>
      </c>
      <c r="E1351" s="21" t="n">
        <v>0</v>
      </c>
      <c r="F1351" s="21" t="n">
        <v>0</v>
      </c>
      <c r="G1351" s="30" t="s">
        <v>3432</v>
      </c>
    </row>
    <row r="1352" customFormat="false" ht="15" hidden="false" customHeight="false" outlineLevel="0" collapsed="false">
      <c r="A1352" s="28" t="n">
        <v>38026</v>
      </c>
      <c r="B1352" s="28" t="n">
        <v>38032</v>
      </c>
      <c r="C1352" s="21" t="n">
        <v>0</v>
      </c>
      <c r="D1352" s="21" t="n">
        <v>0</v>
      </c>
      <c r="E1352" s="21" t="n">
        <v>0</v>
      </c>
      <c r="F1352" s="21" t="n">
        <v>0</v>
      </c>
      <c r="G1352" s="30" t="s">
        <v>3432</v>
      </c>
    </row>
    <row r="1353" customFormat="false" ht="15" hidden="false" customHeight="false" outlineLevel="0" collapsed="false">
      <c r="A1353" s="28" t="n">
        <v>38033</v>
      </c>
      <c r="B1353" s="28" t="n">
        <v>38039</v>
      </c>
      <c r="C1353" s="21" t="n">
        <v>0</v>
      </c>
      <c r="D1353" s="21" t="n">
        <v>0</v>
      </c>
      <c r="E1353" s="21" t="n">
        <v>0</v>
      </c>
      <c r="F1353" s="21" t="n">
        <v>0</v>
      </c>
      <c r="G1353" s="30" t="s">
        <v>3432</v>
      </c>
    </row>
    <row r="1354" customFormat="false" ht="15" hidden="false" customHeight="false" outlineLevel="0" collapsed="false">
      <c r="A1354" s="28" t="n">
        <v>38040</v>
      </c>
      <c r="B1354" s="28" t="n">
        <v>38046</v>
      </c>
      <c r="C1354" s="21" t="n">
        <v>0</v>
      </c>
      <c r="D1354" s="21" t="n">
        <v>0</v>
      </c>
      <c r="E1354" s="21" t="n">
        <v>0</v>
      </c>
      <c r="F1354" s="21" t="n">
        <v>0</v>
      </c>
      <c r="G1354" s="30" t="s">
        <v>3432</v>
      </c>
    </row>
    <row r="1355" customFormat="false" ht="15" hidden="false" customHeight="false" outlineLevel="0" collapsed="false">
      <c r="A1355" s="28" t="n">
        <v>38047</v>
      </c>
      <c r="B1355" s="28" t="n">
        <v>38053</v>
      </c>
      <c r="C1355" s="21" t="n">
        <v>0</v>
      </c>
      <c r="D1355" s="21" t="n">
        <v>0</v>
      </c>
      <c r="E1355" s="21" t="n">
        <v>0</v>
      </c>
      <c r="F1355" s="21" t="n">
        <v>0</v>
      </c>
      <c r="G1355" s="30" t="s">
        <v>3432</v>
      </c>
    </row>
    <row r="1356" customFormat="false" ht="15" hidden="false" customHeight="false" outlineLevel="0" collapsed="false">
      <c r="A1356" s="28" t="n">
        <v>38054</v>
      </c>
      <c r="B1356" s="28" t="n">
        <v>38060</v>
      </c>
      <c r="C1356" s="21" t="n">
        <v>0</v>
      </c>
      <c r="D1356" s="21" t="n">
        <v>0</v>
      </c>
      <c r="E1356" s="21" t="n">
        <v>0</v>
      </c>
      <c r="F1356" s="21" t="n">
        <v>0</v>
      </c>
      <c r="G1356" s="30" t="s">
        <v>3432</v>
      </c>
    </row>
    <row r="1357" customFormat="false" ht="15" hidden="false" customHeight="false" outlineLevel="0" collapsed="false">
      <c r="A1357" s="28" t="n">
        <v>38061</v>
      </c>
      <c r="B1357" s="28" t="n">
        <v>38067</v>
      </c>
      <c r="C1357" s="21" t="n">
        <v>0</v>
      </c>
      <c r="D1357" s="21" t="n">
        <v>0</v>
      </c>
      <c r="E1357" s="21" t="n">
        <v>0</v>
      </c>
      <c r="F1357" s="21" t="n">
        <v>0</v>
      </c>
      <c r="G1357" s="30" t="s">
        <v>3432</v>
      </c>
    </row>
    <row r="1358" customFormat="false" ht="15" hidden="false" customHeight="false" outlineLevel="0" collapsed="false">
      <c r="A1358" s="28" t="n">
        <v>38068</v>
      </c>
      <c r="B1358" s="28" t="n">
        <v>38074</v>
      </c>
      <c r="C1358" s="21" t="n">
        <v>0</v>
      </c>
      <c r="D1358" s="21" t="n">
        <v>0</v>
      </c>
      <c r="E1358" s="21" t="n">
        <v>0</v>
      </c>
      <c r="F1358" s="21" t="n">
        <v>0</v>
      </c>
      <c r="G1358" s="30" t="s">
        <v>3432</v>
      </c>
    </row>
    <row r="1359" customFormat="false" ht="15" hidden="false" customHeight="false" outlineLevel="0" collapsed="false">
      <c r="A1359" s="28" t="n">
        <v>38075</v>
      </c>
      <c r="B1359" s="28" t="n">
        <v>38081</v>
      </c>
      <c r="C1359" s="21" t="n">
        <v>0</v>
      </c>
      <c r="D1359" s="21" t="n">
        <v>0</v>
      </c>
      <c r="E1359" s="21" t="n">
        <v>0</v>
      </c>
      <c r="F1359" s="21" t="n">
        <v>0</v>
      </c>
      <c r="G1359" s="30" t="s">
        <v>3432</v>
      </c>
    </row>
    <row r="1360" customFormat="false" ht="15" hidden="false" customHeight="false" outlineLevel="0" collapsed="false">
      <c r="A1360" s="28" t="n">
        <v>38082</v>
      </c>
      <c r="B1360" s="28" t="n">
        <v>38088</v>
      </c>
      <c r="C1360" s="21" t="n">
        <v>0</v>
      </c>
      <c r="D1360" s="21" t="n">
        <v>0</v>
      </c>
      <c r="E1360" s="21" t="n">
        <v>0</v>
      </c>
      <c r="F1360" s="21" t="n">
        <v>0</v>
      </c>
      <c r="G1360" s="30" t="s">
        <v>3432</v>
      </c>
    </row>
    <row r="1361" customFormat="false" ht="15" hidden="false" customHeight="false" outlineLevel="0" collapsed="false">
      <c r="A1361" s="28" t="n">
        <v>38089</v>
      </c>
      <c r="B1361" s="28" t="n">
        <v>38095</v>
      </c>
      <c r="C1361" s="21" t="n">
        <v>0</v>
      </c>
      <c r="D1361" s="21" t="n">
        <v>0</v>
      </c>
      <c r="E1361" s="21" t="n">
        <v>0</v>
      </c>
      <c r="F1361" s="21" t="n">
        <v>0</v>
      </c>
      <c r="G1361" s="30" t="s">
        <v>3432</v>
      </c>
    </row>
    <row r="1362" customFormat="false" ht="15" hidden="false" customHeight="false" outlineLevel="0" collapsed="false">
      <c r="A1362" s="28" t="n">
        <v>38096</v>
      </c>
      <c r="B1362" s="28" t="n">
        <v>38102</v>
      </c>
      <c r="C1362" s="21" t="n">
        <v>0</v>
      </c>
      <c r="D1362" s="21" t="n">
        <v>0</v>
      </c>
      <c r="E1362" s="21" t="n">
        <v>0</v>
      </c>
      <c r="F1362" s="21" t="n">
        <v>0</v>
      </c>
      <c r="G1362" s="30" t="s">
        <v>3432</v>
      </c>
    </row>
    <row r="1363" customFormat="false" ht="15" hidden="false" customHeight="false" outlineLevel="0" collapsed="false">
      <c r="A1363" s="28" t="n">
        <v>38103</v>
      </c>
      <c r="B1363" s="28" t="n">
        <v>38109</v>
      </c>
      <c r="C1363" s="21" t="n">
        <v>0</v>
      </c>
      <c r="D1363" s="21" t="n">
        <v>0</v>
      </c>
      <c r="E1363" s="21" t="n">
        <v>0</v>
      </c>
      <c r="F1363" s="21" t="n">
        <v>0</v>
      </c>
      <c r="G1363" s="30" t="s">
        <v>3432</v>
      </c>
    </row>
    <row r="1364" customFormat="false" ht="15" hidden="false" customHeight="false" outlineLevel="0" collapsed="false">
      <c r="A1364" s="28" t="n">
        <v>38110</v>
      </c>
      <c r="B1364" s="28" t="n">
        <v>38116</v>
      </c>
      <c r="C1364" s="21" t="n">
        <v>0</v>
      </c>
      <c r="D1364" s="21" t="n">
        <v>0</v>
      </c>
      <c r="E1364" s="21" t="n">
        <v>0</v>
      </c>
      <c r="F1364" s="21" t="n">
        <v>0</v>
      </c>
      <c r="G1364" s="30" t="s">
        <v>3432</v>
      </c>
    </row>
    <row r="1365" customFormat="false" ht="15" hidden="false" customHeight="false" outlineLevel="0" collapsed="false">
      <c r="A1365" s="28" t="n">
        <v>38117</v>
      </c>
      <c r="B1365" s="28" t="n">
        <v>38123</v>
      </c>
      <c r="C1365" s="21" t="n">
        <v>0</v>
      </c>
      <c r="D1365" s="21" t="n">
        <v>0</v>
      </c>
      <c r="E1365" s="21" t="n">
        <v>0</v>
      </c>
      <c r="F1365" s="21" t="n">
        <v>0</v>
      </c>
      <c r="G1365" s="30" t="s">
        <v>3432</v>
      </c>
    </row>
    <row r="1366" customFormat="false" ht="15" hidden="false" customHeight="false" outlineLevel="0" collapsed="false">
      <c r="A1366" s="28" t="n">
        <v>38124</v>
      </c>
      <c r="B1366" s="28" t="n">
        <v>38130</v>
      </c>
      <c r="C1366" s="21" t="n">
        <v>0</v>
      </c>
      <c r="D1366" s="21" t="n">
        <v>0</v>
      </c>
      <c r="E1366" s="21" t="n">
        <v>0</v>
      </c>
      <c r="F1366" s="21" t="n">
        <v>0</v>
      </c>
      <c r="G1366" s="30" t="s">
        <v>3432</v>
      </c>
    </row>
    <row r="1367" customFormat="false" ht="15" hidden="false" customHeight="false" outlineLevel="0" collapsed="false">
      <c r="A1367" s="28" t="n">
        <v>38131</v>
      </c>
      <c r="B1367" s="28" t="n">
        <v>38137</v>
      </c>
      <c r="C1367" s="21" t="n">
        <v>0</v>
      </c>
      <c r="D1367" s="21" t="n">
        <v>0</v>
      </c>
      <c r="E1367" s="21" t="n">
        <v>0</v>
      </c>
      <c r="F1367" s="21" t="n">
        <v>0</v>
      </c>
      <c r="G1367" s="30" t="s">
        <v>3432</v>
      </c>
    </row>
    <row r="1368" customFormat="false" ht="15" hidden="false" customHeight="false" outlineLevel="0" collapsed="false">
      <c r="A1368" s="28" t="n">
        <v>38138</v>
      </c>
      <c r="B1368" s="28" t="n">
        <v>38144</v>
      </c>
      <c r="C1368" s="21" t="n">
        <v>0</v>
      </c>
      <c r="D1368" s="21" t="n">
        <v>0</v>
      </c>
      <c r="E1368" s="21" t="n">
        <v>0</v>
      </c>
      <c r="F1368" s="21" t="n">
        <v>0</v>
      </c>
      <c r="G1368" s="30" t="s">
        <v>3432</v>
      </c>
    </row>
    <row r="1369" customFormat="false" ht="15" hidden="false" customHeight="false" outlineLevel="0" collapsed="false">
      <c r="A1369" s="28" t="n">
        <v>38145</v>
      </c>
      <c r="B1369" s="28" t="n">
        <v>38151</v>
      </c>
      <c r="C1369" s="21" t="n">
        <v>0</v>
      </c>
      <c r="D1369" s="21" t="n">
        <v>0</v>
      </c>
      <c r="E1369" s="21" t="n">
        <v>0</v>
      </c>
      <c r="F1369" s="21" t="n">
        <v>0</v>
      </c>
      <c r="G1369" s="30" t="s">
        <v>3432</v>
      </c>
    </row>
    <row r="1370" customFormat="false" ht="15" hidden="false" customHeight="false" outlineLevel="0" collapsed="false">
      <c r="A1370" s="28" t="n">
        <v>38152</v>
      </c>
      <c r="B1370" s="28" t="n">
        <v>38158</v>
      </c>
      <c r="C1370" s="21" t="n">
        <v>0</v>
      </c>
      <c r="D1370" s="21" t="n">
        <v>0</v>
      </c>
      <c r="E1370" s="21" t="n">
        <v>0</v>
      </c>
      <c r="F1370" s="21" t="n">
        <v>0</v>
      </c>
      <c r="G1370" s="30" t="s">
        <v>3432</v>
      </c>
    </row>
    <row r="1371" customFormat="false" ht="15" hidden="false" customHeight="false" outlineLevel="0" collapsed="false">
      <c r="A1371" s="28" t="n">
        <v>38159</v>
      </c>
      <c r="B1371" s="28" t="n">
        <v>38165</v>
      </c>
      <c r="C1371" s="21" t="n">
        <v>0</v>
      </c>
      <c r="D1371" s="21" t="n">
        <v>0</v>
      </c>
      <c r="E1371" s="21" t="n">
        <v>0</v>
      </c>
      <c r="F1371" s="21" t="n">
        <v>0</v>
      </c>
      <c r="G1371" s="30" t="s">
        <v>3432</v>
      </c>
    </row>
    <row r="1372" customFormat="false" ht="15" hidden="false" customHeight="false" outlineLevel="0" collapsed="false">
      <c r="A1372" s="28" t="n">
        <v>38166</v>
      </c>
      <c r="B1372" s="28" t="n">
        <v>38172</v>
      </c>
      <c r="C1372" s="21" t="n">
        <v>0</v>
      </c>
      <c r="D1372" s="21" t="n">
        <v>0</v>
      </c>
      <c r="E1372" s="21" t="n">
        <v>0</v>
      </c>
      <c r="F1372" s="21" t="n">
        <v>0</v>
      </c>
      <c r="G1372" s="30" t="s">
        <v>3432</v>
      </c>
    </row>
    <row r="1373" customFormat="false" ht="15" hidden="false" customHeight="false" outlineLevel="0" collapsed="false">
      <c r="A1373" s="28" t="n">
        <v>38173</v>
      </c>
      <c r="B1373" s="28" t="n">
        <v>38179</v>
      </c>
      <c r="C1373" s="21" t="n">
        <v>0</v>
      </c>
      <c r="D1373" s="21" t="n">
        <v>0</v>
      </c>
      <c r="E1373" s="21" t="n">
        <v>0</v>
      </c>
      <c r="F1373" s="21" t="n">
        <v>0</v>
      </c>
      <c r="G1373" s="30" t="s">
        <v>3432</v>
      </c>
    </row>
    <row r="1374" customFormat="false" ht="15" hidden="false" customHeight="false" outlineLevel="0" collapsed="false">
      <c r="A1374" s="28" t="n">
        <v>38180</v>
      </c>
      <c r="B1374" s="28" t="n">
        <v>38186</v>
      </c>
      <c r="C1374" s="21" t="n">
        <v>0</v>
      </c>
      <c r="D1374" s="21" t="n">
        <v>0</v>
      </c>
      <c r="E1374" s="21" t="n">
        <v>0</v>
      </c>
      <c r="F1374" s="21" t="n">
        <v>0</v>
      </c>
      <c r="G1374" s="30" t="s">
        <v>3432</v>
      </c>
    </row>
    <row r="1375" customFormat="false" ht="15" hidden="false" customHeight="false" outlineLevel="0" collapsed="false">
      <c r="A1375" s="28" t="n">
        <v>38187</v>
      </c>
      <c r="B1375" s="28" t="n">
        <v>38193</v>
      </c>
      <c r="C1375" s="21" t="n">
        <v>0</v>
      </c>
      <c r="D1375" s="21" t="n">
        <v>0</v>
      </c>
      <c r="E1375" s="21" t="n">
        <v>0</v>
      </c>
      <c r="F1375" s="21" t="n">
        <v>0</v>
      </c>
      <c r="G1375" s="30" t="s">
        <v>3432</v>
      </c>
    </row>
    <row r="1376" customFormat="false" ht="15" hidden="false" customHeight="false" outlineLevel="0" collapsed="false">
      <c r="A1376" s="28" t="n">
        <v>38194</v>
      </c>
      <c r="B1376" s="28" t="n">
        <v>38200</v>
      </c>
      <c r="C1376" s="21" t="n">
        <v>0</v>
      </c>
      <c r="D1376" s="21" t="n">
        <v>0</v>
      </c>
      <c r="E1376" s="21" t="n">
        <v>0</v>
      </c>
      <c r="F1376" s="21" t="n">
        <v>0</v>
      </c>
      <c r="G1376" s="30" t="s">
        <v>3432</v>
      </c>
    </row>
    <row r="1377" customFormat="false" ht="15" hidden="false" customHeight="false" outlineLevel="0" collapsed="false">
      <c r="A1377" s="28" t="n">
        <v>38201</v>
      </c>
      <c r="B1377" s="28" t="n">
        <v>38207</v>
      </c>
      <c r="C1377" s="21" t="n">
        <v>0</v>
      </c>
      <c r="D1377" s="21" t="n">
        <v>0</v>
      </c>
      <c r="E1377" s="21" t="n">
        <v>0</v>
      </c>
      <c r="F1377" s="21" t="n">
        <v>0</v>
      </c>
      <c r="G1377" s="30" t="s">
        <v>3432</v>
      </c>
    </row>
    <row r="1378" customFormat="false" ht="15" hidden="false" customHeight="false" outlineLevel="0" collapsed="false">
      <c r="A1378" s="28" t="n">
        <v>38208</v>
      </c>
      <c r="B1378" s="28" t="n">
        <v>38214</v>
      </c>
      <c r="C1378" s="21" t="n">
        <v>0</v>
      </c>
      <c r="D1378" s="21" t="n">
        <v>0</v>
      </c>
      <c r="E1378" s="21" t="n">
        <v>0</v>
      </c>
      <c r="F1378" s="21" t="n">
        <v>0</v>
      </c>
      <c r="G1378" s="30" t="s">
        <v>3432</v>
      </c>
    </row>
    <row r="1379" customFormat="false" ht="15" hidden="false" customHeight="false" outlineLevel="0" collapsed="false">
      <c r="A1379" s="28" t="n">
        <v>38215</v>
      </c>
      <c r="B1379" s="28" t="n">
        <v>38221</v>
      </c>
      <c r="C1379" s="21" t="n">
        <v>0</v>
      </c>
      <c r="D1379" s="21" t="n">
        <v>0</v>
      </c>
      <c r="E1379" s="21" t="n">
        <v>0</v>
      </c>
      <c r="F1379" s="21" t="n">
        <v>0</v>
      </c>
      <c r="G1379" s="30" t="s">
        <v>3432</v>
      </c>
    </row>
    <row r="1380" customFormat="false" ht="15" hidden="false" customHeight="false" outlineLevel="0" collapsed="false">
      <c r="A1380" s="28" t="n">
        <v>38222</v>
      </c>
      <c r="B1380" s="28" t="n">
        <v>38228</v>
      </c>
      <c r="C1380" s="21" t="n">
        <v>0</v>
      </c>
      <c r="D1380" s="21" t="n">
        <v>0</v>
      </c>
      <c r="E1380" s="21" t="n">
        <v>0</v>
      </c>
      <c r="F1380" s="21" t="n">
        <v>0</v>
      </c>
      <c r="G1380" s="30" t="s">
        <v>3432</v>
      </c>
    </row>
    <row r="1381" customFormat="false" ht="15" hidden="false" customHeight="false" outlineLevel="0" collapsed="false">
      <c r="A1381" s="28" t="n">
        <v>38229</v>
      </c>
      <c r="B1381" s="28" t="n">
        <v>38235</v>
      </c>
      <c r="C1381" s="21" t="n">
        <v>0</v>
      </c>
      <c r="D1381" s="21" t="n">
        <v>0</v>
      </c>
      <c r="E1381" s="21" t="n">
        <v>0</v>
      </c>
      <c r="F1381" s="21" t="n">
        <v>0</v>
      </c>
      <c r="G1381" s="30" t="s">
        <v>3432</v>
      </c>
    </row>
    <row r="1382" customFormat="false" ht="15" hidden="false" customHeight="false" outlineLevel="0" collapsed="false">
      <c r="A1382" s="28" t="n">
        <v>38236</v>
      </c>
      <c r="B1382" s="28" t="n">
        <v>38242</v>
      </c>
      <c r="C1382" s="21" t="n">
        <v>0</v>
      </c>
      <c r="D1382" s="21" t="n">
        <v>0</v>
      </c>
      <c r="E1382" s="21" t="n">
        <v>0</v>
      </c>
      <c r="F1382" s="21" t="n">
        <v>0</v>
      </c>
      <c r="G1382" s="30" t="s">
        <v>3432</v>
      </c>
    </row>
    <row r="1383" customFormat="false" ht="15" hidden="false" customHeight="false" outlineLevel="0" collapsed="false">
      <c r="A1383" s="28" t="n">
        <v>38243</v>
      </c>
      <c r="B1383" s="28" t="n">
        <v>38249</v>
      </c>
      <c r="C1383" s="21" t="n">
        <v>0</v>
      </c>
      <c r="D1383" s="21" t="n">
        <v>0</v>
      </c>
      <c r="E1383" s="21" t="n">
        <v>0</v>
      </c>
      <c r="F1383" s="21" t="n">
        <v>0</v>
      </c>
      <c r="G1383" s="30" t="s">
        <v>3432</v>
      </c>
    </row>
    <row r="1384" customFormat="false" ht="15" hidden="false" customHeight="false" outlineLevel="0" collapsed="false">
      <c r="A1384" s="28" t="n">
        <v>38250</v>
      </c>
      <c r="B1384" s="28" t="n">
        <v>38256</v>
      </c>
      <c r="C1384" s="21" t="n">
        <v>0</v>
      </c>
      <c r="D1384" s="21" t="n">
        <v>0</v>
      </c>
      <c r="E1384" s="21" t="n">
        <v>0</v>
      </c>
      <c r="F1384" s="21" t="n">
        <v>0</v>
      </c>
      <c r="G1384" s="30" t="s">
        <v>3432</v>
      </c>
    </row>
    <row r="1385" customFormat="false" ht="15" hidden="false" customHeight="false" outlineLevel="0" collapsed="false">
      <c r="A1385" s="28" t="n">
        <v>38257</v>
      </c>
      <c r="B1385" s="28" t="n">
        <v>38263</v>
      </c>
      <c r="C1385" s="21" t="n">
        <v>0</v>
      </c>
      <c r="D1385" s="21" t="n">
        <v>0</v>
      </c>
      <c r="E1385" s="21" t="n">
        <v>0</v>
      </c>
      <c r="F1385" s="21" t="n">
        <v>0</v>
      </c>
      <c r="G1385" s="30" t="s">
        <v>3432</v>
      </c>
    </row>
    <row r="1386" customFormat="false" ht="15" hidden="false" customHeight="false" outlineLevel="0" collapsed="false">
      <c r="A1386" s="28" t="n">
        <v>38264</v>
      </c>
      <c r="B1386" s="28" t="n">
        <v>38270</v>
      </c>
      <c r="C1386" s="21" t="n">
        <v>0</v>
      </c>
      <c r="D1386" s="21" t="n">
        <v>0</v>
      </c>
      <c r="E1386" s="21" t="n">
        <v>0</v>
      </c>
      <c r="F1386" s="21" t="n">
        <v>0</v>
      </c>
      <c r="G1386" s="30" t="s">
        <v>3432</v>
      </c>
    </row>
    <row r="1387" customFormat="false" ht="15" hidden="false" customHeight="false" outlineLevel="0" collapsed="false">
      <c r="A1387" s="28" t="n">
        <v>38271</v>
      </c>
      <c r="B1387" s="28" t="n">
        <v>38277</v>
      </c>
      <c r="C1387" s="21" t="n">
        <v>0</v>
      </c>
      <c r="D1387" s="21" t="n">
        <v>0</v>
      </c>
      <c r="E1387" s="21" t="n">
        <v>0</v>
      </c>
      <c r="F1387" s="21" t="n">
        <v>0</v>
      </c>
      <c r="G1387" s="30" t="s">
        <v>3432</v>
      </c>
    </row>
    <row r="1388" customFormat="false" ht="15" hidden="false" customHeight="false" outlineLevel="0" collapsed="false">
      <c r="A1388" s="28" t="n">
        <v>38278</v>
      </c>
      <c r="B1388" s="28" t="n">
        <v>38284</v>
      </c>
      <c r="C1388" s="21" t="n">
        <v>0</v>
      </c>
      <c r="D1388" s="21" t="n">
        <v>0</v>
      </c>
      <c r="E1388" s="21" t="n">
        <v>0</v>
      </c>
      <c r="F1388" s="21" t="n">
        <v>0</v>
      </c>
      <c r="G1388" s="30" t="s">
        <v>3432</v>
      </c>
    </row>
    <row r="1389" customFormat="false" ht="15" hidden="false" customHeight="false" outlineLevel="0" collapsed="false">
      <c r="A1389" s="28" t="n">
        <v>38285</v>
      </c>
      <c r="B1389" s="28" t="n">
        <v>38291</v>
      </c>
      <c r="C1389" s="21" t="n">
        <v>0</v>
      </c>
      <c r="D1389" s="21" t="n">
        <v>0</v>
      </c>
      <c r="E1389" s="21" t="n">
        <v>0</v>
      </c>
      <c r="F1389" s="21" t="n">
        <v>0</v>
      </c>
      <c r="G1389" s="30" t="s">
        <v>3432</v>
      </c>
    </row>
    <row r="1390" customFormat="false" ht="15" hidden="false" customHeight="false" outlineLevel="0" collapsed="false">
      <c r="A1390" s="28" t="n">
        <v>38292</v>
      </c>
      <c r="B1390" s="28" t="n">
        <v>38298</v>
      </c>
      <c r="C1390" s="21" t="n">
        <v>0</v>
      </c>
      <c r="D1390" s="21" t="n">
        <v>0</v>
      </c>
      <c r="E1390" s="21" t="n">
        <v>0</v>
      </c>
      <c r="F1390" s="21" t="n">
        <v>0</v>
      </c>
      <c r="G1390" s="30" t="s">
        <v>3432</v>
      </c>
    </row>
    <row r="1391" customFormat="false" ht="15" hidden="false" customHeight="false" outlineLevel="0" collapsed="false">
      <c r="A1391" s="28" t="n">
        <v>38299</v>
      </c>
      <c r="B1391" s="28" t="n">
        <v>38305</v>
      </c>
      <c r="C1391" s="21" t="n">
        <v>0</v>
      </c>
      <c r="D1391" s="21" t="n">
        <v>0</v>
      </c>
      <c r="E1391" s="21" t="n">
        <v>0</v>
      </c>
      <c r="F1391" s="21" t="n">
        <v>0</v>
      </c>
      <c r="G1391" s="30" t="s">
        <v>3432</v>
      </c>
    </row>
    <row r="1392" customFormat="false" ht="15" hidden="false" customHeight="false" outlineLevel="0" collapsed="false">
      <c r="A1392" s="28" t="n">
        <v>38306</v>
      </c>
      <c r="B1392" s="28" t="n">
        <v>38312</v>
      </c>
      <c r="C1392" s="21" t="n">
        <v>0</v>
      </c>
      <c r="D1392" s="21" t="n">
        <v>0</v>
      </c>
      <c r="E1392" s="21" t="n">
        <v>0</v>
      </c>
      <c r="F1392" s="21" t="n">
        <v>0</v>
      </c>
      <c r="G1392" s="30" t="s">
        <v>3432</v>
      </c>
    </row>
    <row r="1393" customFormat="false" ht="15" hidden="false" customHeight="false" outlineLevel="0" collapsed="false">
      <c r="A1393" s="28" t="n">
        <v>38313</v>
      </c>
      <c r="B1393" s="28" t="n">
        <v>38319</v>
      </c>
      <c r="C1393" s="21" t="n">
        <v>0</v>
      </c>
      <c r="D1393" s="21" t="n">
        <v>0</v>
      </c>
      <c r="E1393" s="21" t="n">
        <v>0</v>
      </c>
      <c r="F1393" s="21" t="n">
        <v>0</v>
      </c>
      <c r="G1393" s="30" t="s">
        <v>3432</v>
      </c>
    </row>
    <row r="1394" customFormat="false" ht="15" hidden="false" customHeight="false" outlineLevel="0" collapsed="false">
      <c r="A1394" s="28" t="n">
        <v>38320</v>
      </c>
      <c r="B1394" s="28" t="n">
        <v>38326</v>
      </c>
      <c r="C1394" s="21" t="n">
        <v>0</v>
      </c>
      <c r="D1394" s="21" t="n">
        <v>0</v>
      </c>
      <c r="E1394" s="21" t="n">
        <v>0</v>
      </c>
      <c r="F1394" s="21" t="n">
        <v>0</v>
      </c>
      <c r="G1394" s="30" t="s">
        <v>3432</v>
      </c>
    </row>
    <row r="1395" customFormat="false" ht="15" hidden="false" customHeight="false" outlineLevel="0" collapsed="false">
      <c r="A1395" s="28" t="n">
        <v>38327</v>
      </c>
      <c r="B1395" s="28" t="n">
        <v>38333</v>
      </c>
      <c r="C1395" s="21" t="n">
        <v>0</v>
      </c>
      <c r="D1395" s="21" t="n">
        <v>0</v>
      </c>
      <c r="E1395" s="21" t="n">
        <v>0</v>
      </c>
      <c r="F1395" s="21" t="n">
        <v>0</v>
      </c>
      <c r="G1395" s="30" t="s">
        <v>3432</v>
      </c>
    </row>
    <row r="1396" customFormat="false" ht="15" hidden="false" customHeight="false" outlineLevel="0" collapsed="false">
      <c r="A1396" s="28" t="n">
        <v>38334</v>
      </c>
      <c r="B1396" s="28" t="n">
        <v>38340</v>
      </c>
      <c r="C1396" s="21" t="n">
        <v>0</v>
      </c>
      <c r="D1396" s="21" t="n">
        <v>0</v>
      </c>
      <c r="E1396" s="21" t="n">
        <v>0</v>
      </c>
      <c r="F1396" s="21" t="n">
        <v>0</v>
      </c>
      <c r="G1396" s="30" t="s">
        <v>3432</v>
      </c>
    </row>
    <row r="1397" customFormat="false" ht="15" hidden="false" customHeight="false" outlineLevel="0" collapsed="false">
      <c r="A1397" s="28" t="n">
        <v>38341</v>
      </c>
      <c r="B1397" s="28" t="n">
        <v>38347</v>
      </c>
      <c r="C1397" s="21" t="n">
        <v>0</v>
      </c>
      <c r="D1397" s="21" t="n">
        <v>0</v>
      </c>
      <c r="E1397" s="21" t="n">
        <v>0</v>
      </c>
      <c r="F1397" s="21" t="n">
        <v>0</v>
      </c>
      <c r="G1397" s="30" t="s">
        <v>3432</v>
      </c>
    </row>
    <row r="1398" customFormat="false" ht="15" hidden="false" customHeight="false" outlineLevel="0" collapsed="false">
      <c r="A1398" s="28" t="n">
        <v>38348</v>
      </c>
      <c r="B1398" s="28" t="n">
        <v>38354</v>
      </c>
      <c r="C1398" s="21" t="n">
        <v>0</v>
      </c>
      <c r="D1398" s="21" t="n">
        <v>0</v>
      </c>
      <c r="E1398" s="21" t="n">
        <v>0</v>
      </c>
      <c r="F1398" s="21" t="n">
        <v>0</v>
      </c>
      <c r="G1398" s="30" t="s">
        <v>3432</v>
      </c>
    </row>
    <row r="1399" customFormat="false" ht="15" hidden="false" customHeight="false" outlineLevel="0" collapsed="false">
      <c r="A1399" s="28" t="n">
        <v>38355</v>
      </c>
      <c r="B1399" s="28" t="n">
        <v>38361</v>
      </c>
      <c r="C1399" s="21" t="n">
        <v>0</v>
      </c>
      <c r="D1399" s="21" t="n">
        <v>0</v>
      </c>
      <c r="E1399" s="21" t="n">
        <v>0</v>
      </c>
      <c r="F1399" s="21" t="n">
        <v>0</v>
      </c>
      <c r="G1399" s="30" t="s">
        <v>3432</v>
      </c>
    </row>
    <row r="1400" customFormat="false" ht="15" hidden="false" customHeight="false" outlineLevel="0" collapsed="false">
      <c r="A1400" s="28" t="n">
        <v>38362</v>
      </c>
      <c r="B1400" s="28" t="n">
        <v>38368</v>
      </c>
      <c r="C1400" s="21" t="n">
        <v>0</v>
      </c>
      <c r="D1400" s="21" t="n">
        <v>0</v>
      </c>
      <c r="E1400" s="21" t="n">
        <v>0</v>
      </c>
      <c r="F1400" s="21" t="n">
        <v>0</v>
      </c>
      <c r="G1400" s="30" t="s">
        <v>3432</v>
      </c>
    </row>
    <row r="1401" customFormat="false" ht="15" hidden="false" customHeight="false" outlineLevel="0" collapsed="false">
      <c r="A1401" s="28" t="n">
        <v>38369</v>
      </c>
      <c r="B1401" s="28" t="n">
        <v>38375</v>
      </c>
      <c r="C1401" s="21" t="n">
        <v>0</v>
      </c>
      <c r="D1401" s="21" t="n">
        <v>0</v>
      </c>
      <c r="E1401" s="21" t="n">
        <v>0</v>
      </c>
      <c r="F1401" s="21" t="n">
        <v>0</v>
      </c>
      <c r="G1401" s="30" t="s">
        <v>3432</v>
      </c>
    </row>
    <row r="1402" customFormat="false" ht="15" hidden="false" customHeight="false" outlineLevel="0" collapsed="false">
      <c r="A1402" s="28" t="n">
        <v>38376</v>
      </c>
      <c r="B1402" s="28" t="n">
        <v>38382</v>
      </c>
      <c r="C1402" s="21" t="n">
        <v>0</v>
      </c>
      <c r="D1402" s="21" t="n">
        <v>0</v>
      </c>
      <c r="E1402" s="21" t="n">
        <v>0</v>
      </c>
      <c r="F1402" s="21" t="n">
        <v>0</v>
      </c>
      <c r="G1402" s="30" t="s">
        <v>3432</v>
      </c>
    </row>
    <row r="1403" customFormat="false" ht="15" hidden="false" customHeight="false" outlineLevel="0" collapsed="false">
      <c r="A1403" s="28" t="n">
        <v>38383</v>
      </c>
      <c r="B1403" s="28" t="n">
        <v>38389</v>
      </c>
      <c r="C1403" s="21" t="n">
        <v>0</v>
      </c>
      <c r="D1403" s="21" t="n">
        <v>0</v>
      </c>
      <c r="E1403" s="21" t="n">
        <v>0</v>
      </c>
      <c r="F1403" s="21" t="n">
        <v>0</v>
      </c>
      <c r="G1403" s="30" t="s">
        <v>3432</v>
      </c>
    </row>
    <row r="1404" customFormat="false" ht="15" hidden="false" customHeight="false" outlineLevel="0" collapsed="false">
      <c r="A1404" s="28" t="n">
        <v>38390</v>
      </c>
      <c r="B1404" s="28" t="n">
        <v>38396</v>
      </c>
      <c r="C1404" s="21" t="n">
        <v>0</v>
      </c>
      <c r="D1404" s="21" t="n">
        <v>0</v>
      </c>
      <c r="E1404" s="21" t="n">
        <v>0</v>
      </c>
      <c r="F1404" s="21" t="n">
        <v>0</v>
      </c>
      <c r="G1404" s="30" t="s">
        <v>3432</v>
      </c>
    </row>
    <row r="1405" customFormat="false" ht="15" hidden="false" customHeight="false" outlineLevel="0" collapsed="false">
      <c r="A1405" s="28" t="n">
        <v>38397</v>
      </c>
      <c r="B1405" s="28" t="n">
        <v>38403</v>
      </c>
      <c r="C1405" s="21" t="n">
        <v>0</v>
      </c>
      <c r="D1405" s="21" t="n">
        <v>0</v>
      </c>
      <c r="E1405" s="21" t="n">
        <v>0</v>
      </c>
      <c r="F1405" s="21" t="n">
        <v>0</v>
      </c>
      <c r="G1405" s="30" t="s">
        <v>3432</v>
      </c>
    </row>
    <row r="1406" customFormat="false" ht="15" hidden="false" customHeight="false" outlineLevel="0" collapsed="false">
      <c r="A1406" s="28" t="n">
        <v>38404</v>
      </c>
      <c r="B1406" s="28" t="n">
        <v>38410</v>
      </c>
      <c r="C1406" s="21" t="n">
        <v>0</v>
      </c>
      <c r="D1406" s="21" t="n">
        <v>0</v>
      </c>
      <c r="E1406" s="21" t="n">
        <v>0</v>
      </c>
      <c r="F1406" s="21" t="n">
        <v>0</v>
      </c>
      <c r="G1406" s="30" t="s">
        <v>3432</v>
      </c>
    </row>
    <row r="1407" customFormat="false" ht="15" hidden="false" customHeight="false" outlineLevel="0" collapsed="false">
      <c r="A1407" s="28" t="n">
        <v>38411</v>
      </c>
      <c r="B1407" s="28" t="n">
        <v>38417</v>
      </c>
      <c r="C1407" s="21" t="n">
        <v>0</v>
      </c>
      <c r="D1407" s="21" t="n">
        <v>0</v>
      </c>
      <c r="E1407" s="21" t="n">
        <v>0</v>
      </c>
      <c r="F1407" s="21" t="n">
        <v>0</v>
      </c>
      <c r="G1407" s="30" t="s">
        <v>3432</v>
      </c>
    </row>
    <row r="1408" customFormat="false" ht="15" hidden="false" customHeight="false" outlineLevel="0" collapsed="false">
      <c r="A1408" s="28" t="n">
        <v>38418</v>
      </c>
      <c r="B1408" s="28" t="n">
        <v>38424</v>
      </c>
      <c r="C1408" s="21" t="n">
        <v>0</v>
      </c>
      <c r="D1408" s="21" t="n">
        <v>0</v>
      </c>
      <c r="E1408" s="21" t="n">
        <v>0</v>
      </c>
      <c r="F1408" s="21" t="n">
        <v>0</v>
      </c>
      <c r="G1408" s="30" t="s">
        <v>3432</v>
      </c>
    </row>
    <row r="1409" customFormat="false" ht="15" hidden="false" customHeight="false" outlineLevel="0" collapsed="false">
      <c r="A1409" s="28" t="n">
        <v>38425</v>
      </c>
      <c r="B1409" s="28" t="n">
        <v>38431</v>
      </c>
      <c r="C1409" s="21" t="n">
        <v>0</v>
      </c>
      <c r="D1409" s="21" t="n">
        <v>0</v>
      </c>
      <c r="E1409" s="21" t="n">
        <v>0</v>
      </c>
      <c r="F1409" s="21" t="n">
        <v>0</v>
      </c>
      <c r="G1409" s="30" t="s">
        <v>3432</v>
      </c>
    </row>
    <row r="1410" customFormat="false" ht="15" hidden="false" customHeight="false" outlineLevel="0" collapsed="false">
      <c r="A1410" s="28" t="n">
        <v>38432</v>
      </c>
      <c r="B1410" s="28" t="n">
        <v>38438</v>
      </c>
      <c r="C1410" s="21" t="n">
        <v>0</v>
      </c>
      <c r="D1410" s="21" t="n">
        <v>0</v>
      </c>
      <c r="E1410" s="21" t="n">
        <v>0</v>
      </c>
      <c r="F1410" s="21" t="n">
        <v>0</v>
      </c>
      <c r="G1410" s="30" t="s">
        <v>3432</v>
      </c>
    </row>
    <row r="1411" customFormat="false" ht="15" hidden="false" customHeight="false" outlineLevel="0" collapsed="false">
      <c r="A1411" s="28" t="n">
        <v>38439</v>
      </c>
      <c r="B1411" s="28" t="n">
        <v>38445</v>
      </c>
      <c r="C1411" s="21" t="n">
        <v>0</v>
      </c>
      <c r="D1411" s="21" t="n">
        <v>0</v>
      </c>
      <c r="E1411" s="21" t="n">
        <v>0</v>
      </c>
      <c r="F1411" s="21" t="n">
        <v>0</v>
      </c>
      <c r="G1411" s="30" t="s">
        <v>3432</v>
      </c>
    </row>
    <row r="1412" customFormat="false" ht="15" hidden="false" customHeight="false" outlineLevel="0" collapsed="false">
      <c r="A1412" s="28" t="n">
        <v>38446</v>
      </c>
      <c r="B1412" s="28" t="n">
        <v>38452</v>
      </c>
      <c r="C1412" s="21" t="n">
        <v>0</v>
      </c>
      <c r="D1412" s="21" t="n">
        <v>0</v>
      </c>
      <c r="E1412" s="21" t="n">
        <v>0</v>
      </c>
      <c r="F1412" s="21" t="n">
        <v>0</v>
      </c>
      <c r="G1412" s="30" t="s">
        <v>3432</v>
      </c>
    </row>
    <row r="1413" customFormat="false" ht="15" hidden="false" customHeight="false" outlineLevel="0" collapsed="false">
      <c r="A1413" s="28" t="n">
        <v>38453</v>
      </c>
      <c r="B1413" s="28" t="n">
        <v>38459</v>
      </c>
      <c r="C1413" s="21" t="n">
        <v>0</v>
      </c>
      <c r="D1413" s="21" t="n">
        <v>0</v>
      </c>
      <c r="E1413" s="21" t="n">
        <v>0</v>
      </c>
      <c r="F1413" s="21" t="n">
        <v>0</v>
      </c>
      <c r="G1413" s="30" t="s">
        <v>3432</v>
      </c>
    </row>
    <row r="1414" customFormat="false" ht="15" hidden="false" customHeight="false" outlineLevel="0" collapsed="false">
      <c r="A1414" s="28" t="n">
        <v>38460</v>
      </c>
      <c r="B1414" s="28" t="n">
        <v>38466</v>
      </c>
      <c r="C1414" s="21" t="n">
        <v>0</v>
      </c>
      <c r="D1414" s="21" t="n">
        <v>0</v>
      </c>
      <c r="E1414" s="21" t="n">
        <v>0</v>
      </c>
      <c r="F1414" s="21" t="n">
        <v>0</v>
      </c>
      <c r="G1414" s="30" t="s">
        <v>3432</v>
      </c>
    </row>
    <row r="1415" customFormat="false" ht="15" hidden="false" customHeight="false" outlineLevel="0" collapsed="false">
      <c r="A1415" s="28" t="n">
        <v>38467</v>
      </c>
      <c r="B1415" s="28" t="n">
        <v>38473</v>
      </c>
      <c r="C1415" s="21" t="n">
        <v>0</v>
      </c>
      <c r="D1415" s="21" t="n">
        <v>0</v>
      </c>
      <c r="E1415" s="21" t="n">
        <v>0</v>
      </c>
      <c r="F1415" s="21" t="n">
        <v>0</v>
      </c>
      <c r="G1415" s="30" t="s">
        <v>3432</v>
      </c>
    </row>
    <row r="1416" customFormat="false" ht="15" hidden="false" customHeight="false" outlineLevel="0" collapsed="false">
      <c r="A1416" s="28" t="n">
        <v>38474</v>
      </c>
      <c r="B1416" s="28" t="n">
        <v>38480</v>
      </c>
      <c r="C1416" s="21" t="n">
        <v>0</v>
      </c>
      <c r="D1416" s="21" t="n">
        <v>0</v>
      </c>
      <c r="E1416" s="21" t="n">
        <v>0</v>
      </c>
      <c r="F1416" s="21" t="n">
        <v>0</v>
      </c>
      <c r="G1416" s="30" t="s">
        <v>3432</v>
      </c>
    </row>
    <row r="1417" customFormat="false" ht="15" hidden="false" customHeight="false" outlineLevel="0" collapsed="false">
      <c r="A1417" s="28" t="n">
        <v>38481</v>
      </c>
      <c r="B1417" s="28" t="n">
        <v>38487</v>
      </c>
      <c r="C1417" s="21" t="n">
        <v>0</v>
      </c>
      <c r="D1417" s="21" t="n">
        <v>0</v>
      </c>
      <c r="E1417" s="21" t="n">
        <v>0</v>
      </c>
      <c r="F1417" s="21" t="n">
        <v>0</v>
      </c>
      <c r="G1417" s="30" t="s">
        <v>3432</v>
      </c>
    </row>
    <row r="1418" customFormat="false" ht="15" hidden="false" customHeight="false" outlineLevel="0" collapsed="false">
      <c r="A1418" s="28" t="n">
        <v>38488</v>
      </c>
      <c r="B1418" s="28" t="n">
        <v>38494</v>
      </c>
      <c r="C1418" s="21" t="n">
        <v>0</v>
      </c>
      <c r="D1418" s="21" t="n">
        <v>0</v>
      </c>
      <c r="E1418" s="21" t="n">
        <v>0</v>
      </c>
      <c r="F1418" s="21" t="n">
        <v>0</v>
      </c>
      <c r="G1418" s="30" t="s">
        <v>3432</v>
      </c>
    </row>
    <row r="1419" customFormat="false" ht="15" hidden="false" customHeight="false" outlineLevel="0" collapsed="false">
      <c r="A1419" s="28" t="n">
        <v>38495</v>
      </c>
      <c r="B1419" s="28" t="n">
        <v>38501</v>
      </c>
      <c r="C1419" s="21" t="n">
        <v>0</v>
      </c>
      <c r="D1419" s="21" t="n">
        <v>0</v>
      </c>
      <c r="E1419" s="21" t="n">
        <v>0</v>
      </c>
      <c r="F1419" s="21" t="n">
        <v>0</v>
      </c>
      <c r="G1419" s="30" t="s">
        <v>3432</v>
      </c>
    </row>
    <row r="1420" customFormat="false" ht="15" hidden="false" customHeight="false" outlineLevel="0" collapsed="false">
      <c r="A1420" s="28" t="n">
        <v>38502</v>
      </c>
      <c r="B1420" s="28" t="n">
        <v>38508</v>
      </c>
      <c r="C1420" s="21" t="n">
        <v>0</v>
      </c>
      <c r="D1420" s="21" t="n">
        <v>0</v>
      </c>
      <c r="E1420" s="21" t="n">
        <v>0</v>
      </c>
      <c r="F1420" s="21" t="n">
        <v>0</v>
      </c>
      <c r="G1420" s="30" t="s">
        <v>3432</v>
      </c>
    </row>
    <row r="1421" customFormat="false" ht="15" hidden="false" customHeight="false" outlineLevel="0" collapsed="false">
      <c r="A1421" s="28" t="n">
        <v>38509</v>
      </c>
      <c r="B1421" s="28" t="n">
        <v>38515</v>
      </c>
      <c r="C1421" s="21" t="n">
        <v>0</v>
      </c>
      <c r="D1421" s="21" t="n">
        <v>0</v>
      </c>
      <c r="E1421" s="21" t="n">
        <v>0</v>
      </c>
      <c r="F1421" s="21" t="n">
        <v>0</v>
      </c>
      <c r="G1421" s="30" t="s">
        <v>3432</v>
      </c>
    </row>
    <row r="1422" customFormat="false" ht="15" hidden="false" customHeight="false" outlineLevel="0" collapsed="false">
      <c r="A1422" s="28" t="n">
        <v>38516</v>
      </c>
      <c r="B1422" s="28" t="n">
        <v>38522</v>
      </c>
      <c r="C1422" s="21" t="n">
        <v>0</v>
      </c>
      <c r="D1422" s="21" t="n">
        <v>0</v>
      </c>
      <c r="E1422" s="21" t="n">
        <v>0</v>
      </c>
      <c r="F1422" s="21" t="n">
        <v>0</v>
      </c>
      <c r="G1422" s="30" t="s">
        <v>3432</v>
      </c>
    </row>
    <row r="1423" customFormat="false" ht="15" hidden="false" customHeight="false" outlineLevel="0" collapsed="false">
      <c r="A1423" s="28" t="n">
        <v>38523</v>
      </c>
      <c r="B1423" s="28" t="n">
        <v>38529</v>
      </c>
      <c r="C1423" s="21" t="n">
        <v>0</v>
      </c>
      <c r="D1423" s="21" t="n">
        <v>0</v>
      </c>
      <c r="E1423" s="21" t="n">
        <v>0</v>
      </c>
      <c r="F1423" s="21" t="n">
        <v>0</v>
      </c>
      <c r="G1423" s="30" t="s">
        <v>3432</v>
      </c>
    </row>
    <row r="1424" customFormat="false" ht="15" hidden="false" customHeight="false" outlineLevel="0" collapsed="false">
      <c r="A1424" s="28" t="n">
        <v>38530</v>
      </c>
      <c r="B1424" s="28" t="n">
        <v>38536</v>
      </c>
      <c r="C1424" s="21" t="n">
        <v>0</v>
      </c>
      <c r="D1424" s="21" t="n">
        <v>0</v>
      </c>
      <c r="E1424" s="21" t="n">
        <v>0</v>
      </c>
      <c r="F1424" s="21" t="n">
        <v>0</v>
      </c>
      <c r="G1424" s="30" t="s">
        <v>3432</v>
      </c>
    </row>
    <row r="1425" customFormat="false" ht="15" hidden="false" customHeight="false" outlineLevel="0" collapsed="false">
      <c r="A1425" s="28" t="n">
        <v>38537</v>
      </c>
      <c r="B1425" s="28" t="n">
        <v>38543</v>
      </c>
      <c r="C1425" s="21" t="n">
        <v>0</v>
      </c>
      <c r="D1425" s="21" t="n">
        <v>0</v>
      </c>
      <c r="E1425" s="21" t="n">
        <v>0</v>
      </c>
      <c r="F1425" s="21" t="n">
        <v>0</v>
      </c>
      <c r="G1425" s="30" t="s">
        <v>3432</v>
      </c>
    </row>
    <row r="1426" customFormat="false" ht="15" hidden="false" customHeight="false" outlineLevel="0" collapsed="false">
      <c r="A1426" s="28" t="n">
        <v>38544</v>
      </c>
      <c r="B1426" s="28" t="n">
        <v>38550</v>
      </c>
      <c r="C1426" s="21" t="n">
        <v>0</v>
      </c>
      <c r="D1426" s="21" t="n">
        <v>0</v>
      </c>
      <c r="E1426" s="21" t="n">
        <v>0</v>
      </c>
      <c r="F1426" s="21" t="n">
        <v>0</v>
      </c>
      <c r="G1426" s="30" t="s">
        <v>3432</v>
      </c>
    </row>
    <row r="1427" customFormat="false" ht="15" hidden="false" customHeight="false" outlineLevel="0" collapsed="false">
      <c r="A1427" s="28" t="n">
        <v>38551</v>
      </c>
      <c r="B1427" s="28" t="n">
        <v>38557</v>
      </c>
      <c r="C1427" s="21" t="n">
        <v>0</v>
      </c>
      <c r="D1427" s="21" t="n">
        <v>0</v>
      </c>
      <c r="E1427" s="21" t="n">
        <v>0</v>
      </c>
      <c r="F1427" s="21" t="n">
        <v>0</v>
      </c>
      <c r="G1427" s="30" t="s">
        <v>3432</v>
      </c>
    </row>
    <row r="1428" customFormat="false" ht="15" hidden="false" customHeight="false" outlineLevel="0" collapsed="false">
      <c r="A1428" s="28" t="n">
        <v>38558</v>
      </c>
      <c r="B1428" s="28" t="n">
        <v>38564</v>
      </c>
      <c r="C1428" s="21" t="n">
        <v>0</v>
      </c>
      <c r="D1428" s="21" t="n">
        <v>0</v>
      </c>
      <c r="E1428" s="21" t="n">
        <v>0</v>
      </c>
      <c r="F1428" s="21" t="n">
        <v>0</v>
      </c>
      <c r="G1428" s="30" t="s">
        <v>3432</v>
      </c>
    </row>
    <row r="1429" customFormat="false" ht="15" hidden="false" customHeight="false" outlineLevel="0" collapsed="false">
      <c r="A1429" s="28" t="n">
        <v>38565</v>
      </c>
      <c r="B1429" s="28" t="n">
        <v>38571</v>
      </c>
      <c r="C1429" s="21" t="n">
        <v>0</v>
      </c>
      <c r="D1429" s="21" t="n">
        <v>0</v>
      </c>
      <c r="E1429" s="21" t="n">
        <v>0</v>
      </c>
      <c r="F1429" s="21" t="n">
        <v>0</v>
      </c>
      <c r="G1429" s="30" t="s">
        <v>3432</v>
      </c>
    </row>
    <row r="1430" customFormat="false" ht="15" hidden="false" customHeight="false" outlineLevel="0" collapsed="false">
      <c r="A1430" s="28" t="n">
        <v>38572</v>
      </c>
      <c r="B1430" s="28" t="n">
        <v>38578</v>
      </c>
      <c r="C1430" s="21" t="n">
        <v>0</v>
      </c>
      <c r="D1430" s="21" t="n">
        <v>0</v>
      </c>
      <c r="E1430" s="21" t="n">
        <v>0</v>
      </c>
      <c r="F1430" s="21" t="n">
        <v>0</v>
      </c>
      <c r="G1430" s="30" t="s">
        <v>3432</v>
      </c>
    </row>
    <row r="1431" customFormat="false" ht="15" hidden="false" customHeight="false" outlineLevel="0" collapsed="false">
      <c r="A1431" s="28" t="n">
        <v>38579</v>
      </c>
      <c r="B1431" s="28" t="n">
        <v>38585</v>
      </c>
      <c r="C1431" s="21" t="n">
        <v>0</v>
      </c>
      <c r="D1431" s="21" t="n">
        <v>0</v>
      </c>
      <c r="E1431" s="21" t="n">
        <v>0</v>
      </c>
      <c r="F1431" s="21" t="n">
        <v>0</v>
      </c>
      <c r="G1431" s="30" t="s">
        <v>3432</v>
      </c>
    </row>
    <row r="1432" customFormat="false" ht="15" hidden="false" customHeight="false" outlineLevel="0" collapsed="false">
      <c r="A1432" s="28" t="n">
        <v>38586</v>
      </c>
      <c r="B1432" s="28" t="n">
        <v>38592</v>
      </c>
      <c r="C1432" s="21" t="n">
        <v>0</v>
      </c>
      <c r="D1432" s="21" t="n">
        <v>0</v>
      </c>
      <c r="E1432" s="21" t="n">
        <v>0</v>
      </c>
      <c r="F1432" s="21" t="n">
        <v>0</v>
      </c>
      <c r="G1432" s="30" t="s">
        <v>3432</v>
      </c>
    </row>
    <row r="1433" customFormat="false" ht="15" hidden="false" customHeight="false" outlineLevel="0" collapsed="false">
      <c r="A1433" s="28" t="n">
        <v>38593</v>
      </c>
      <c r="B1433" s="28" t="n">
        <v>38599</v>
      </c>
      <c r="C1433" s="21" t="n">
        <v>0</v>
      </c>
      <c r="D1433" s="21" t="n">
        <v>0</v>
      </c>
      <c r="E1433" s="21" t="n">
        <v>0</v>
      </c>
      <c r="F1433" s="21" t="n">
        <v>0</v>
      </c>
      <c r="G1433" s="30" t="s">
        <v>3432</v>
      </c>
    </row>
    <row r="1434" customFormat="false" ht="15" hidden="false" customHeight="false" outlineLevel="0" collapsed="false">
      <c r="A1434" s="28" t="n">
        <v>38600</v>
      </c>
      <c r="B1434" s="28" t="n">
        <v>38606</v>
      </c>
      <c r="C1434" s="21" t="n">
        <v>0</v>
      </c>
      <c r="D1434" s="21" t="n">
        <v>0</v>
      </c>
      <c r="E1434" s="21" t="n">
        <v>0</v>
      </c>
      <c r="F1434" s="21" t="n">
        <v>0</v>
      </c>
      <c r="G1434" s="30" t="s">
        <v>3432</v>
      </c>
    </row>
    <row r="1435" customFormat="false" ht="15" hidden="false" customHeight="false" outlineLevel="0" collapsed="false">
      <c r="A1435" s="28" t="n">
        <v>38607</v>
      </c>
      <c r="B1435" s="28" t="n">
        <v>38613</v>
      </c>
      <c r="C1435" s="21" t="n">
        <v>0</v>
      </c>
      <c r="D1435" s="21" t="n">
        <v>0</v>
      </c>
      <c r="E1435" s="21" t="n">
        <v>0</v>
      </c>
      <c r="F1435" s="21" t="n">
        <v>0</v>
      </c>
      <c r="G1435" s="30" t="s">
        <v>3432</v>
      </c>
    </row>
    <row r="1436" customFormat="false" ht="15" hidden="false" customHeight="false" outlineLevel="0" collapsed="false">
      <c r="A1436" s="28" t="n">
        <v>38614</v>
      </c>
      <c r="B1436" s="28" t="n">
        <v>38620</v>
      </c>
      <c r="C1436" s="21" t="n">
        <v>0</v>
      </c>
      <c r="D1436" s="21" t="n">
        <v>0</v>
      </c>
      <c r="E1436" s="21" t="n">
        <v>0</v>
      </c>
      <c r="F1436" s="21" t="n">
        <v>0</v>
      </c>
      <c r="G1436" s="30" t="s">
        <v>3432</v>
      </c>
    </row>
    <row r="1437" customFormat="false" ht="15" hidden="false" customHeight="false" outlineLevel="0" collapsed="false">
      <c r="A1437" s="28" t="n">
        <v>38621</v>
      </c>
      <c r="B1437" s="28" t="n">
        <v>38627</v>
      </c>
      <c r="C1437" s="21" t="n">
        <v>0</v>
      </c>
      <c r="D1437" s="21" t="n">
        <v>0</v>
      </c>
      <c r="E1437" s="21" t="n">
        <v>0</v>
      </c>
      <c r="F1437" s="21" t="n">
        <v>0</v>
      </c>
      <c r="G1437" s="30" t="s">
        <v>3432</v>
      </c>
    </row>
    <row r="1438" customFormat="false" ht="15" hidden="false" customHeight="false" outlineLevel="0" collapsed="false">
      <c r="A1438" s="28" t="n">
        <v>38628</v>
      </c>
      <c r="B1438" s="28" t="n">
        <v>38634</v>
      </c>
      <c r="C1438" s="21" t="n">
        <v>0</v>
      </c>
      <c r="D1438" s="21" t="n">
        <v>0</v>
      </c>
      <c r="E1438" s="21" t="n">
        <v>0</v>
      </c>
      <c r="F1438" s="21" t="n">
        <v>0</v>
      </c>
      <c r="G1438" s="30" t="s">
        <v>3432</v>
      </c>
    </row>
    <row r="1439" customFormat="false" ht="15" hidden="false" customHeight="false" outlineLevel="0" collapsed="false">
      <c r="A1439" s="28" t="n">
        <v>38635</v>
      </c>
      <c r="B1439" s="28" t="n">
        <v>38641</v>
      </c>
      <c r="C1439" s="21" t="n">
        <v>0</v>
      </c>
      <c r="D1439" s="21" t="n">
        <v>0</v>
      </c>
      <c r="E1439" s="21" t="n">
        <v>0</v>
      </c>
      <c r="F1439" s="21" t="n">
        <v>0</v>
      </c>
      <c r="G1439" s="30" t="s">
        <v>3432</v>
      </c>
    </row>
    <row r="1440" customFormat="false" ht="15" hidden="false" customHeight="false" outlineLevel="0" collapsed="false">
      <c r="A1440" s="28" t="n">
        <v>38642</v>
      </c>
      <c r="B1440" s="28" t="n">
        <v>38648</v>
      </c>
      <c r="C1440" s="21" t="n">
        <v>0</v>
      </c>
      <c r="D1440" s="21" t="n">
        <v>0</v>
      </c>
      <c r="E1440" s="21" t="n">
        <v>0</v>
      </c>
      <c r="F1440" s="21" t="n">
        <v>0</v>
      </c>
      <c r="G1440" s="30" t="s">
        <v>3432</v>
      </c>
    </row>
    <row r="1441" customFormat="false" ht="15" hidden="false" customHeight="false" outlineLevel="0" collapsed="false">
      <c r="A1441" s="28" t="n">
        <v>38649</v>
      </c>
      <c r="B1441" s="28" t="n">
        <v>38655</v>
      </c>
      <c r="C1441" s="21" t="n">
        <v>0</v>
      </c>
      <c r="D1441" s="21" t="n">
        <v>0</v>
      </c>
      <c r="E1441" s="21" t="n">
        <v>0</v>
      </c>
      <c r="F1441" s="21" t="n">
        <v>0</v>
      </c>
      <c r="G1441" s="30" t="s">
        <v>3432</v>
      </c>
    </row>
    <row r="1442" customFormat="false" ht="15" hidden="false" customHeight="false" outlineLevel="0" collapsed="false">
      <c r="A1442" s="28" t="n">
        <v>38656</v>
      </c>
      <c r="B1442" s="28" t="n">
        <v>38662</v>
      </c>
      <c r="C1442" s="21" t="n">
        <v>0</v>
      </c>
      <c r="D1442" s="21" t="n">
        <v>0</v>
      </c>
      <c r="E1442" s="21" t="n">
        <v>0</v>
      </c>
      <c r="F1442" s="21" t="n">
        <v>0</v>
      </c>
      <c r="G1442" s="30" t="s">
        <v>3432</v>
      </c>
    </row>
    <row r="1443" customFormat="false" ht="15" hidden="false" customHeight="false" outlineLevel="0" collapsed="false">
      <c r="A1443" s="28" t="n">
        <v>38663</v>
      </c>
      <c r="B1443" s="28" t="n">
        <v>38669</v>
      </c>
      <c r="C1443" s="21" t="n">
        <v>0</v>
      </c>
      <c r="D1443" s="21" t="n">
        <v>0</v>
      </c>
      <c r="E1443" s="21" t="n">
        <v>0</v>
      </c>
      <c r="F1443" s="21" t="n">
        <v>0</v>
      </c>
      <c r="G1443" s="30" t="s">
        <v>3432</v>
      </c>
    </row>
    <row r="1444" customFormat="false" ht="15" hidden="false" customHeight="false" outlineLevel="0" collapsed="false">
      <c r="A1444" s="28" t="n">
        <v>38670</v>
      </c>
      <c r="B1444" s="28" t="n">
        <v>38676</v>
      </c>
      <c r="C1444" s="21" t="n">
        <v>0</v>
      </c>
      <c r="D1444" s="21" t="n">
        <v>0</v>
      </c>
      <c r="E1444" s="21" t="n">
        <v>0</v>
      </c>
      <c r="F1444" s="21" t="n">
        <v>0</v>
      </c>
      <c r="G1444" s="30" t="s">
        <v>3432</v>
      </c>
    </row>
    <row r="1445" customFormat="false" ht="15" hidden="false" customHeight="false" outlineLevel="0" collapsed="false">
      <c r="A1445" s="28" t="n">
        <v>38677</v>
      </c>
      <c r="B1445" s="28" t="n">
        <v>38683</v>
      </c>
      <c r="C1445" s="21" t="n">
        <v>0</v>
      </c>
      <c r="D1445" s="21" t="n">
        <v>0</v>
      </c>
      <c r="E1445" s="21" t="n">
        <v>0</v>
      </c>
      <c r="F1445" s="21" t="n">
        <v>0</v>
      </c>
      <c r="G1445" s="30" t="s">
        <v>3432</v>
      </c>
    </row>
    <row r="1446" customFormat="false" ht="15" hidden="false" customHeight="false" outlineLevel="0" collapsed="false">
      <c r="A1446" s="28" t="n">
        <v>38684</v>
      </c>
      <c r="B1446" s="28" t="n">
        <v>38690</v>
      </c>
      <c r="C1446" s="21" t="n">
        <v>0</v>
      </c>
      <c r="D1446" s="21" t="n">
        <v>0</v>
      </c>
      <c r="E1446" s="21" t="n">
        <v>0</v>
      </c>
      <c r="F1446" s="21" t="n">
        <v>0</v>
      </c>
      <c r="G1446" s="30" t="s">
        <v>3432</v>
      </c>
    </row>
    <row r="1447" customFormat="false" ht="15" hidden="false" customHeight="false" outlineLevel="0" collapsed="false">
      <c r="A1447" s="28" t="n">
        <v>38691</v>
      </c>
      <c r="B1447" s="28" t="n">
        <v>38697</v>
      </c>
      <c r="C1447" s="21" t="n">
        <v>0</v>
      </c>
      <c r="D1447" s="21" t="n">
        <v>0</v>
      </c>
      <c r="E1447" s="21" t="n">
        <v>0</v>
      </c>
      <c r="F1447" s="21" t="n">
        <v>0</v>
      </c>
      <c r="G1447" s="30" t="s">
        <v>3432</v>
      </c>
    </row>
    <row r="1448" customFormat="false" ht="15" hidden="false" customHeight="false" outlineLevel="0" collapsed="false">
      <c r="A1448" s="28" t="n">
        <v>38698</v>
      </c>
      <c r="B1448" s="28" t="n">
        <v>38704</v>
      </c>
      <c r="C1448" s="21" t="n">
        <v>0</v>
      </c>
      <c r="D1448" s="21" t="n">
        <v>0</v>
      </c>
      <c r="E1448" s="21" t="n">
        <v>0</v>
      </c>
      <c r="F1448" s="21" t="n">
        <v>0</v>
      </c>
      <c r="G1448" s="30" t="s">
        <v>3432</v>
      </c>
    </row>
    <row r="1449" customFormat="false" ht="15" hidden="false" customHeight="false" outlineLevel="0" collapsed="false">
      <c r="A1449" s="28" t="n">
        <v>38705</v>
      </c>
      <c r="B1449" s="28" t="n">
        <v>38711</v>
      </c>
      <c r="C1449" s="21" t="n">
        <v>0</v>
      </c>
      <c r="D1449" s="21" t="n">
        <v>0</v>
      </c>
      <c r="E1449" s="21" t="n">
        <v>0</v>
      </c>
      <c r="F1449" s="21" t="n">
        <v>0</v>
      </c>
      <c r="G1449" s="30" t="s">
        <v>3432</v>
      </c>
    </row>
    <row r="1450" customFormat="false" ht="15" hidden="false" customHeight="false" outlineLevel="0" collapsed="false">
      <c r="A1450" s="28" t="n">
        <v>38712</v>
      </c>
      <c r="B1450" s="28" t="n">
        <v>38718</v>
      </c>
      <c r="C1450" s="21" t="n">
        <v>0</v>
      </c>
      <c r="D1450" s="21" t="n">
        <v>0</v>
      </c>
      <c r="E1450" s="21" t="n">
        <v>0</v>
      </c>
      <c r="F1450" s="21" t="n">
        <v>0</v>
      </c>
      <c r="G1450" s="30" t="s">
        <v>3432</v>
      </c>
    </row>
    <row r="1451" customFormat="false" ht="15" hidden="false" customHeight="false" outlineLevel="0" collapsed="false">
      <c r="A1451" s="28" t="n">
        <v>38719</v>
      </c>
      <c r="B1451" s="28" t="n">
        <v>38725</v>
      </c>
      <c r="C1451" s="21" t="n">
        <v>0</v>
      </c>
      <c r="D1451" s="21" t="n">
        <v>0</v>
      </c>
      <c r="E1451" s="21" t="n">
        <v>0</v>
      </c>
      <c r="F1451" s="21" t="n">
        <v>0</v>
      </c>
      <c r="G1451" s="30" t="s">
        <v>3432</v>
      </c>
    </row>
    <row r="1452" customFormat="false" ht="15" hidden="false" customHeight="false" outlineLevel="0" collapsed="false">
      <c r="A1452" s="28" t="n">
        <v>38726</v>
      </c>
      <c r="B1452" s="28" t="n">
        <v>38732</v>
      </c>
      <c r="C1452" s="21" t="n">
        <v>0</v>
      </c>
      <c r="D1452" s="21" t="n">
        <v>0</v>
      </c>
      <c r="E1452" s="21" t="n">
        <v>0</v>
      </c>
      <c r="F1452" s="21" t="n">
        <v>0</v>
      </c>
      <c r="G1452" s="30" t="s">
        <v>3432</v>
      </c>
    </row>
    <row r="1453" customFormat="false" ht="15" hidden="false" customHeight="false" outlineLevel="0" collapsed="false">
      <c r="A1453" s="28" t="n">
        <v>38733</v>
      </c>
      <c r="B1453" s="28" t="n">
        <v>38739</v>
      </c>
      <c r="C1453" s="21" t="n">
        <v>0</v>
      </c>
      <c r="D1453" s="21" t="n">
        <v>0</v>
      </c>
      <c r="E1453" s="21" t="n">
        <v>0</v>
      </c>
      <c r="F1453" s="21" t="n">
        <v>0</v>
      </c>
      <c r="G1453" s="30" t="s">
        <v>3432</v>
      </c>
    </row>
    <row r="1454" customFormat="false" ht="15" hidden="false" customHeight="false" outlineLevel="0" collapsed="false">
      <c r="A1454" s="28" t="n">
        <v>38740</v>
      </c>
      <c r="B1454" s="28" t="n">
        <v>38746</v>
      </c>
      <c r="C1454" s="21" t="n">
        <v>0</v>
      </c>
      <c r="D1454" s="21" t="n">
        <v>0</v>
      </c>
      <c r="E1454" s="21" t="n">
        <v>0</v>
      </c>
      <c r="F1454" s="21" t="n">
        <v>0</v>
      </c>
      <c r="G1454" s="30" t="s">
        <v>3432</v>
      </c>
    </row>
    <row r="1455" customFormat="false" ht="15" hidden="false" customHeight="false" outlineLevel="0" collapsed="false">
      <c r="A1455" s="28" t="n">
        <v>38747</v>
      </c>
      <c r="B1455" s="28" t="n">
        <v>38753</v>
      </c>
      <c r="C1455" s="21" t="n">
        <v>0</v>
      </c>
      <c r="D1455" s="21" t="n">
        <v>0</v>
      </c>
      <c r="E1455" s="21" t="n">
        <v>0</v>
      </c>
      <c r="F1455" s="21" t="n">
        <v>0</v>
      </c>
      <c r="G1455" s="30" t="s">
        <v>3432</v>
      </c>
    </row>
    <row r="1456" customFormat="false" ht="15" hidden="false" customHeight="false" outlineLevel="0" collapsed="false">
      <c r="A1456" s="28" t="n">
        <v>38754</v>
      </c>
      <c r="B1456" s="28" t="n">
        <v>38760</v>
      </c>
      <c r="C1456" s="21" t="n">
        <v>0</v>
      </c>
      <c r="D1456" s="21" t="n">
        <v>0</v>
      </c>
      <c r="E1456" s="21" t="n">
        <v>0</v>
      </c>
      <c r="F1456" s="21" t="n">
        <v>0</v>
      </c>
      <c r="G1456" s="30" t="s">
        <v>3432</v>
      </c>
    </row>
    <row r="1457" customFormat="false" ht="15" hidden="false" customHeight="false" outlineLevel="0" collapsed="false">
      <c r="A1457" s="28" t="n">
        <v>38761</v>
      </c>
      <c r="B1457" s="28" t="n">
        <v>38767</v>
      </c>
      <c r="C1457" s="21" t="n">
        <v>0</v>
      </c>
      <c r="D1457" s="21" t="n">
        <v>0</v>
      </c>
      <c r="E1457" s="21" t="n">
        <v>0</v>
      </c>
      <c r="F1457" s="21" t="n">
        <v>0</v>
      </c>
      <c r="G1457" s="30" t="s">
        <v>3432</v>
      </c>
    </row>
    <row r="1458" customFormat="false" ht="15" hidden="false" customHeight="false" outlineLevel="0" collapsed="false">
      <c r="A1458" s="28" t="n">
        <v>38768</v>
      </c>
      <c r="B1458" s="28" t="n">
        <v>38774</v>
      </c>
      <c r="C1458" s="21" t="n">
        <v>0</v>
      </c>
      <c r="D1458" s="21" t="n">
        <v>0</v>
      </c>
      <c r="E1458" s="21" t="n">
        <v>0</v>
      </c>
      <c r="F1458" s="21" t="n">
        <v>0</v>
      </c>
      <c r="G1458" s="30" t="s">
        <v>3432</v>
      </c>
    </row>
    <row r="1459" customFormat="false" ht="15" hidden="false" customHeight="false" outlineLevel="0" collapsed="false">
      <c r="A1459" s="28" t="n">
        <v>38775</v>
      </c>
      <c r="B1459" s="28" t="n">
        <v>38781</v>
      </c>
      <c r="C1459" s="21" t="n">
        <v>0</v>
      </c>
      <c r="D1459" s="21" t="n">
        <v>0</v>
      </c>
      <c r="E1459" s="21" t="n">
        <v>0</v>
      </c>
      <c r="F1459" s="21" t="n">
        <v>0</v>
      </c>
      <c r="G1459" s="30" t="s">
        <v>3432</v>
      </c>
    </row>
    <row r="1460" customFormat="false" ht="15" hidden="false" customHeight="false" outlineLevel="0" collapsed="false">
      <c r="A1460" s="28" t="n">
        <v>38782</v>
      </c>
      <c r="B1460" s="28" t="n">
        <v>38788</v>
      </c>
      <c r="C1460" s="21" t="n">
        <v>0</v>
      </c>
      <c r="D1460" s="21" t="n">
        <v>0</v>
      </c>
      <c r="E1460" s="21" t="n">
        <v>0</v>
      </c>
      <c r="F1460" s="21" t="n">
        <v>0</v>
      </c>
      <c r="G1460" s="30" t="s">
        <v>3432</v>
      </c>
    </row>
    <row r="1461" customFormat="false" ht="15" hidden="false" customHeight="false" outlineLevel="0" collapsed="false">
      <c r="A1461" s="28" t="n">
        <v>38789</v>
      </c>
      <c r="B1461" s="28" t="n">
        <v>38795</v>
      </c>
      <c r="C1461" s="21" t="n">
        <v>0</v>
      </c>
      <c r="D1461" s="21" t="n">
        <v>0</v>
      </c>
      <c r="E1461" s="21" t="n">
        <v>0</v>
      </c>
      <c r="F1461" s="21" t="n">
        <v>0</v>
      </c>
      <c r="G1461" s="30" t="s">
        <v>3432</v>
      </c>
    </row>
    <row r="1462" customFormat="false" ht="15" hidden="false" customHeight="false" outlineLevel="0" collapsed="false">
      <c r="A1462" s="28" t="n">
        <v>38796</v>
      </c>
      <c r="B1462" s="28" t="n">
        <v>38802</v>
      </c>
      <c r="C1462" s="21" t="n">
        <v>0</v>
      </c>
      <c r="D1462" s="21" t="n">
        <v>0</v>
      </c>
      <c r="E1462" s="21" t="n">
        <v>0</v>
      </c>
      <c r="F1462" s="21" t="n">
        <v>0</v>
      </c>
      <c r="G1462" s="30" t="s">
        <v>3432</v>
      </c>
    </row>
    <row r="1463" customFormat="false" ht="15" hidden="false" customHeight="false" outlineLevel="0" collapsed="false">
      <c r="A1463" s="28" t="n">
        <v>38803</v>
      </c>
      <c r="B1463" s="28" t="n">
        <v>38809</v>
      </c>
      <c r="C1463" s="21" t="n">
        <v>0</v>
      </c>
      <c r="D1463" s="21" t="n">
        <v>0</v>
      </c>
      <c r="E1463" s="21" t="n">
        <v>0</v>
      </c>
      <c r="F1463" s="21" t="n">
        <v>0</v>
      </c>
      <c r="G1463" s="30" t="s">
        <v>3432</v>
      </c>
    </row>
    <row r="1464" customFormat="false" ht="15" hidden="false" customHeight="false" outlineLevel="0" collapsed="false">
      <c r="A1464" s="28" t="n">
        <v>38810</v>
      </c>
      <c r="B1464" s="28" t="n">
        <v>38816</v>
      </c>
      <c r="C1464" s="21" t="n">
        <v>0</v>
      </c>
      <c r="D1464" s="21" t="n">
        <v>0</v>
      </c>
      <c r="E1464" s="21" t="n">
        <v>0</v>
      </c>
      <c r="F1464" s="21" t="n">
        <v>0</v>
      </c>
      <c r="G1464" s="30" t="s">
        <v>3432</v>
      </c>
    </row>
    <row r="1465" customFormat="false" ht="15" hidden="false" customHeight="false" outlineLevel="0" collapsed="false">
      <c r="A1465" s="28" t="n">
        <v>38817</v>
      </c>
      <c r="B1465" s="28" t="n">
        <v>38823</v>
      </c>
      <c r="C1465" s="21" t="n">
        <v>0</v>
      </c>
      <c r="D1465" s="21" t="n">
        <v>0</v>
      </c>
      <c r="E1465" s="21" t="n">
        <v>0</v>
      </c>
      <c r="F1465" s="21" t="n">
        <v>0</v>
      </c>
      <c r="G1465" s="30" t="s">
        <v>3432</v>
      </c>
    </row>
    <row r="1466" customFormat="false" ht="15" hidden="false" customHeight="false" outlineLevel="0" collapsed="false">
      <c r="A1466" s="28" t="n">
        <v>38824</v>
      </c>
      <c r="B1466" s="28" t="n">
        <v>38830</v>
      </c>
      <c r="C1466" s="21" t="n">
        <v>0</v>
      </c>
      <c r="D1466" s="21" t="n">
        <v>0</v>
      </c>
      <c r="E1466" s="21" t="n">
        <v>0</v>
      </c>
      <c r="F1466" s="21" t="n">
        <v>0</v>
      </c>
      <c r="G1466" s="30" t="s">
        <v>3432</v>
      </c>
    </row>
    <row r="1467" customFormat="false" ht="15" hidden="false" customHeight="false" outlineLevel="0" collapsed="false">
      <c r="A1467" s="28" t="n">
        <v>38831</v>
      </c>
      <c r="B1467" s="28" t="n">
        <v>38837</v>
      </c>
      <c r="C1467" s="21" t="n">
        <v>0</v>
      </c>
      <c r="D1467" s="21" t="n">
        <v>0</v>
      </c>
      <c r="E1467" s="21" t="n">
        <v>0</v>
      </c>
      <c r="F1467" s="21" t="n">
        <v>0</v>
      </c>
      <c r="G1467" s="30" t="s">
        <v>3432</v>
      </c>
    </row>
    <row r="1468" customFormat="false" ht="15" hidden="false" customHeight="false" outlineLevel="0" collapsed="false">
      <c r="A1468" s="28" t="n">
        <v>38838</v>
      </c>
      <c r="B1468" s="28" t="n">
        <v>38844</v>
      </c>
      <c r="C1468" s="21" t="n">
        <v>0</v>
      </c>
      <c r="D1468" s="21" t="n">
        <v>0</v>
      </c>
      <c r="E1468" s="21" t="n">
        <v>0</v>
      </c>
      <c r="F1468" s="21" t="n">
        <v>0</v>
      </c>
      <c r="G1468" s="30" t="s">
        <v>3432</v>
      </c>
    </row>
    <row r="1469" customFormat="false" ht="15" hidden="false" customHeight="false" outlineLevel="0" collapsed="false">
      <c r="A1469" s="28" t="n">
        <v>38845</v>
      </c>
      <c r="B1469" s="28" t="n">
        <v>38851</v>
      </c>
      <c r="C1469" s="21" t="n">
        <v>0</v>
      </c>
      <c r="D1469" s="21" t="n">
        <v>0</v>
      </c>
      <c r="E1469" s="21" t="n">
        <v>0</v>
      </c>
      <c r="F1469" s="21" t="n">
        <v>0</v>
      </c>
      <c r="G1469" s="30" t="s">
        <v>3432</v>
      </c>
    </row>
    <row r="1470" customFormat="false" ht="15" hidden="false" customHeight="false" outlineLevel="0" collapsed="false">
      <c r="A1470" s="28" t="n">
        <v>38852</v>
      </c>
      <c r="B1470" s="28" t="n">
        <v>38858</v>
      </c>
      <c r="C1470" s="21" t="n">
        <v>0</v>
      </c>
      <c r="D1470" s="21" t="n">
        <v>0</v>
      </c>
      <c r="E1470" s="21" t="n">
        <v>0</v>
      </c>
      <c r="F1470" s="21" t="n">
        <v>0</v>
      </c>
      <c r="G1470" s="30" t="s">
        <v>3432</v>
      </c>
    </row>
    <row r="1471" customFormat="false" ht="15" hidden="false" customHeight="false" outlineLevel="0" collapsed="false">
      <c r="A1471" s="28" t="n">
        <v>38859</v>
      </c>
      <c r="B1471" s="28" t="n">
        <v>38865</v>
      </c>
      <c r="C1471" s="21" t="n">
        <v>0</v>
      </c>
      <c r="D1471" s="21" t="n">
        <v>0</v>
      </c>
      <c r="E1471" s="21" t="n">
        <v>0</v>
      </c>
      <c r="F1471" s="21" t="n">
        <v>0</v>
      </c>
      <c r="G1471" s="30" t="s">
        <v>3432</v>
      </c>
    </row>
    <row r="1472" customFormat="false" ht="15" hidden="false" customHeight="false" outlineLevel="0" collapsed="false">
      <c r="A1472" s="28" t="n">
        <v>38866</v>
      </c>
      <c r="B1472" s="28" t="n">
        <v>38872</v>
      </c>
      <c r="C1472" s="21" t="n">
        <v>0</v>
      </c>
      <c r="D1472" s="21" t="n">
        <v>0</v>
      </c>
      <c r="E1472" s="21" t="n">
        <v>0</v>
      </c>
      <c r="F1472" s="21" t="n">
        <v>0</v>
      </c>
      <c r="G1472" s="30" t="s">
        <v>3432</v>
      </c>
    </row>
    <row r="1473" customFormat="false" ht="15" hidden="false" customHeight="false" outlineLevel="0" collapsed="false">
      <c r="A1473" s="28" t="n">
        <v>38873</v>
      </c>
      <c r="B1473" s="28" t="n">
        <v>38879</v>
      </c>
      <c r="C1473" s="21" t="n">
        <v>0</v>
      </c>
      <c r="D1473" s="21" t="n">
        <v>0</v>
      </c>
      <c r="E1473" s="21" t="n">
        <v>0</v>
      </c>
      <c r="F1473" s="21" t="n">
        <v>0</v>
      </c>
      <c r="G1473" s="30" t="s">
        <v>3432</v>
      </c>
    </row>
    <row r="1474" customFormat="false" ht="15" hidden="false" customHeight="false" outlineLevel="0" collapsed="false">
      <c r="A1474" s="28" t="n">
        <v>38880</v>
      </c>
      <c r="B1474" s="28" t="n">
        <v>38886</v>
      </c>
      <c r="C1474" s="21" t="n">
        <v>0</v>
      </c>
      <c r="D1474" s="21" t="n">
        <v>0</v>
      </c>
      <c r="E1474" s="21" t="n">
        <v>0</v>
      </c>
      <c r="F1474" s="21" t="n">
        <v>0</v>
      </c>
      <c r="G1474" s="30" t="s">
        <v>3432</v>
      </c>
    </row>
    <row r="1475" customFormat="false" ht="15" hidden="false" customHeight="false" outlineLevel="0" collapsed="false">
      <c r="A1475" s="28" t="n">
        <v>38887</v>
      </c>
      <c r="B1475" s="28" t="n">
        <v>38893</v>
      </c>
      <c r="C1475" s="21" t="n">
        <v>0</v>
      </c>
      <c r="D1475" s="21" t="n">
        <v>0</v>
      </c>
      <c r="E1475" s="21" t="n">
        <v>0</v>
      </c>
      <c r="F1475" s="21" t="n">
        <v>0</v>
      </c>
      <c r="G1475" s="30" t="s">
        <v>3432</v>
      </c>
    </row>
    <row r="1476" customFormat="false" ht="15" hidden="false" customHeight="false" outlineLevel="0" collapsed="false">
      <c r="A1476" s="28" t="n">
        <v>38894</v>
      </c>
      <c r="B1476" s="28" t="n">
        <v>38900</v>
      </c>
      <c r="C1476" s="21" t="n">
        <v>0</v>
      </c>
      <c r="D1476" s="21" t="n">
        <v>0</v>
      </c>
      <c r="E1476" s="21" t="n">
        <v>0</v>
      </c>
      <c r="F1476" s="21" t="n">
        <v>0</v>
      </c>
      <c r="G1476" s="30" t="s">
        <v>3432</v>
      </c>
    </row>
    <row r="1477" customFormat="false" ht="15" hidden="false" customHeight="false" outlineLevel="0" collapsed="false">
      <c r="A1477" s="28" t="n">
        <v>38901</v>
      </c>
      <c r="B1477" s="28" t="n">
        <v>38907</v>
      </c>
      <c r="C1477" s="21" t="n">
        <v>0</v>
      </c>
      <c r="D1477" s="21" t="n">
        <v>0</v>
      </c>
      <c r="E1477" s="21" t="n">
        <v>0</v>
      </c>
      <c r="F1477" s="21" t="n">
        <v>0</v>
      </c>
      <c r="G1477" s="30" t="s">
        <v>3432</v>
      </c>
    </row>
    <row r="1478" customFormat="false" ht="15" hidden="false" customHeight="false" outlineLevel="0" collapsed="false">
      <c r="A1478" s="28" t="n">
        <v>38908</v>
      </c>
      <c r="B1478" s="28" t="n">
        <v>38914</v>
      </c>
      <c r="C1478" s="21" t="n">
        <v>0</v>
      </c>
      <c r="D1478" s="21" t="n">
        <v>0</v>
      </c>
      <c r="E1478" s="21" t="n">
        <v>0</v>
      </c>
      <c r="F1478" s="21" t="n">
        <v>0</v>
      </c>
      <c r="G1478" s="30" t="s">
        <v>3432</v>
      </c>
    </row>
    <row r="1479" customFormat="false" ht="15" hidden="false" customHeight="false" outlineLevel="0" collapsed="false">
      <c r="A1479" s="28" t="n">
        <v>38915</v>
      </c>
      <c r="B1479" s="28" t="n">
        <v>38921</v>
      </c>
      <c r="C1479" s="21" t="n">
        <v>0</v>
      </c>
      <c r="D1479" s="21" t="n">
        <v>0</v>
      </c>
      <c r="E1479" s="21" t="n">
        <v>0</v>
      </c>
      <c r="F1479" s="21" t="n">
        <v>0</v>
      </c>
      <c r="G1479" s="30" t="s">
        <v>3432</v>
      </c>
    </row>
    <row r="1480" customFormat="false" ht="15" hidden="false" customHeight="false" outlineLevel="0" collapsed="false">
      <c r="A1480" s="28" t="n">
        <v>38922</v>
      </c>
      <c r="B1480" s="28" t="n">
        <v>38928</v>
      </c>
      <c r="C1480" s="21" t="n">
        <v>0</v>
      </c>
      <c r="D1480" s="21" t="n">
        <v>0</v>
      </c>
      <c r="E1480" s="21" t="n">
        <v>0</v>
      </c>
      <c r="F1480" s="21" t="n">
        <v>0</v>
      </c>
      <c r="G1480" s="30" t="s">
        <v>3432</v>
      </c>
    </row>
    <row r="1481" customFormat="false" ht="15" hidden="false" customHeight="false" outlineLevel="0" collapsed="false">
      <c r="A1481" s="28" t="n">
        <v>38929</v>
      </c>
      <c r="B1481" s="28" t="n">
        <v>38935</v>
      </c>
      <c r="C1481" s="21" t="n">
        <v>0</v>
      </c>
      <c r="D1481" s="21" t="n">
        <v>0</v>
      </c>
      <c r="E1481" s="21" t="n">
        <v>0</v>
      </c>
      <c r="F1481" s="21" t="n">
        <v>0</v>
      </c>
      <c r="G1481" s="30" t="s">
        <v>3432</v>
      </c>
    </row>
    <row r="1482" customFormat="false" ht="15" hidden="false" customHeight="false" outlineLevel="0" collapsed="false">
      <c r="A1482" s="28" t="n">
        <v>38936</v>
      </c>
      <c r="B1482" s="28" t="n">
        <v>38942</v>
      </c>
      <c r="C1482" s="21" t="n">
        <v>0</v>
      </c>
      <c r="D1482" s="21" t="n">
        <v>0</v>
      </c>
      <c r="E1482" s="21" t="n">
        <v>0</v>
      </c>
      <c r="F1482" s="21" t="n">
        <v>0</v>
      </c>
      <c r="G1482" s="30" t="s">
        <v>3432</v>
      </c>
    </row>
    <row r="1483" customFormat="false" ht="15" hidden="false" customHeight="false" outlineLevel="0" collapsed="false">
      <c r="A1483" s="28" t="n">
        <v>38943</v>
      </c>
      <c r="B1483" s="28" t="n">
        <v>38949</v>
      </c>
      <c r="C1483" s="21" t="n">
        <v>0</v>
      </c>
      <c r="D1483" s="21" t="n">
        <v>0</v>
      </c>
      <c r="E1483" s="21" t="n">
        <v>0</v>
      </c>
      <c r="F1483" s="21" t="n">
        <v>0</v>
      </c>
      <c r="G1483" s="30" t="s">
        <v>3432</v>
      </c>
    </row>
    <row r="1484" customFormat="false" ht="15" hidden="false" customHeight="false" outlineLevel="0" collapsed="false">
      <c r="A1484" s="28" t="n">
        <v>38950</v>
      </c>
      <c r="B1484" s="28" t="n">
        <v>38956</v>
      </c>
      <c r="C1484" s="21" t="n">
        <v>0</v>
      </c>
      <c r="D1484" s="21" t="n">
        <v>0</v>
      </c>
      <c r="E1484" s="21" t="n">
        <v>0</v>
      </c>
      <c r="F1484" s="21" t="n">
        <v>0</v>
      </c>
      <c r="G1484" s="30" t="s">
        <v>3432</v>
      </c>
    </row>
    <row r="1485" customFormat="false" ht="15" hidden="false" customHeight="false" outlineLevel="0" collapsed="false">
      <c r="A1485" s="28" t="n">
        <v>38957</v>
      </c>
      <c r="B1485" s="28" t="n">
        <v>38963</v>
      </c>
      <c r="C1485" s="21" t="n">
        <v>0</v>
      </c>
      <c r="D1485" s="21" t="n">
        <v>0</v>
      </c>
      <c r="E1485" s="21" t="n">
        <v>0</v>
      </c>
      <c r="F1485" s="21" t="n">
        <v>0</v>
      </c>
      <c r="G1485" s="30" t="s">
        <v>3432</v>
      </c>
    </row>
    <row r="1486" customFormat="false" ht="15" hidden="false" customHeight="false" outlineLevel="0" collapsed="false">
      <c r="A1486" s="28" t="n">
        <v>38964</v>
      </c>
      <c r="B1486" s="28" t="n">
        <v>38970</v>
      </c>
      <c r="C1486" s="21" t="n">
        <v>0</v>
      </c>
      <c r="D1486" s="21" t="n">
        <v>0</v>
      </c>
      <c r="E1486" s="21" t="n">
        <v>0</v>
      </c>
      <c r="F1486" s="21" t="n">
        <v>0</v>
      </c>
      <c r="G1486" s="30" t="s">
        <v>3432</v>
      </c>
    </row>
    <row r="1487" customFormat="false" ht="15" hidden="false" customHeight="false" outlineLevel="0" collapsed="false">
      <c r="A1487" s="28" t="n">
        <v>38971</v>
      </c>
      <c r="B1487" s="28" t="n">
        <v>38977</v>
      </c>
      <c r="C1487" s="21" t="n">
        <v>0</v>
      </c>
      <c r="D1487" s="21" t="n">
        <v>0</v>
      </c>
      <c r="E1487" s="21" t="n">
        <v>0</v>
      </c>
      <c r="F1487" s="21" t="n">
        <v>0</v>
      </c>
      <c r="G1487" s="30" t="s">
        <v>3432</v>
      </c>
    </row>
    <row r="1488" customFormat="false" ht="15" hidden="false" customHeight="false" outlineLevel="0" collapsed="false">
      <c r="A1488" s="28" t="n">
        <v>38978</v>
      </c>
      <c r="B1488" s="28" t="n">
        <v>38984</v>
      </c>
      <c r="C1488" s="21" t="n">
        <v>0</v>
      </c>
      <c r="D1488" s="21" t="n">
        <v>0</v>
      </c>
      <c r="E1488" s="21" t="n">
        <v>0</v>
      </c>
      <c r="F1488" s="21" t="n">
        <v>0</v>
      </c>
      <c r="G1488" s="30" t="s">
        <v>3432</v>
      </c>
    </row>
    <row r="1489" customFormat="false" ht="15" hidden="false" customHeight="false" outlineLevel="0" collapsed="false">
      <c r="A1489" s="28" t="n">
        <v>38985</v>
      </c>
      <c r="B1489" s="28" t="n">
        <v>38991</v>
      </c>
      <c r="C1489" s="21" t="n">
        <v>0</v>
      </c>
      <c r="D1489" s="21" t="n">
        <v>0</v>
      </c>
      <c r="E1489" s="21" t="n">
        <v>0</v>
      </c>
      <c r="F1489" s="21" t="n">
        <v>0</v>
      </c>
      <c r="G1489" s="30" t="s">
        <v>3432</v>
      </c>
    </row>
    <row r="1490" customFormat="false" ht="15" hidden="false" customHeight="false" outlineLevel="0" collapsed="false">
      <c r="A1490" s="28" t="n">
        <v>38992</v>
      </c>
      <c r="B1490" s="28" t="n">
        <v>38998</v>
      </c>
      <c r="C1490" s="21" t="n">
        <v>0</v>
      </c>
      <c r="D1490" s="21" t="n">
        <v>0</v>
      </c>
      <c r="E1490" s="21" t="n">
        <v>0</v>
      </c>
      <c r="F1490" s="21" t="n">
        <v>0</v>
      </c>
      <c r="G1490" s="30" t="s">
        <v>3432</v>
      </c>
    </row>
    <row r="1491" customFormat="false" ht="15" hidden="false" customHeight="false" outlineLevel="0" collapsed="false">
      <c r="A1491" s="28" t="n">
        <v>38999</v>
      </c>
      <c r="B1491" s="28" t="n">
        <v>39005</v>
      </c>
      <c r="C1491" s="21" t="n">
        <v>0</v>
      </c>
      <c r="D1491" s="21" t="n">
        <v>0</v>
      </c>
      <c r="E1491" s="21" t="n">
        <v>0</v>
      </c>
      <c r="F1491" s="21" t="n">
        <v>0</v>
      </c>
      <c r="G1491" s="30" t="s">
        <v>3432</v>
      </c>
    </row>
    <row r="1492" customFormat="false" ht="15" hidden="false" customHeight="false" outlineLevel="0" collapsed="false">
      <c r="A1492" s="28" t="n">
        <v>39006</v>
      </c>
      <c r="B1492" s="28" t="n">
        <v>39012</v>
      </c>
      <c r="C1492" s="21" t="n">
        <v>0</v>
      </c>
      <c r="D1492" s="21" t="n">
        <v>0</v>
      </c>
      <c r="E1492" s="21" t="n">
        <v>0</v>
      </c>
      <c r="F1492" s="21" t="n">
        <v>0</v>
      </c>
      <c r="G1492" s="30" t="s">
        <v>3432</v>
      </c>
    </row>
    <row r="1493" customFormat="false" ht="15" hidden="false" customHeight="false" outlineLevel="0" collapsed="false">
      <c r="A1493" s="28" t="n">
        <v>39013</v>
      </c>
      <c r="B1493" s="28" t="n">
        <v>39019</v>
      </c>
      <c r="C1493" s="21" t="n">
        <v>0</v>
      </c>
      <c r="D1493" s="21" t="n">
        <v>0</v>
      </c>
      <c r="E1493" s="21" t="n">
        <v>0</v>
      </c>
      <c r="F1493" s="21" t="n">
        <v>0</v>
      </c>
      <c r="G1493" s="30" t="s">
        <v>3432</v>
      </c>
    </row>
    <row r="1494" customFormat="false" ht="15" hidden="false" customHeight="false" outlineLevel="0" collapsed="false">
      <c r="A1494" s="28" t="n">
        <v>39020</v>
      </c>
      <c r="B1494" s="28" t="n">
        <v>39026</v>
      </c>
      <c r="C1494" s="21" t="n">
        <v>0</v>
      </c>
      <c r="D1494" s="21" t="n">
        <v>0</v>
      </c>
      <c r="E1494" s="21" t="n">
        <v>0</v>
      </c>
      <c r="F1494" s="21" t="n">
        <v>0</v>
      </c>
      <c r="G1494" s="30" t="s">
        <v>3432</v>
      </c>
    </row>
    <row r="1495" customFormat="false" ht="15" hidden="false" customHeight="false" outlineLevel="0" collapsed="false">
      <c r="A1495" s="28" t="n">
        <v>39027</v>
      </c>
      <c r="B1495" s="28" t="n">
        <v>39033</v>
      </c>
      <c r="C1495" s="21" t="n">
        <v>0</v>
      </c>
      <c r="D1495" s="21" t="n">
        <v>0</v>
      </c>
      <c r="E1495" s="21" t="n">
        <v>0</v>
      </c>
      <c r="F1495" s="21" t="n">
        <v>0</v>
      </c>
      <c r="G1495" s="30" t="s">
        <v>3432</v>
      </c>
    </row>
    <row r="1496" customFormat="false" ht="15" hidden="false" customHeight="false" outlineLevel="0" collapsed="false">
      <c r="A1496" s="28" t="n">
        <v>39034</v>
      </c>
      <c r="B1496" s="28" t="n">
        <v>39040</v>
      </c>
      <c r="C1496" s="21" t="n">
        <v>0</v>
      </c>
      <c r="D1496" s="21" t="n">
        <v>0</v>
      </c>
      <c r="E1496" s="21" t="n">
        <v>0</v>
      </c>
      <c r="F1496" s="21" t="n">
        <v>0</v>
      </c>
      <c r="G1496" s="30" t="s">
        <v>3432</v>
      </c>
    </row>
    <row r="1497" customFormat="false" ht="15" hidden="false" customHeight="false" outlineLevel="0" collapsed="false">
      <c r="A1497" s="28" t="n">
        <v>39041</v>
      </c>
      <c r="B1497" s="28" t="n">
        <v>39047</v>
      </c>
      <c r="C1497" s="21" t="n">
        <v>0</v>
      </c>
      <c r="D1497" s="21" t="n">
        <v>0</v>
      </c>
      <c r="E1497" s="21" t="n">
        <v>0</v>
      </c>
      <c r="F1497" s="21" t="n">
        <v>0</v>
      </c>
      <c r="G1497" s="30" t="s">
        <v>3432</v>
      </c>
    </row>
    <row r="1498" customFormat="false" ht="15" hidden="false" customHeight="false" outlineLevel="0" collapsed="false">
      <c r="A1498" s="28" t="n">
        <v>39048</v>
      </c>
      <c r="B1498" s="28" t="n">
        <v>39054</v>
      </c>
      <c r="C1498" s="21" t="n">
        <v>0</v>
      </c>
      <c r="D1498" s="21" t="n">
        <v>0</v>
      </c>
      <c r="E1498" s="21" t="n">
        <v>0</v>
      </c>
      <c r="F1498" s="21" t="n">
        <v>0</v>
      </c>
      <c r="G1498" s="30" t="s">
        <v>3432</v>
      </c>
    </row>
    <row r="1499" customFormat="false" ht="15" hidden="false" customHeight="false" outlineLevel="0" collapsed="false">
      <c r="A1499" s="28" t="n">
        <v>39055</v>
      </c>
      <c r="B1499" s="28" t="n">
        <v>39061</v>
      </c>
      <c r="C1499" s="21" t="n">
        <v>0</v>
      </c>
      <c r="D1499" s="21" t="n">
        <v>0</v>
      </c>
      <c r="E1499" s="21" t="n">
        <v>0</v>
      </c>
      <c r="F1499" s="21" t="n">
        <v>0</v>
      </c>
      <c r="G1499" s="30" t="s">
        <v>3432</v>
      </c>
    </row>
    <row r="1500" customFormat="false" ht="15" hidden="false" customHeight="false" outlineLevel="0" collapsed="false">
      <c r="A1500" s="28" t="n">
        <v>39062</v>
      </c>
      <c r="B1500" s="28" t="n">
        <v>39068</v>
      </c>
      <c r="C1500" s="21" t="n">
        <v>0</v>
      </c>
      <c r="D1500" s="21" t="n">
        <v>0</v>
      </c>
      <c r="E1500" s="21" t="n">
        <v>0</v>
      </c>
      <c r="F1500" s="21" t="n">
        <v>0</v>
      </c>
      <c r="G1500" s="30" t="s">
        <v>3432</v>
      </c>
    </row>
    <row r="1501" customFormat="false" ht="15" hidden="false" customHeight="false" outlineLevel="0" collapsed="false">
      <c r="A1501" s="28" t="n">
        <v>39069</v>
      </c>
      <c r="B1501" s="28" t="n">
        <v>39075</v>
      </c>
      <c r="C1501" s="21" t="n">
        <v>0</v>
      </c>
      <c r="D1501" s="21" t="n">
        <v>0</v>
      </c>
      <c r="E1501" s="21" t="n">
        <v>0</v>
      </c>
      <c r="F1501" s="21" t="n">
        <v>0</v>
      </c>
      <c r="G1501" s="30" t="s">
        <v>3432</v>
      </c>
    </row>
    <row r="1502" customFormat="false" ht="15" hidden="false" customHeight="false" outlineLevel="0" collapsed="false">
      <c r="A1502" s="28" t="n">
        <v>39076</v>
      </c>
      <c r="B1502" s="28" t="n">
        <v>39082</v>
      </c>
      <c r="C1502" s="21" t="n">
        <v>0</v>
      </c>
      <c r="D1502" s="21" t="n">
        <v>0</v>
      </c>
      <c r="E1502" s="21" t="n">
        <v>0</v>
      </c>
      <c r="F1502" s="21" t="n">
        <v>0</v>
      </c>
      <c r="G1502" s="30" t="s">
        <v>3432</v>
      </c>
    </row>
    <row r="1503" customFormat="false" ht="15" hidden="false" customHeight="false" outlineLevel="0" collapsed="false">
      <c r="A1503" s="28" t="n">
        <v>39083</v>
      </c>
      <c r="B1503" s="28" t="n">
        <v>39089</v>
      </c>
      <c r="C1503" s="21" t="n">
        <v>0</v>
      </c>
      <c r="D1503" s="21" t="n">
        <v>0</v>
      </c>
      <c r="E1503" s="21" t="n">
        <v>0</v>
      </c>
      <c r="F1503" s="21" t="n">
        <v>0</v>
      </c>
      <c r="G1503" s="30" t="s">
        <v>3432</v>
      </c>
    </row>
    <row r="1504" customFormat="false" ht="15" hidden="false" customHeight="false" outlineLevel="0" collapsed="false">
      <c r="A1504" s="28" t="n">
        <v>39090</v>
      </c>
      <c r="B1504" s="28" t="n">
        <v>39096</v>
      </c>
      <c r="C1504" s="21" t="n">
        <v>0</v>
      </c>
      <c r="D1504" s="21" t="n">
        <v>0</v>
      </c>
      <c r="E1504" s="21" t="n">
        <v>0</v>
      </c>
      <c r="F1504" s="21" t="n">
        <v>0</v>
      </c>
      <c r="G1504" s="30" t="s">
        <v>3432</v>
      </c>
    </row>
    <row r="1505" customFormat="false" ht="15" hidden="false" customHeight="false" outlineLevel="0" collapsed="false">
      <c r="A1505" s="28" t="n">
        <v>39097</v>
      </c>
      <c r="B1505" s="28" t="n">
        <v>39103</v>
      </c>
      <c r="C1505" s="21" t="n">
        <v>0</v>
      </c>
      <c r="D1505" s="21" t="n">
        <v>0</v>
      </c>
      <c r="E1505" s="21" t="n">
        <v>0</v>
      </c>
      <c r="F1505" s="21" t="n">
        <v>0</v>
      </c>
      <c r="G1505" s="30" t="s">
        <v>3432</v>
      </c>
    </row>
    <row r="1506" customFormat="false" ht="15" hidden="false" customHeight="false" outlineLevel="0" collapsed="false">
      <c r="A1506" s="28" t="n">
        <v>39104</v>
      </c>
      <c r="B1506" s="28" t="n">
        <v>39110</v>
      </c>
      <c r="C1506" s="21" t="n">
        <v>0</v>
      </c>
      <c r="D1506" s="21" t="n">
        <v>0</v>
      </c>
      <c r="E1506" s="21" t="n">
        <v>0</v>
      </c>
      <c r="F1506" s="21" t="n">
        <v>0</v>
      </c>
      <c r="G1506" s="30" t="s">
        <v>3432</v>
      </c>
    </row>
    <row r="1507" customFormat="false" ht="15" hidden="false" customHeight="false" outlineLevel="0" collapsed="false">
      <c r="A1507" s="28" t="n">
        <v>39111</v>
      </c>
      <c r="B1507" s="28" t="n">
        <v>39117</v>
      </c>
      <c r="C1507" s="21" t="n">
        <v>0</v>
      </c>
      <c r="D1507" s="21" t="n">
        <v>0</v>
      </c>
      <c r="E1507" s="21" t="n">
        <v>0</v>
      </c>
      <c r="F1507" s="21" t="n">
        <v>0</v>
      </c>
      <c r="G1507" s="30" t="s">
        <v>3432</v>
      </c>
    </row>
    <row r="1508" customFormat="false" ht="15" hidden="false" customHeight="false" outlineLevel="0" collapsed="false">
      <c r="A1508" s="28" t="n">
        <v>39118</v>
      </c>
      <c r="B1508" s="28" t="n">
        <v>39124</v>
      </c>
      <c r="C1508" s="21" t="n">
        <v>0</v>
      </c>
      <c r="D1508" s="21" t="n">
        <v>0</v>
      </c>
      <c r="E1508" s="21" t="n">
        <v>0</v>
      </c>
      <c r="F1508" s="21" t="n">
        <v>0</v>
      </c>
      <c r="G1508" s="30" t="s">
        <v>3432</v>
      </c>
    </row>
    <row r="1509" customFormat="false" ht="15" hidden="false" customHeight="false" outlineLevel="0" collapsed="false">
      <c r="A1509" s="28" t="n">
        <v>39125</v>
      </c>
      <c r="B1509" s="28" t="n">
        <v>39131</v>
      </c>
      <c r="C1509" s="21" t="n">
        <v>0</v>
      </c>
      <c r="D1509" s="21" t="n">
        <v>0</v>
      </c>
      <c r="E1509" s="21" t="n">
        <v>0</v>
      </c>
      <c r="F1509" s="21" t="n">
        <v>0</v>
      </c>
      <c r="G1509" s="30" t="s">
        <v>3432</v>
      </c>
    </row>
    <row r="1510" customFormat="false" ht="15" hidden="false" customHeight="false" outlineLevel="0" collapsed="false">
      <c r="A1510" s="28" t="n">
        <v>39132</v>
      </c>
      <c r="B1510" s="28" t="n">
        <v>39138</v>
      </c>
      <c r="C1510" s="21" t="n">
        <v>0</v>
      </c>
      <c r="D1510" s="21" t="n">
        <v>0</v>
      </c>
      <c r="E1510" s="21" t="n">
        <v>0</v>
      </c>
      <c r="F1510" s="21" t="n">
        <v>0</v>
      </c>
      <c r="G1510" s="30" t="s">
        <v>3432</v>
      </c>
    </row>
    <row r="1511" customFormat="false" ht="15" hidden="false" customHeight="false" outlineLevel="0" collapsed="false">
      <c r="A1511" s="28" t="n">
        <v>39139</v>
      </c>
      <c r="B1511" s="28" t="n">
        <v>39145</v>
      </c>
      <c r="C1511" s="21" t="n">
        <v>0</v>
      </c>
      <c r="D1511" s="21" t="n">
        <v>0</v>
      </c>
      <c r="E1511" s="21" t="n">
        <v>0</v>
      </c>
      <c r="F1511" s="21" t="n">
        <v>0</v>
      </c>
      <c r="G1511" s="30" t="s">
        <v>3432</v>
      </c>
    </row>
    <row r="1512" customFormat="false" ht="15" hidden="false" customHeight="false" outlineLevel="0" collapsed="false">
      <c r="A1512" s="28" t="n">
        <v>39146</v>
      </c>
      <c r="B1512" s="28" t="n">
        <v>39152</v>
      </c>
      <c r="C1512" s="21" t="n">
        <v>0</v>
      </c>
      <c r="D1512" s="21" t="n">
        <v>0</v>
      </c>
      <c r="E1512" s="21" t="n">
        <v>0</v>
      </c>
      <c r="F1512" s="21" t="n">
        <v>0</v>
      </c>
      <c r="G1512" s="30" t="s">
        <v>3432</v>
      </c>
    </row>
    <row r="1513" customFormat="false" ht="15" hidden="false" customHeight="false" outlineLevel="0" collapsed="false">
      <c r="A1513" s="28" t="n">
        <v>39153</v>
      </c>
      <c r="B1513" s="28" t="n">
        <v>39159</v>
      </c>
      <c r="C1513" s="21" t="n">
        <v>0</v>
      </c>
      <c r="D1513" s="21" t="n">
        <v>0</v>
      </c>
      <c r="E1513" s="21" t="n">
        <v>0</v>
      </c>
      <c r="F1513" s="21" t="n">
        <v>0</v>
      </c>
      <c r="G1513" s="30" t="s">
        <v>3432</v>
      </c>
    </row>
    <row r="1514" customFormat="false" ht="15" hidden="false" customHeight="false" outlineLevel="0" collapsed="false">
      <c r="A1514" s="28" t="n">
        <v>39160</v>
      </c>
      <c r="B1514" s="28" t="n">
        <v>39166</v>
      </c>
      <c r="C1514" s="21" t="n">
        <v>0</v>
      </c>
      <c r="D1514" s="21" t="n">
        <v>0</v>
      </c>
      <c r="E1514" s="21" t="n">
        <v>0</v>
      </c>
      <c r="F1514" s="21" t="n">
        <v>0</v>
      </c>
      <c r="G1514" s="30" t="s">
        <v>3432</v>
      </c>
    </row>
    <row r="1515" customFormat="false" ht="15" hidden="false" customHeight="false" outlineLevel="0" collapsed="false">
      <c r="A1515" s="28" t="n">
        <v>39167</v>
      </c>
      <c r="B1515" s="28" t="n">
        <v>39173</v>
      </c>
      <c r="C1515" s="21" t="n">
        <v>0</v>
      </c>
      <c r="D1515" s="21" t="n">
        <v>0</v>
      </c>
      <c r="E1515" s="21" t="n">
        <v>0</v>
      </c>
      <c r="F1515" s="21" t="n">
        <v>0</v>
      </c>
      <c r="G1515" s="30" t="s">
        <v>3432</v>
      </c>
    </row>
    <row r="1516" customFormat="false" ht="15" hidden="false" customHeight="false" outlineLevel="0" collapsed="false">
      <c r="A1516" s="28" t="n">
        <v>39174</v>
      </c>
      <c r="B1516" s="28" t="n">
        <v>39180</v>
      </c>
      <c r="C1516" s="21" t="n">
        <v>0</v>
      </c>
      <c r="D1516" s="21" t="n">
        <v>0</v>
      </c>
      <c r="E1516" s="21" t="n">
        <v>0</v>
      </c>
      <c r="F1516" s="21" t="n">
        <v>0</v>
      </c>
      <c r="G1516" s="30" t="s">
        <v>3432</v>
      </c>
    </row>
    <row r="1517" customFormat="false" ht="15" hidden="false" customHeight="false" outlineLevel="0" collapsed="false">
      <c r="A1517" s="28" t="n">
        <v>39181</v>
      </c>
      <c r="B1517" s="28" t="n">
        <v>39187</v>
      </c>
      <c r="C1517" s="21" t="n">
        <v>0</v>
      </c>
      <c r="D1517" s="21" t="n">
        <v>0</v>
      </c>
      <c r="E1517" s="21" t="n">
        <v>0</v>
      </c>
      <c r="F1517" s="21" t="n">
        <v>0</v>
      </c>
      <c r="G1517" s="30" t="s">
        <v>3432</v>
      </c>
    </row>
    <row r="1518" customFormat="false" ht="15" hidden="false" customHeight="false" outlineLevel="0" collapsed="false">
      <c r="A1518" s="28" t="n">
        <v>39188</v>
      </c>
      <c r="B1518" s="28" t="n">
        <v>39194</v>
      </c>
      <c r="C1518" s="21" t="n">
        <v>0</v>
      </c>
      <c r="D1518" s="21" t="n">
        <v>0</v>
      </c>
      <c r="E1518" s="21" t="n">
        <v>0</v>
      </c>
      <c r="F1518" s="21" t="n">
        <v>0</v>
      </c>
      <c r="G1518" s="30" t="s">
        <v>3432</v>
      </c>
    </row>
    <row r="1519" customFormat="false" ht="15" hidden="false" customHeight="false" outlineLevel="0" collapsed="false">
      <c r="A1519" s="28" t="n">
        <v>39195</v>
      </c>
      <c r="B1519" s="28" t="n">
        <v>39201</v>
      </c>
      <c r="C1519" s="21" t="n">
        <v>0</v>
      </c>
      <c r="D1519" s="21" t="n">
        <v>0</v>
      </c>
      <c r="E1519" s="21" t="n">
        <v>0</v>
      </c>
      <c r="F1519" s="21" t="n">
        <v>0</v>
      </c>
      <c r="G1519" s="30" t="s">
        <v>3432</v>
      </c>
    </row>
    <row r="1520" customFormat="false" ht="15" hidden="false" customHeight="false" outlineLevel="0" collapsed="false">
      <c r="A1520" s="28" t="n">
        <v>39202</v>
      </c>
      <c r="B1520" s="28" t="n">
        <v>39208</v>
      </c>
      <c r="C1520" s="21" t="n">
        <v>0</v>
      </c>
      <c r="D1520" s="21" t="n">
        <v>0</v>
      </c>
      <c r="E1520" s="21" t="n">
        <v>0</v>
      </c>
      <c r="F1520" s="21" t="n">
        <v>0</v>
      </c>
      <c r="G1520" s="30" t="s">
        <v>3432</v>
      </c>
    </row>
    <row r="1521" customFormat="false" ht="15" hidden="false" customHeight="false" outlineLevel="0" collapsed="false">
      <c r="A1521" s="28" t="n">
        <v>39209</v>
      </c>
      <c r="B1521" s="28" t="n">
        <v>39215</v>
      </c>
      <c r="C1521" s="21" t="n">
        <v>0</v>
      </c>
      <c r="D1521" s="21" t="n">
        <v>0</v>
      </c>
      <c r="E1521" s="21" t="n">
        <v>0</v>
      </c>
      <c r="F1521" s="21" t="n">
        <v>0</v>
      </c>
      <c r="G1521" s="30" t="s">
        <v>3432</v>
      </c>
    </row>
    <row r="1522" customFormat="false" ht="15" hidden="false" customHeight="false" outlineLevel="0" collapsed="false">
      <c r="A1522" s="28" t="n">
        <v>39216</v>
      </c>
      <c r="B1522" s="28" t="n">
        <v>39222</v>
      </c>
      <c r="C1522" s="21" t="n">
        <v>0</v>
      </c>
      <c r="D1522" s="21" t="n">
        <v>0</v>
      </c>
      <c r="E1522" s="21" t="n">
        <v>0</v>
      </c>
      <c r="F1522" s="21" t="n">
        <v>0</v>
      </c>
      <c r="G1522" s="30" t="s">
        <v>3432</v>
      </c>
    </row>
    <row r="1523" customFormat="false" ht="15" hidden="false" customHeight="false" outlineLevel="0" collapsed="false">
      <c r="A1523" s="28" t="n">
        <v>39223</v>
      </c>
      <c r="B1523" s="28" t="n">
        <v>39229</v>
      </c>
      <c r="C1523" s="21" t="n">
        <v>0</v>
      </c>
      <c r="D1523" s="21" t="n">
        <v>0</v>
      </c>
      <c r="E1523" s="21" t="n">
        <v>0</v>
      </c>
      <c r="F1523" s="21" t="n">
        <v>0</v>
      </c>
      <c r="G1523" s="30" t="s">
        <v>3432</v>
      </c>
    </row>
    <row r="1524" customFormat="false" ht="15" hidden="false" customHeight="false" outlineLevel="0" collapsed="false">
      <c r="A1524" s="28" t="n">
        <v>39230</v>
      </c>
      <c r="B1524" s="28" t="n">
        <v>39236</v>
      </c>
      <c r="C1524" s="21" t="n">
        <v>0</v>
      </c>
      <c r="D1524" s="21" t="n">
        <v>0</v>
      </c>
      <c r="E1524" s="21" t="n">
        <v>0</v>
      </c>
      <c r="F1524" s="21" t="n">
        <v>0</v>
      </c>
      <c r="G1524" s="30" t="s">
        <v>3432</v>
      </c>
    </row>
    <row r="1525" customFormat="false" ht="15" hidden="false" customHeight="false" outlineLevel="0" collapsed="false">
      <c r="A1525" s="28" t="n">
        <v>39237</v>
      </c>
      <c r="B1525" s="28" t="n">
        <v>39243</v>
      </c>
      <c r="C1525" s="21" t="n">
        <v>0</v>
      </c>
      <c r="D1525" s="21" t="n">
        <v>0</v>
      </c>
      <c r="E1525" s="21" t="n">
        <v>0</v>
      </c>
      <c r="F1525" s="21" t="n">
        <v>0</v>
      </c>
      <c r="G1525" s="30" t="s">
        <v>3432</v>
      </c>
    </row>
    <row r="1526" customFormat="false" ht="15" hidden="false" customHeight="false" outlineLevel="0" collapsed="false">
      <c r="A1526" s="28" t="n">
        <v>39244</v>
      </c>
      <c r="B1526" s="28" t="n">
        <v>39250</v>
      </c>
      <c r="C1526" s="21" t="n">
        <v>0</v>
      </c>
      <c r="D1526" s="21" t="n">
        <v>0</v>
      </c>
      <c r="E1526" s="21" t="n">
        <v>0</v>
      </c>
      <c r="F1526" s="21" t="n">
        <v>0</v>
      </c>
      <c r="G1526" s="30" t="s">
        <v>3432</v>
      </c>
    </row>
    <row r="1527" customFormat="false" ht="15" hidden="false" customHeight="false" outlineLevel="0" collapsed="false">
      <c r="A1527" s="28" t="n">
        <v>39251</v>
      </c>
      <c r="B1527" s="28" t="n">
        <v>39257</v>
      </c>
      <c r="C1527" s="21" t="n">
        <v>0</v>
      </c>
      <c r="D1527" s="21" t="n">
        <v>0</v>
      </c>
      <c r="E1527" s="21" t="n">
        <v>0</v>
      </c>
      <c r="F1527" s="21" t="n">
        <v>0</v>
      </c>
      <c r="G1527" s="30" t="s">
        <v>3432</v>
      </c>
    </row>
    <row r="1528" customFormat="false" ht="15" hidden="false" customHeight="false" outlineLevel="0" collapsed="false">
      <c r="A1528" s="28" t="n">
        <v>39258</v>
      </c>
      <c r="B1528" s="28" t="n">
        <v>39264</v>
      </c>
      <c r="C1528" s="21" t="n">
        <v>0</v>
      </c>
      <c r="D1528" s="21" t="n">
        <v>0</v>
      </c>
      <c r="E1528" s="21" t="n">
        <v>0</v>
      </c>
      <c r="F1528" s="21" t="n">
        <v>0</v>
      </c>
      <c r="G1528" s="30" t="s">
        <v>3432</v>
      </c>
    </row>
    <row r="1529" customFormat="false" ht="15" hidden="false" customHeight="false" outlineLevel="0" collapsed="false">
      <c r="A1529" s="28" t="n">
        <v>39265</v>
      </c>
      <c r="B1529" s="28" t="n">
        <v>39271</v>
      </c>
      <c r="C1529" s="21" t="n">
        <v>0</v>
      </c>
      <c r="D1529" s="21" t="n">
        <v>0</v>
      </c>
      <c r="E1529" s="21" t="n">
        <v>0</v>
      </c>
      <c r="F1529" s="21" t="n">
        <v>0</v>
      </c>
      <c r="G1529" s="30" t="s">
        <v>3432</v>
      </c>
    </row>
    <row r="1530" customFormat="false" ht="15" hidden="false" customHeight="false" outlineLevel="0" collapsed="false">
      <c r="A1530" s="28" t="n">
        <v>39272</v>
      </c>
      <c r="B1530" s="28" t="n">
        <v>39278</v>
      </c>
      <c r="C1530" s="21" t="n">
        <v>0</v>
      </c>
      <c r="D1530" s="21" t="n">
        <v>0</v>
      </c>
      <c r="E1530" s="21" t="n">
        <v>0</v>
      </c>
      <c r="F1530" s="21" t="n">
        <v>0</v>
      </c>
      <c r="G1530" s="30" t="s">
        <v>3432</v>
      </c>
    </row>
    <row r="1531" customFormat="false" ht="15" hidden="false" customHeight="false" outlineLevel="0" collapsed="false">
      <c r="A1531" s="28" t="n">
        <v>39279</v>
      </c>
      <c r="B1531" s="28" t="n">
        <v>39285</v>
      </c>
      <c r="C1531" s="21" t="n">
        <v>0</v>
      </c>
      <c r="D1531" s="21" t="n">
        <v>0</v>
      </c>
      <c r="E1531" s="21" t="n">
        <v>0</v>
      </c>
      <c r="F1531" s="21" t="n">
        <v>0</v>
      </c>
      <c r="G1531" s="30" t="s">
        <v>3432</v>
      </c>
    </row>
    <row r="1532" customFormat="false" ht="15" hidden="false" customHeight="false" outlineLevel="0" collapsed="false">
      <c r="A1532" s="28" t="n">
        <v>39286</v>
      </c>
      <c r="B1532" s="28" t="n">
        <v>39292</v>
      </c>
      <c r="C1532" s="21" t="n">
        <v>0</v>
      </c>
      <c r="D1532" s="21" t="n">
        <v>0</v>
      </c>
      <c r="E1532" s="21" t="n">
        <v>0</v>
      </c>
      <c r="F1532" s="21" t="n">
        <v>0</v>
      </c>
      <c r="G1532" s="30" t="s">
        <v>3432</v>
      </c>
    </row>
    <row r="1533" customFormat="false" ht="15" hidden="false" customHeight="false" outlineLevel="0" collapsed="false">
      <c r="A1533" s="28" t="n">
        <v>39293</v>
      </c>
      <c r="B1533" s="28" t="n">
        <v>39299</v>
      </c>
      <c r="C1533" s="21" t="n">
        <v>0</v>
      </c>
      <c r="D1533" s="21" t="n">
        <v>0</v>
      </c>
      <c r="E1533" s="21" t="n">
        <v>0</v>
      </c>
      <c r="F1533" s="21" t="n">
        <v>0</v>
      </c>
      <c r="G1533" s="30" t="s">
        <v>3432</v>
      </c>
    </row>
    <row r="1534" customFormat="false" ht="15" hidden="false" customHeight="false" outlineLevel="0" collapsed="false">
      <c r="A1534" s="28" t="n">
        <v>39300</v>
      </c>
      <c r="B1534" s="28" t="n">
        <v>39306</v>
      </c>
      <c r="C1534" s="21" t="n">
        <v>0</v>
      </c>
      <c r="D1534" s="21" t="n">
        <v>0</v>
      </c>
      <c r="E1534" s="21" t="n">
        <v>0</v>
      </c>
      <c r="F1534" s="21" t="n">
        <v>0</v>
      </c>
      <c r="G1534" s="30" t="s">
        <v>3432</v>
      </c>
    </row>
    <row r="1535" customFormat="false" ht="15" hidden="false" customHeight="false" outlineLevel="0" collapsed="false">
      <c r="A1535" s="28" t="n">
        <v>39307</v>
      </c>
      <c r="B1535" s="28" t="n">
        <v>39313</v>
      </c>
      <c r="C1535" s="21" t="n">
        <v>0</v>
      </c>
      <c r="D1535" s="21" t="n">
        <v>0</v>
      </c>
      <c r="E1535" s="21" t="n">
        <v>0</v>
      </c>
      <c r="F1535" s="21" t="n">
        <v>0</v>
      </c>
      <c r="G1535" s="30" t="s">
        <v>3432</v>
      </c>
    </row>
    <row r="1536" customFormat="false" ht="15" hidden="false" customHeight="false" outlineLevel="0" collapsed="false">
      <c r="A1536" s="28" t="n">
        <v>39314</v>
      </c>
      <c r="B1536" s="28" t="n">
        <v>39320</v>
      </c>
      <c r="C1536" s="21" t="n">
        <v>0</v>
      </c>
      <c r="D1536" s="21" t="n">
        <v>0</v>
      </c>
      <c r="E1536" s="21" t="n">
        <v>0</v>
      </c>
      <c r="F1536" s="21" t="n">
        <v>0</v>
      </c>
      <c r="G1536" s="30" t="s">
        <v>3432</v>
      </c>
    </row>
    <row r="1537" customFormat="false" ht="15" hidden="false" customHeight="false" outlineLevel="0" collapsed="false">
      <c r="A1537" s="28" t="n">
        <v>39321</v>
      </c>
      <c r="B1537" s="28" t="n">
        <v>39327</v>
      </c>
      <c r="C1537" s="21" t="n">
        <v>0</v>
      </c>
      <c r="D1537" s="21" t="n">
        <v>0</v>
      </c>
      <c r="E1537" s="21" t="n">
        <v>0</v>
      </c>
      <c r="F1537" s="21" t="n">
        <v>0</v>
      </c>
      <c r="G1537" s="30" t="s">
        <v>3432</v>
      </c>
    </row>
    <row r="1538" customFormat="false" ht="15" hidden="false" customHeight="false" outlineLevel="0" collapsed="false">
      <c r="A1538" s="28" t="n">
        <v>39328</v>
      </c>
      <c r="B1538" s="28" t="n">
        <v>39334</v>
      </c>
      <c r="C1538" s="21" t="n">
        <v>0</v>
      </c>
      <c r="D1538" s="21" t="n">
        <v>0</v>
      </c>
      <c r="E1538" s="21" t="n">
        <v>0</v>
      </c>
      <c r="F1538" s="21" t="n">
        <v>0</v>
      </c>
      <c r="G1538" s="30" t="s">
        <v>3432</v>
      </c>
    </row>
    <row r="1539" customFormat="false" ht="15" hidden="false" customHeight="false" outlineLevel="0" collapsed="false">
      <c r="A1539" s="28" t="n">
        <v>39335</v>
      </c>
      <c r="B1539" s="28" t="n">
        <v>39341</v>
      </c>
      <c r="C1539" s="21" t="n">
        <v>0</v>
      </c>
      <c r="D1539" s="21" t="n">
        <v>0</v>
      </c>
      <c r="E1539" s="21" t="n">
        <v>0</v>
      </c>
      <c r="F1539" s="21" t="n">
        <v>0</v>
      </c>
      <c r="G1539" s="30" t="s">
        <v>3432</v>
      </c>
    </row>
    <row r="1540" customFormat="false" ht="15" hidden="false" customHeight="false" outlineLevel="0" collapsed="false">
      <c r="A1540" s="28" t="n">
        <v>39342</v>
      </c>
      <c r="B1540" s="28" t="n">
        <v>39348</v>
      </c>
      <c r="C1540" s="21" t="n">
        <v>0</v>
      </c>
      <c r="D1540" s="21" t="n">
        <v>0</v>
      </c>
      <c r="E1540" s="21" t="n">
        <v>0</v>
      </c>
      <c r="F1540" s="21" t="n">
        <v>0</v>
      </c>
      <c r="G1540" s="30" t="s">
        <v>3432</v>
      </c>
    </row>
    <row r="1541" customFormat="false" ht="15" hidden="false" customHeight="false" outlineLevel="0" collapsed="false">
      <c r="A1541" s="28" t="n">
        <v>39349</v>
      </c>
      <c r="B1541" s="28" t="n">
        <v>39355</v>
      </c>
      <c r="C1541" s="21" t="n">
        <v>0</v>
      </c>
      <c r="D1541" s="21" t="n">
        <v>0</v>
      </c>
      <c r="E1541" s="21" t="n">
        <v>0</v>
      </c>
      <c r="F1541" s="21" t="n">
        <v>0</v>
      </c>
      <c r="G1541" s="30" t="s">
        <v>3432</v>
      </c>
    </row>
    <row r="1542" customFormat="false" ht="15" hidden="false" customHeight="false" outlineLevel="0" collapsed="false">
      <c r="A1542" s="28" t="n">
        <v>39356</v>
      </c>
      <c r="B1542" s="28" t="n">
        <v>39362</v>
      </c>
      <c r="C1542" s="21" t="n">
        <v>0</v>
      </c>
      <c r="D1542" s="21" t="n">
        <v>0</v>
      </c>
      <c r="E1542" s="21" t="n">
        <v>0</v>
      </c>
      <c r="F1542" s="21" t="n">
        <v>0</v>
      </c>
      <c r="G1542" s="30" t="s">
        <v>3432</v>
      </c>
    </row>
    <row r="1543" customFormat="false" ht="15" hidden="false" customHeight="false" outlineLevel="0" collapsed="false">
      <c r="A1543" s="28" t="n">
        <v>39363</v>
      </c>
      <c r="B1543" s="28" t="n">
        <v>39369</v>
      </c>
      <c r="C1543" s="21" t="n">
        <v>0</v>
      </c>
      <c r="D1543" s="21" t="n">
        <v>0</v>
      </c>
      <c r="E1543" s="21" t="n">
        <v>0</v>
      </c>
      <c r="F1543" s="21" t="n">
        <v>0</v>
      </c>
      <c r="G1543" s="30" t="s">
        <v>3432</v>
      </c>
    </row>
    <row r="1544" customFormat="false" ht="15" hidden="false" customHeight="false" outlineLevel="0" collapsed="false">
      <c r="A1544" s="28" t="n">
        <v>39370</v>
      </c>
      <c r="B1544" s="28" t="n">
        <v>39376</v>
      </c>
      <c r="C1544" s="21" t="n">
        <v>0</v>
      </c>
      <c r="D1544" s="21" t="n">
        <v>0</v>
      </c>
      <c r="E1544" s="21" t="n">
        <v>0</v>
      </c>
      <c r="F1544" s="21" t="n">
        <v>0</v>
      </c>
      <c r="G1544" s="30" t="s">
        <v>3432</v>
      </c>
    </row>
    <row r="1545" customFormat="false" ht="15" hidden="false" customHeight="false" outlineLevel="0" collapsed="false">
      <c r="A1545" s="28" t="n">
        <v>39377</v>
      </c>
      <c r="B1545" s="28" t="n">
        <v>39383</v>
      </c>
      <c r="C1545" s="21" t="n">
        <v>0</v>
      </c>
      <c r="D1545" s="21" t="n">
        <v>0</v>
      </c>
      <c r="E1545" s="21" t="n">
        <v>0</v>
      </c>
      <c r="F1545" s="21" t="n">
        <v>0</v>
      </c>
      <c r="G1545" s="30" t="s">
        <v>3432</v>
      </c>
    </row>
    <row r="1546" customFormat="false" ht="15" hidden="false" customHeight="false" outlineLevel="0" collapsed="false">
      <c r="A1546" s="28" t="n">
        <v>39384</v>
      </c>
      <c r="B1546" s="28" t="n">
        <v>39390</v>
      </c>
      <c r="C1546" s="21" t="n">
        <v>0</v>
      </c>
      <c r="D1546" s="21" t="n">
        <v>0</v>
      </c>
      <c r="E1546" s="21" t="n">
        <v>0</v>
      </c>
      <c r="F1546" s="21" t="n">
        <v>0</v>
      </c>
      <c r="G1546" s="30" t="s">
        <v>3432</v>
      </c>
    </row>
    <row r="1547" customFormat="false" ht="15" hidden="false" customHeight="false" outlineLevel="0" collapsed="false">
      <c r="A1547" s="28" t="n">
        <v>39391</v>
      </c>
      <c r="B1547" s="28" t="n">
        <v>39397</v>
      </c>
      <c r="C1547" s="21" t="n">
        <v>0</v>
      </c>
      <c r="D1547" s="21" t="n">
        <v>0</v>
      </c>
      <c r="E1547" s="21" t="n">
        <v>0</v>
      </c>
      <c r="F1547" s="21" t="n">
        <v>0</v>
      </c>
      <c r="G1547" s="30" t="s">
        <v>3432</v>
      </c>
    </row>
    <row r="1548" customFormat="false" ht="15" hidden="false" customHeight="false" outlineLevel="0" collapsed="false">
      <c r="A1548" s="28" t="n">
        <v>39398</v>
      </c>
      <c r="B1548" s="28" t="n">
        <v>39404</v>
      </c>
      <c r="C1548" s="21" t="n">
        <v>0</v>
      </c>
      <c r="D1548" s="21" t="n">
        <v>0</v>
      </c>
      <c r="E1548" s="21" t="n">
        <v>0</v>
      </c>
      <c r="F1548" s="21" t="n">
        <v>0</v>
      </c>
      <c r="G1548" s="30" t="s">
        <v>3432</v>
      </c>
    </row>
    <row r="1549" customFormat="false" ht="15" hidden="false" customHeight="false" outlineLevel="0" collapsed="false">
      <c r="A1549" s="28" t="n">
        <v>39405</v>
      </c>
      <c r="B1549" s="28" t="n">
        <v>39411</v>
      </c>
      <c r="C1549" s="21" t="n">
        <v>0</v>
      </c>
      <c r="D1549" s="21" t="n">
        <v>0</v>
      </c>
      <c r="E1549" s="21" t="n">
        <v>0</v>
      </c>
      <c r="F1549" s="21" t="n">
        <v>0</v>
      </c>
      <c r="G1549" s="30" t="s">
        <v>3432</v>
      </c>
    </row>
    <row r="1550" customFormat="false" ht="15" hidden="false" customHeight="false" outlineLevel="0" collapsed="false">
      <c r="A1550" s="28" t="n">
        <v>39412</v>
      </c>
      <c r="B1550" s="28" t="n">
        <v>39418</v>
      </c>
      <c r="C1550" s="21" t="n">
        <v>0</v>
      </c>
      <c r="D1550" s="21" t="n">
        <v>0</v>
      </c>
      <c r="E1550" s="21" t="n">
        <v>0</v>
      </c>
      <c r="F1550" s="21" t="n">
        <v>0</v>
      </c>
      <c r="G1550" s="30" t="s">
        <v>3432</v>
      </c>
    </row>
    <row r="1551" customFormat="false" ht="15" hidden="false" customHeight="false" outlineLevel="0" collapsed="false">
      <c r="A1551" s="28" t="n">
        <v>39419</v>
      </c>
      <c r="B1551" s="28" t="n">
        <v>39425</v>
      </c>
      <c r="C1551" s="21" t="n">
        <v>0</v>
      </c>
      <c r="D1551" s="21" t="n">
        <v>0</v>
      </c>
      <c r="E1551" s="21" t="n">
        <v>0</v>
      </c>
      <c r="F1551" s="21" t="n">
        <v>0</v>
      </c>
      <c r="G1551" s="30" t="s">
        <v>3432</v>
      </c>
    </row>
    <row r="1552" customFormat="false" ht="15" hidden="false" customHeight="false" outlineLevel="0" collapsed="false">
      <c r="A1552" s="28" t="n">
        <v>39426</v>
      </c>
      <c r="B1552" s="28" t="n">
        <v>39432</v>
      </c>
      <c r="C1552" s="21" t="n">
        <v>0</v>
      </c>
      <c r="D1552" s="21" t="n">
        <v>0</v>
      </c>
      <c r="E1552" s="21" t="n">
        <v>0</v>
      </c>
      <c r="F1552" s="21" t="n">
        <v>0</v>
      </c>
      <c r="G1552" s="30" t="s">
        <v>3432</v>
      </c>
    </row>
    <row r="1553" customFormat="false" ht="15" hidden="false" customHeight="false" outlineLevel="0" collapsed="false">
      <c r="A1553" s="28" t="n">
        <v>39433</v>
      </c>
      <c r="B1553" s="28" t="n">
        <v>39439</v>
      </c>
      <c r="C1553" s="21" t="n">
        <v>0</v>
      </c>
      <c r="D1553" s="21" t="n">
        <v>0</v>
      </c>
      <c r="E1553" s="21" t="n">
        <v>0</v>
      </c>
      <c r="F1553" s="21" t="n">
        <v>0</v>
      </c>
      <c r="G1553" s="30" t="s">
        <v>3432</v>
      </c>
    </row>
    <row r="1554" customFormat="false" ht="15" hidden="false" customHeight="false" outlineLevel="0" collapsed="false">
      <c r="A1554" s="28" t="n">
        <v>39440</v>
      </c>
      <c r="B1554" s="28" t="n">
        <v>39446</v>
      </c>
      <c r="C1554" s="21" t="n">
        <v>0</v>
      </c>
      <c r="D1554" s="21" t="n">
        <v>0</v>
      </c>
      <c r="E1554" s="21" t="n">
        <v>0</v>
      </c>
      <c r="F1554" s="21" t="n">
        <v>0</v>
      </c>
      <c r="G1554" s="30" t="s">
        <v>3432</v>
      </c>
    </row>
    <row r="1555" customFormat="false" ht="15" hidden="false" customHeight="false" outlineLevel="0" collapsed="false">
      <c r="A1555" s="28" t="n">
        <v>39447</v>
      </c>
      <c r="B1555" s="28" t="n">
        <v>39453</v>
      </c>
      <c r="C1555" s="21" t="n">
        <v>0</v>
      </c>
      <c r="D1555" s="21" t="n">
        <v>0</v>
      </c>
      <c r="E1555" s="21" t="n">
        <v>0</v>
      </c>
      <c r="F1555" s="21" t="n">
        <v>0</v>
      </c>
      <c r="G1555" s="30" t="s">
        <v>3432</v>
      </c>
    </row>
    <row r="1556" customFormat="false" ht="15" hidden="false" customHeight="false" outlineLevel="0" collapsed="false">
      <c r="A1556" s="28" t="n">
        <v>39454</v>
      </c>
      <c r="B1556" s="28" t="n">
        <v>39460</v>
      </c>
      <c r="C1556" s="21" t="n">
        <v>0</v>
      </c>
      <c r="D1556" s="21" t="n">
        <v>0</v>
      </c>
      <c r="E1556" s="21" t="n">
        <v>0</v>
      </c>
      <c r="F1556" s="21" t="n">
        <v>0</v>
      </c>
      <c r="G1556" s="30" t="s">
        <v>3432</v>
      </c>
    </row>
    <row r="1557" customFormat="false" ht="15" hidden="false" customHeight="false" outlineLevel="0" collapsed="false">
      <c r="A1557" s="28" t="n">
        <v>39461</v>
      </c>
      <c r="B1557" s="28" t="n">
        <v>39467</v>
      </c>
      <c r="C1557" s="21" t="n">
        <v>0</v>
      </c>
      <c r="D1557" s="21" t="n">
        <v>0</v>
      </c>
      <c r="E1557" s="21" t="n">
        <v>0</v>
      </c>
      <c r="F1557" s="21" t="n">
        <v>0</v>
      </c>
      <c r="G1557" s="30" t="s">
        <v>3432</v>
      </c>
    </row>
    <row r="1558" customFormat="false" ht="15" hidden="false" customHeight="false" outlineLevel="0" collapsed="false">
      <c r="A1558" s="28" t="n">
        <v>39468</v>
      </c>
      <c r="B1558" s="28" t="n">
        <v>39474</v>
      </c>
      <c r="C1558" s="21" t="n">
        <v>0</v>
      </c>
      <c r="D1558" s="21" t="n">
        <v>0</v>
      </c>
      <c r="E1558" s="21" t="n">
        <v>0</v>
      </c>
      <c r="F1558" s="21" t="n">
        <v>0</v>
      </c>
      <c r="G1558" s="30" t="s">
        <v>3432</v>
      </c>
    </row>
    <row r="1559" customFormat="false" ht="15" hidden="false" customHeight="false" outlineLevel="0" collapsed="false">
      <c r="A1559" s="28" t="n">
        <v>39475</v>
      </c>
      <c r="B1559" s="28" t="n">
        <v>39481</v>
      </c>
      <c r="C1559" s="21" t="n">
        <v>0</v>
      </c>
      <c r="D1559" s="21" t="n">
        <v>0</v>
      </c>
      <c r="E1559" s="21" t="n">
        <v>0</v>
      </c>
      <c r="F1559" s="21" t="n">
        <v>0</v>
      </c>
      <c r="G1559" s="30" t="s">
        <v>3432</v>
      </c>
    </row>
    <row r="1560" customFormat="false" ht="15" hidden="false" customHeight="false" outlineLevel="0" collapsed="false">
      <c r="A1560" s="28" t="n">
        <v>39482</v>
      </c>
      <c r="B1560" s="28" t="n">
        <v>39488</v>
      </c>
      <c r="C1560" s="21" t="n">
        <v>0</v>
      </c>
      <c r="D1560" s="21" t="n">
        <v>0</v>
      </c>
      <c r="E1560" s="21" t="n">
        <v>0</v>
      </c>
      <c r="F1560" s="21" t="n">
        <v>0</v>
      </c>
      <c r="G1560" s="30" t="s">
        <v>3432</v>
      </c>
    </row>
    <row r="1561" customFormat="false" ht="15" hidden="false" customHeight="false" outlineLevel="0" collapsed="false">
      <c r="A1561" s="28" t="n">
        <v>39489</v>
      </c>
      <c r="B1561" s="28" t="n">
        <v>39495</v>
      </c>
      <c r="C1561" s="21" t="n">
        <v>0</v>
      </c>
      <c r="D1561" s="21" t="n">
        <v>0</v>
      </c>
      <c r="E1561" s="21" t="n">
        <v>0</v>
      </c>
      <c r="F1561" s="21" t="n">
        <v>0</v>
      </c>
      <c r="G1561" s="30" t="s">
        <v>3432</v>
      </c>
    </row>
    <row r="1562" customFormat="false" ht="15" hidden="false" customHeight="false" outlineLevel="0" collapsed="false">
      <c r="A1562" s="28" t="n">
        <v>39496</v>
      </c>
      <c r="B1562" s="28" t="n">
        <v>39502</v>
      </c>
      <c r="C1562" s="21" t="n">
        <v>0</v>
      </c>
      <c r="D1562" s="21" t="n">
        <v>0</v>
      </c>
      <c r="E1562" s="21" t="n">
        <v>0</v>
      </c>
      <c r="F1562" s="21" t="n">
        <v>0</v>
      </c>
      <c r="G1562" s="30" t="s">
        <v>3432</v>
      </c>
    </row>
    <row r="1563" customFormat="false" ht="15" hidden="false" customHeight="false" outlineLevel="0" collapsed="false">
      <c r="A1563" s="28" t="n">
        <v>39503</v>
      </c>
      <c r="B1563" s="28" t="n">
        <v>39509</v>
      </c>
      <c r="C1563" s="21" t="n">
        <v>0</v>
      </c>
      <c r="D1563" s="21" t="n">
        <v>0</v>
      </c>
      <c r="E1563" s="21" t="n">
        <v>0</v>
      </c>
      <c r="F1563" s="21" t="n">
        <v>0</v>
      </c>
      <c r="G1563" s="30" t="s">
        <v>3432</v>
      </c>
    </row>
    <row r="1564" customFormat="false" ht="15" hidden="false" customHeight="false" outlineLevel="0" collapsed="false">
      <c r="A1564" s="28" t="n">
        <v>39510</v>
      </c>
      <c r="B1564" s="28" t="n">
        <v>39516</v>
      </c>
      <c r="C1564" s="21" t="n">
        <v>0</v>
      </c>
      <c r="D1564" s="21" t="n">
        <v>0</v>
      </c>
      <c r="E1564" s="21" t="n">
        <v>0</v>
      </c>
      <c r="F1564" s="21" t="n">
        <v>0</v>
      </c>
      <c r="G1564" s="30" t="s">
        <v>3432</v>
      </c>
    </row>
    <row r="1565" customFormat="false" ht="15" hidden="false" customHeight="false" outlineLevel="0" collapsed="false">
      <c r="A1565" s="28" t="n">
        <v>39517</v>
      </c>
      <c r="B1565" s="28" t="n">
        <v>39523</v>
      </c>
      <c r="C1565" s="21" t="n">
        <v>0</v>
      </c>
      <c r="D1565" s="21" t="n">
        <v>0</v>
      </c>
      <c r="E1565" s="21" t="n">
        <v>0</v>
      </c>
      <c r="F1565" s="21" t="n">
        <v>0</v>
      </c>
      <c r="G1565" s="30" t="s">
        <v>3432</v>
      </c>
    </row>
    <row r="1566" customFormat="false" ht="15" hidden="false" customHeight="false" outlineLevel="0" collapsed="false">
      <c r="A1566" s="28" t="n">
        <v>39524</v>
      </c>
      <c r="B1566" s="28" t="n">
        <v>39530</v>
      </c>
      <c r="C1566" s="21" t="n">
        <v>0</v>
      </c>
      <c r="D1566" s="21" t="n">
        <v>0</v>
      </c>
      <c r="E1566" s="21" t="n">
        <v>0</v>
      </c>
      <c r="F1566" s="21" t="n">
        <v>0</v>
      </c>
      <c r="G1566" s="30" t="s">
        <v>3432</v>
      </c>
    </row>
    <row r="1567" customFormat="false" ht="15" hidden="false" customHeight="false" outlineLevel="0" collapsed="false">
      <c r="A1567" s="28" t="n">
        <v>39531</v>
      </c>
      <c r="B1567" s="28" t="n">
        <v>39537</v>
      </c>
      <c r="C1567" s="21" t="n">
        <v>0</v>
      </c>
      <c r="D1567" s="21" t="n">
        <v>0</v>
      </c>
      <c r="E1567" s="21" t="n">
        <v>0</v>
      </c>
      <c r="F1567" s="21" t="n">
        <v>0</v>
      </c>
      <c r="G1567" s="30" t="s">
        <v>3432</v>
      </c>
    </row>
    <row r="1568" customFormat="false" ht="15" hidden="false" customHeight="false" outlineLevel="0" collapsed="false">
      <c r="A1568" s="28" t="n">
        <v>39538</v>
      </c>
      <c r="B1568" s="28" t="n">
        <v>39544</v>
      </c>
      <c r="C1568" s="21" t="n">
        <v>0</v>
      </c>
      <c r="D1568" s="21" t="n">
        <v>0</v>
      </c>
      <c r="E1568" s="21" t="n">
        <v>0</v>
      </c>
      <c r="F1568" s="21" t="n">
        <v>0</v>
      </c>
      <c r="G1568" s="30" t="s">
        <v>3432</v>
      </c>
    </row>
    <row r="1569" customFormat="false" ht="15" hidden="false" customHeight="false" outlineLevel="0" collapsed="false">
      <c r="A1569" s="28" t="n">
        <v>39545</v>
      </c>
      <c r="B1569" s="28" t="n">
        <v>39551</v>
      </c>
      <c r="C1569" s="21" t="n">
        <v>0</v>
      </c>
      <c r="D1569" s="21" t="n">
        <v>0</v>
      </c>
      <c r="E1569" s="21" t="n">
        <v>0</v>
      </c>
      <c r="F1569" s="21" t="n">
        <v>0</v>
      </c>
      <c r="G1569" s="30" t="s">
        <v>3432</v>
      </c>
    </row>
    <row r="1570" customFormat="false" ht="15" hidden="false" customHeight="false" outlineLevel="0" collapsed="false">
      <c r="A1570" s="28" t="n">
        <v>39552</v>
      </c>
      <c r="B1570" s="28" t="n">
        <v>39558</v>
      </c>
      <c r="C1570" s="21" t="n">
        <v>0</v>
      </c>
      <c r="D1570" s="21" t="n">
        <v>0</v>
      </c>
      <c r="E1570" s="21" t="n">
        <v>0</v>
      </c>
      <c r="F1570" s="21" t="n">
        <v>0</v>
      </c>
      <c r="G1570" s="30" t="s">
        <v>3432</v>
      </c>
    </row>
    <row r="1571" customFormat="false" ht="15" hidden="false" customHeight="false" outlineLevel="0" collapsed="false">
      <c r="A1571" s="28" t="n">
        <v>39559</v>
      </c>
      <c r="B1571" s="28" t="n">
        <v>39565</v>
      </c>
      <c r="C1571" s="21" t="n">
        <v>0</v>
      </c>
      <c r="D1571" s="21" t="n">
        <v>0</v>
      </c>
      <c r="E1571" s="21" t="n">
        <v>0</v>
      </c>
      <c r="F1571" s="21" t="n">
        <v>0</v>
      </c>
      <c r="G1571" s="30" t="s">
        <v>3432</v>
      </c>
    </row>
    <row r="1572" customFormat="false" ht="15" hidden="false" customHeight="false" outlineLevel="0" collapsed="false">
      <c r="A1572" s="28" t="n">
        <v>39566</v>
      </c>
      <c r="B1572" s="28" t="n">
        <v>39572</v>
      </c>
      <c r="C1572" s="21" t="n">
        <v>0</v>
      </c>
      <c r="D1572" s="21" t="n">
        <v>0</v>
      </c>
      <c r="E1572" s="21" t="n">
        <v>0</v>
      </c>
      <c r="F1572" s="21" t="n">
        <v>0</v>
      </c>
      <c r="G1572" s="30" t="s">
        <v>3432</v>
      </c>
    </row>
    <row r="1573" customFormat="false" ht="15" hidden="false" customHeight="false" outlineLevel="0" collapsed="false">
      <c r="A1573" s="28" t="n">
        <v>39573</v>
      </c>
      <c r="B1573" s="28" t="n">
        <v>39579</v>
      </c>
      <c r="C1573" s="21" t="n">
        <v>0</v>
      </c>
      <c r="D1573" s="21" t="n">
        <v>0</v>
      </c>
      <c r="E1573" s="21" t="n">
        <v>0</v>
      </c>
      <c r="F1573" s="21" t="n">
        <v>0</v>
      </c>
      <c r="G1573" s="30" t="s">
        <v>3432</v>
      </c>
    </row>
    <row r="1574" customFormat="false" ht="15" hidden="false" customHeight="false" outlineLevel="0" collapsed="false">
      <c r="A1574" s="28" t="n">
        <v>39580</v>
      </c>
      <c r="B1574" s="28" t="n">
        <v>39586</v>
      </c>
      <c r="C1574" s="21" t="n">
        <v>0</v>
      </c>
      <c r="D1574" s="21" t="n">
        <v>0</v>
      </c>
      <c r="E1574" s="21" t="n">
        <v>0</v>
      </c>
      <c r="F1574" s="21" t="n">
        <v>0</v>
      </c>
      <c r="G1574" s="30" t="s">
        <v>3432</v>
      </c>
    </row>
    <row r="1575" customFormat="false" ht="15" hidden="false" customHeight="false" outlineLevel="0" collapsed="false">
      <c r="A1575" s="28" t="n">
        <v>39587</v>
      </c>
      <c r="B1575" s="28" t="n">
        <v>39593</v>
      </c>
      <c r="C1575" s="21" t="n">
        <v>0</v>
      </c>
      <c r="D1575" s="21" t="n">
        <v>0</v>
      </c>
      <c r="E1575" s="21" t="n">
        <v>0</v>
      </c>
      <c r="F1575" s="21" t="n">
        <v>0</v>
      </c>
      <c r="G1575" s="30" t="s">
        <v>3432</v>
      </c>
    </row>
    <row r="1576" customFormat="false" ht="15" hidden="false" customHeight="false" outlineLevel="0" collapsed="false">
      <c r="A1576" s="28" t="n">
        <v>39594</v>
      </c>
      <c r="B1576" s="28" t="n">
        <v>39600</v>
      </c>
      <c r="C1576" s="21" t="n">
        <v>0</v>
      </c>
      <c r="D1576" s="21" t="n">
        <v>0</v>
      </c>
      <c r="E1576" s="21" t="n">
        <v>0</v>
      </c>
      <c r="F1576" s="21" t="n">
        <v>0</v>
      </c>
      <c r="G1576" s="30" t="s">
        <v>3432</v>
      </c>
    </row>
    <row r="1577" customFormat="false" ht="15" hidden="false" customHeight="false" outlineLevel="0" collapsed="false">
      <c r="A1577" s="28" t="n">
        <v>39601</v>
      </c>
      <c r="B1577" s="28" t="n">
        <v>39607</v>
      </c>
      <c r="C1577" s="21" t="n">
        <v>0</v>
      </c>
      <c r="D1577" s="21" t="n">
        <v>0</v>
      </c>
      <c r="E1577" s="21" t="n">
        <v>0</v>
      </c>
      <c r="F1577" s="21" t="n">
        <v>0</v>
      </c>
      <c r="G1577" s="30" t="s">
        <v>3432</v>
      </c>
    </row>
    <row r="1578" customFormat="false" ht="15" hidden="false" customHeight="false" outlineLevel="0" collapsed="false">
      <c r="A1578" s="28" t="n">
        <v>39608</v>
      </c>
      <c r="B1578" s="28" t="n">
        <v>39614</v>
      </c>
      <c r="C1578" s="21" t="n">
        <v>0</v>
      </c>
      <c r="D1578" s="21" t="n">
        <v>0</v>
      </c>
      <c r="E1578" s="21" t="n">
        <v>0</v>
      </c>
      <c r="F1578" s="21" t="n">
        <v>0</v>
      </c>
      <c r="G1578" s="30" t="s">
        <v>3432</v>
      </c>
    </row>
    <row r="1579" customFormat="false" ht="15" hidden="false" customHeight="false" outlineLevel="0" collapsed="false">
      <c r="A1579" s="28" t="n">
        <v>39615</v>
      </c>
      <c r="B1579" s="28" t="n">
        <v>39621</v>
      </c>
      <c r="C1579" s="21" t="n">
        <v>0</v>
      </c>
      <c r="D1579" s="21" t="n">
        <v>0</v>
      </c>
      <c r="E1579" s="21" t="n">
        <v>0</v>
      </c>
      <c r="F1579" s="21" t="n">
        <v>0</v>
      </c>
      <c r="G1579" s="30" t="s">
        <v>3432</v>
      </c>
    </row>
    <row r="1580" customFormat="false" ht="15" hidden="false" customHeight="false" outlineLevel="0" collapsed="false">
      <c r="A1580" s="28" t="n">
        <v>39622</v>
      </c>
      <c r="B1580" s="28" t="n">
        <v>39628</v>
      </c>
      <c r="C1580" s="21" t="n">
        <v>0</v>
      </c>
      <c r="D1580" s="21" t="n">
        <v>0</v>
      </c>
      <c r="E1580" s="21" t="n">
        <v>0</v>
      </c>
      <c r="F1580" s="21" t="n">
        <v>0</v>
      </c>
      <c r="G1580" s="30" t="s">
        <v>3432</v>
      </c>
    </row>
    <row r="1581" customFormat="false" ht="15" hidden="false" customHeight="false" outlineLevel="0" collapsed="false">
      <c r="A1581" s="28" t="n">
        <v>39629</v>
      </c>
      <c r="B1581" s="28" t="n">
        <v>39635</v>
      </c>
      <c r="C1581" s="21" t="n">
        <v>0</v>
      </c>
      <c r="D1581" s="21" t="n">
        <v>0</v>
      </c>
      <c r="E1581" s="21" t="n">
        <v>0</v>
      </c>
      <c r="F1581" s="21" t="n">
        <v>0</v>
      </c>
      <c r="G1581" s="30" t="s">
        <v>3432</v>
      </c>
    </row>
    <row r="1582" customFormat="false" ht="15" hidden="false" customHeight="false" outlineLevel="0" collapsed="false">
      <c r="A1582" s="28" t="n">
        <v>39636</v>
      </c>
      <c r="B1582" s="28" t="n">
        <v>39642</v>
      </c>
      <c r="C1582" s="21" t="n">
        <v>0</v>
      </c>
      <c r="D1582" s="21" t="n">
        <v>0</v>
      </c>
      <c r="E1582" s="21" t="n">
        <v>0</v>
      </c>
      <c r="F1582" s="21" t="n">
        <v>0</v>
      </c>
      <c r="G1582" s="30" t="s">
        <v>3432</v>
      </c>
    </row>
    <row r="1583" customFormat="false" ht="15" hidden="false" customHeight="false" outlineLevel="0" collapsed="false">
      <c r="A1583" s="28" t="n">
        <v>39643</v>
      </c>
      <c r="B1583" s="28" t="n">
        <v>39649</v>
      </c>
      <c r="C1583" s="21" t="n">
        <v>0</v>
      </c>
      <c r="D1583" s="21" t="n">
        <v>0</v>
      </c>
      <c r="E1583" s="21" t="n">
        <v>0</v>
      </c>
      <c r="F1583" s="21" t="n">
        <v>0</v>
      </c>
      <c r="G1583" s="30" t="s">
        <v>3432</v>
      </c>
    </row>
    <row r="1584" customFormat="false" ht="15" hidden="false" customHeight="false" outlineLevel="0" collapsed="false">
      <c r="A1584" s="28" t="n">
        <v>39650</v>
      </c>
      <c r="B1584" s="28" t="n">
        <v>39656</v>
      </c>
      <c r="C1584" s="21" t="n">
        <v>0</v>
      </c>
      <c r="D1584" s="21" t="n">
        <v>0</v>
      </c>
      <c r="E1584" s="21" t="n">
        <v>0</v>
      </c>
      <c r="F1584" s="21" t="n">
        <v>0</v>
      </c>
      <c r="G1584" s="30" t="s">
        <v>3432</v>
      </c>
    </row>
    <row r="1585" customFormat="false" ht="15" hidden="false" customHeight="false" outlineLevel="0" collapsed="false">
      <c r="A1585" s="28" t="n">
        <v>39657</v>
      </c>
      <c r="B1585" s="28" t="n">
        <v>39663</v>
      </c>
      <c r="C1585" s="21" t="n">
        <v>0</v>
      </c>
      <c r="D1585" s="21" t="n">
        <v>0</v>
      </c>
      <c r="E1585" s="21" t="n">
        <v>0</v>
      </c>
      <c r="F1585" s="21" t="n">
        <v>0</v>
      </c>
      <c r="G1585" s="30" t="s">
        <v>3432</v>
      </c>
    </row>
    <row r="1586" customFormat="false" ht="15" hidden="false" customHeight="false" outlineLevel="0" collapsed="false">
      <c r="A1586" s="28" t="n">
        <v>39664</v>
      </c>
      <c r="B1586" s="28" t="n">
        <v>39670</v>
      </c>
      <c r="C1586" s="21" t="n">
        <v>0</v>
      </c>
      <c r="D1586" s="21" t="n">
        <v>0</v>
      </c>
      <c r="E1586" s="21" t="n">
        <v>0</v>
      </c>
      <c r="F1586" s="21" t="n">
        <v>0</v>
      </c>
      <c r="G1586" s="30" t="s">
        <v>3432</v>
      </c>
    </row>
    <row r="1587" customFormat="false" ht="15" hidden="false" customHeight="false" outlineLevel="0" collapsed="false">
      <c r="A1587" s="28" t="n">
        <v>39671</v>
      </c>
      <c r="B1587" s="28" t="n">
        <v>39677</v>
      </c>
      <c r="C1587" s="21" t="n">
        <v>0</v>
      </c>
      <c r="D1587" s="21" t="n">
        <v>0</v>
      </c>
      <c r="E1587" s="21" t="n">
        <v>0</v>
      </c>
      <c r="F1587" s="21" t="n">
        <v>0</v>
      </c>
      <c r="G1587" s="30" t="s">
        <v>3432</v>
      </c>
    </row>
    <row r="1588" customFormat="false" ht="15" hidden="false" customHeight="false" outlineLevel="0" collapsed="false">
      <c r="A1588" s="28" t="n">
        <v>39678</v>
      </c>
      <c r="B1588" s="28" t="n">
        <v>39684</v>
      </c>
      <c r="C1588" s="21" t="n">
        <v>0</v>
      </c>
      <c r="D1588" s="21" t="n">
        <v>0</v>
      </c>
      <c r="E1588" s="21" t="n">
        <v>0</v>
      </c>
      <c r="F1588" s="21" t="n">
        <v>0</v>
      </c>
      <c r="G1588" s="30" t="s">
        <v>3432</v>
      </c>
    </row>
    <row r="1589" customFormat="false" ht="15" hidden="false" customHeight="false" outlineLevel="0" collapsed="false">
      <c r="A1589" s="28" t="n">
        <v>39685</v>
      </c>
      <c r="B1589" s="28" t="n">
        <v>39691</v>
      </c>
      <c r="C1589" s="21" t="n">
        <v>0</v>
      </c>
      <c r="D1589" s="21" t="n">
        <v>0</v>
      </c>
      <c r="E1589" s="21" t="n">
        <v>0</v>
      </c>
      <c r="F1589" s="21" t="n">
        <v>0</v>
      </c>
      <c r="G1589" s="30" t="s">
        <v>3432</v>
      </c>
    </row>
    <row r="1590" customFormat="false" ht="15" hidden="false" customHeight="false" outlineLevel="0" collapsed="false">
      <c r="A1590" s="28" t="n">
        <v>39692</v>
      </c>
      <c r="B1590" s="28" t="n">
        <v>39698</v>
      </c>
      <c r="C1590" s="21" t="n">
        <v>0</v>
      </c>
      <c r="D1590" s="21" t="n">
        <v>0</v>
      </c>
      <c r="E1590" s="21" t="n">
        <v>0</v>
      </c>
      <c r="F1590" s="21" t="n">
        <v>0</v>
      </c>
      <c r="G1590" s="30" t="s">
        <v>3432</v>
      </c>
    </row>
    <row r="1591" customFormat="false" ht="15" hidden="false" customHeight="false" outlineLevel="0" collapsed="false">
      <c r="A1591" s="28" t="n">
        <v>39699</v>
      </c>
      <c r="B1591" s="28" t="n">
        <v>39705</v>
      </c>
      <c r="C1591" s="21" t="n">
        <v>0</v>
      </c>
      <c r="D1591" s="21" t="n">
        <v>0</v>
      </c>
      <c r="E1591" s="21" t="n">
        <v>0</v>
      </c>
      <c r="F1591" s="21" t="n">
        <v>0</v>
      </c>
      <c r="G1591" s="30" t="s">
        <v>3432</v>
      </c>
    </row>
    <row r="1592" customFormat="false" ht="15" hidden="false" customHeight="false" outlineLevel="0" collapsed="false">
      <c r="A1592" s="28" t="n">
        <v>39706</v>
      </c>
      <c r="B1592" s="28" t="n">
        <v>39712</v>
      </c>
      <c r="C1592" s="21" t="n">
        <v>0</v>
      </c>
      <c r="D1592" s="21" t="n">
        <v>0</v>
      </c>
      <c r="E1592" s="21" t="n">
        <v>0</v>
      </c>
      <c r="F1592" s="21" t="n">
        <v>0</v>
      </c>
      <c r="G1592" s="30" t="s">
        <v>3432</v>
      </c>
    </row>
    <row r="1593" customFormat="false" ht="15" hidden="false" customHeight="false" outlineLevel="0" collapsed="false">
      <c r="A1593" s="28" t="n">
        <v>39713</v>
      </c>
      <c r="B1593" s="28" t="n">
        <v>39719</v>
      </c>
      <c r="C1593" s="21" t="n">
        <v>0</v>
      </c>
      <c r="D1593" s="21" t="n">
        <v>0</v>
      </c>
      <c r="E1593" s="21" t="n">
        <v>0</v>
      </c>
      <c r="F1593" s="21" t="n">
        <v>0</v>
      </c>
      <c r="G1593" s="30" t="s">
        <v>3432</v>
      </c>
    </row>
    <row r="1594" customFormat="false" ht="15" hidden="false" customHeight="false" outlineLevel="0" collapsed="false">
      <c r="A1594" s="28" t="n">
        <v>39720</v>
      </c>
      <c r="B1594" s="28" t="n">
        <v>39726</v>
      </c>
      <c r="C1594" s="21" t="n">
        <v>0</v>
      </c>
      <c r="D1594" s="21" t="n">
        <v>0</v>
      </c>
      <c r="E1594" s="21" t="n">
        <v>0</v>
      </c>
      <c r="F1594" s="21" t="n">
        <v>0</v>
      </c>
      <c r="G1594" s="30" t="s">
        <v>3432</v>
      </c>
    </row>
    <row r="1595" customFormat="false" ht="15" hidden="false" customHeight="false" outlineLevel="0" collapsed="false">
      <c r="A1595" s="28" t="n">
        <v>39727</v>
      </c>
      <c r="B1595" s="28" t="n">
        <v>39733</v>
      </c>
      <c r="C1595" s="21" t="n">
        <v>0</v>
      </c>
      <c r="D1595" s="21" t="n">
        <v>0</v>
      </c>
      <c r="E1595" s="21" t="n">
        <v>0</v>
      </c>
      <c r="F1595" s="21" t="n">
        <v>0</v>
      </c>
      <c r="G1595" s="30" t="s">
        <v>3432</v>
      </c>
    </row>
    <row r="1596" customFormat="false" ht="15" hidden="false" customHeight="false" outlineLevel="0" collapsed="false">
      <c r="A1596" s="28" t="n">
        <v>39734</v>
      </c>
      <c r="B1596" s="28" t="n">
        <v>39740</v>
      </c>
      <c r="C1596" s="21" t="n">
        <v>0</v>
      </c>
      <c r="D1596" s="21" t="n">
        <v>0</v>
      </c>
      <c r="E1596" s="21" t="n">
        <v>0</v>
      </c>
      <c r="F1596" s="21" t="n">
        <v>0</v>
      </c>
      <c r="G1596" s="30" t="s">
        <v>3432</v>
      </c>
    </row>
    <row r="1597" customFormat="false" ht="15" hidden="false" customHeight="false" outlineLevel="0" collapsed="false">
      <c r="A1597" s="28" t="n">
        <v>39741</v>
      </c>
      <c r="B1597" s="28" t="n">
        <v>39747</v>
      </c>
      <c r="C1597" s="21" t="n">
        <v>0</v>
      </c>
      <c r="D1597" s="21" t="n">
        <v>0</v>
      </c>
      <c r="E1597" s="21" t="n">
        <v>0</v>
      </c>
      <c r="F1597" s="21" t="n">
        <v>0</v>
      </c>
      <c r="G1597" s="30" t="s">
        <v>3432</v>
      </c>
    </row>
    <row r="1598" customFormat="false" ht="15" hidden="false" customHeight="false" outlineLevel="0" collapsed="false">
      <c r="A1598" s="28" t="n">
        <v>39748</v>
      </c>
      <c r="B1598" s="28" t="n">
        <v>39754</v>
      </c>
      <c r="C1598" s="21" t="n">
        <v>0</v>
      </c>
      <c r="D1598" s="21" t="n">
        <v>0</v>
      </c>
      <c r="E1598" s="21" t="n">
        <v>0</v>
      </c>
      <c r="F1598" s="21" t="n">
        <v>0</v>
      </c>
      <c r="G1598" s="30" t="s">
        <v>3432</v>
      </c>
    </row>
    <row r="1599" customFormat="false" ht="15" hidden="false" customHeight="false" outlineLevel="0" collapsed="false">
      <c r="A1599" s="28" t="n">
        <v>39755</v>
      </c>
      <c r="B1599" s="28" t="n">
        <v>39761</v>
      </c>
      <c r="C1599" s="21" t="n">
        <v>0</v>
      </c>
      <c r="D1599" s="21" t="n">
        <v>0</v>
      </c>
      <c r="E1599" s="21" t="n">
        <v>0</v>
      </c>
      <c r="F1599" s="21" t="n">
        <v>0</v>
      </c>
      <c r="G1599" s="30" t="s">
        <v>3432</v>
      </c>
    </row>
    <row r="1600" customFormat="false" ht="15" hidden="false" customHeight="false" outlineLevel="0" collapsed="false">
      <c r="A1600" s="28" t="n">
        <v>39762</v>
      </c>
      <c r="B1600" s="28" t="n">
        <v>39768</v>
      </c>
      <c r="C1600" s="21" t="n">
        <v>0</v>
      </c>
      <c r="D1600" s="21" t="n">
        <v>0</v>
      </c>
      <c r="E1600" s="21" t="n">
        <v>0</v>
      </c>
      <c r="F1600" s="21" t="n">
        <v>0</v>
      </c>
      <c r="G1600" s="30" t="s">
        <v>3432</v>
      </c>
    </row>
    <row r="1601" customFormat="false" ht="15" hidden="false" customHeight="false" outlineLevel="0" collapsed="false">
      <c r="A1601" s="28" t="n">
        <v>39769</v>
      </c>
      <c r="B1601" s="28" t="n">
        <v>39775</v>
      </c>
      <c r="C1601" s="21" t="n">
        <v>0</v>
      </c>
      <c r="D1601" s="21" t="n">
        <v>0</v>
      </c>
      <c r="E1601" s="21" t="n">
        <v>0</v>
      </c>
      <c r="F1601" s="21" t="n">
        <v>0</v>
      </c>
      <c r="G1601" s="30" t="s">
        <v>3432</v>
      </c>
    </row>
    <row r="1602" customFormat="false" ht="15" hidden="false" customHeight="false" outlineLevel="0" collapsed="false">
      <c r="A1602" s="28" t="n">
        <v>39776</v>
      </c>
      <c r="B1602" s="28" t="n">
        <v>39782</v>
      </c>
      <c r="C1602" s="21" t="n">
        <v>0</v>
      </c>
      <c r="D1602" s="21" t="n">
        <v>0</v>
      </c>
      <c r="E1602" s="21" t="n">
        <v>0</v>
      </c>
      <c r="F1602" s="21" t="n">
        <v>0</v>
      </c>
      <c r="G1602" s="30" t="s">
        <v>3432</v>
      </c>
    </row>
    <row r="1603" customFormat="false" ht="15" hidden="false" customHeight="false" outlineLevel="0" collapsed="false">
      <c r="A1603" s="28" t="n">
        <v>39783</v>
      </c>
      <c r="B1603" s="28" t="n">
        <v>39789</v>
      </c>
      <c r="C1603" s="21" t="n">
        <v>0</v>
      </c>
      <c r="D1603" s="21" t="n">
        <v>0</v>
      </c>
      <c r="E1603" s="21" t="n">
        <v>0</v>
      </c>
      <c r="F1603" s="21" t="n">
        <v>0</v>
      </c>
      <c r="G1603" s="30" t="s">
        <v>3432</v>
      </c>
    </row>
    <row r="1604" customFormat="false" ht="15" hidden="false" customHeight="false" outlineLevel="0" collapsed="false">
      <c r="A1604" s="28" t="n">
        <v>39790</v>
      </c>
      <c r="B1604" s="28" t="n">
        <v>39796</v>
      </c>
      <c r="C1604" s="21" t="n">
        <v>0</v>
      </c>
      <c r="D1604" s="21" t="n">
        <v>0</v>
      </c>
      <c r="E1604" s="21" t="n">
        <v>0</v>
      </c>
      <c r="F1604" s="21" t="n">
        <v>0</v>
      </c>
      <c r="G1604" s="30" t="s">
        <v>3432</v>
      </c>
    </row>
    <row r="1605" customFormat="false" ht="15" hidden="false" customHeight="false" outlineLevel="0" collapsed="false">
      <c r="A1605" s="28" t="n">
        <v>39797</v>
      </c>
      <c r="B1605" s="28" t="n">
        <v>39803</v>
      </c>
      <c r="C1605" s="21" t="n">
        <v>0</v>
      </c>
      <c r="D1605" s="21" t="n">
        <v>0</v>
      </c>
      <c r="E1605" s="21" t="n">
        <v>0</v>
      </c>
      <c r="F1605" s="21" t="n">
        <v>0</v>
      </c>
      <c r="G1605" s="30" t="s">
        <v>3432</v>
      </c>
    </row>
    <row r="1606" customFormat="false" ht="15" hidden="false" customHeight="false" outlineLevel="0" collapsed="false">
      <c r="A1606" s="28" t="n">
        <v>39804</v>
      </c>
      <c r="B1606" s="28" t="n">
        <v>39810</v>
      </c>
      <c r="C1606" s="21" t="n">
        <v>0</v>
      </c>
      <c r="D1606" s="21" t="n">
        <v>0</v>
      </c>
      <c r="E1606" s="21" t="n">
        <v>0</v>
      </c>
      <c r="F1606" s="21" t="n">
        <v>0</v>
      </c>
      <c r="G1606" s="30" t="s">
        <v>3432</v>
      </c>
    </row>
    <row r="1607" customFormat="false" ht="15" hidden="false" customHeight="false" outlineLevel="0" collapsed="false">
      <c r="A1607" s="28" t="n">
        <v>39811</v>
      </c>
      <c r="B1607" s="28" t="n">
        <v>39817</v>
      </c>
      <c r="C1607" s="21" t="n">
        <v>0</v>
      </c>
      <c r="D1607" s="21" t="n">
        <v>0</v>
      </c>
      <c r="E1607" s="21" t="n">
        <v>0</v>
      </c>
      <c r="F1607" s="21" t="n">
        <v>0</v>
      </c>
      <c r="G1607" s="30" t="s">
        <v>3432</v>
      </c>
    </row>
    <row r="1608" customFormat="false" ht="15" hidden="false" customHeight="false" outlineLevel="0" collapsed="false">
      <c r="A1608" s="28" t="n">
        <v>39818</v>
      </c>
      <c r="B1608" s="28" t="n">
        <v>39824</v>
      </c>
      <c r="C1608" s="21" t="n">
        <v>0</v>
      </c>
      <c r="D1608" s="21" t="n">
        <v>0</v>
      </c>
      <c r="E1608" s="21" t="n">
        <v>0</v>
      </c>
      <c r="F1608" s="21" t="n">
        <v>0</v>
      </c>
      <c r="G1608" s="30" t="s">
        <v>3432</v>
      </c>
    </row>
    <row r="1609" customFormat="false" ht="15" hidden="false" customHeight="false" outlineLevel="0" collapsed="false">
      <c r="A1609" s="28" t="n">
        <v>39825</v>
      </c>
      <c r="B1609" s="28" t="n">
        <v>39831</v>
      </c>
      <c r="C1609" s="21" t="n">
        <v>0</v>
      </c>
      <c r="D1609" s="21" t="n">
        <v>0</v>
      </c>
      <c r="E1609" s="21" t="n">
        <v>0</v>
      </c>
      <c r="F1609" s="21" t="n">
        <v>0</v>
      </c>
      <c r="G1609" s="30" t="s">
        <v>3432</v>
      </c>
    </row>
    <row r="1610" customFormat="false" ht="15" hidden="false" customHeight="false" outlineLevel="0" collapsed="false">
      <c r="A1610" s="28" t="n">
        <v>39832</v>
      </c>
      <c r="B1610" s="28" t="n">
        <v>39838</v>
      </c>
      <c r="C1610" s="21" t="n">
        <v>0</v>
      </c>
      <c r="D1610" s="21" t="n">
        <v>0</v>
      </c>
      <c r="E1610" s="21" t="n">
        <v>0</v>
      </c>
      <c r="F1610" s="21" t="n">
        <v>0</v>
      </c>
      <c r="G1610" s="30" t="s">
        <v>3432</v>
      </c>
    </row>
    <row r="1611" customFormat="false" ht="15" hidden="false" customHeight="false" outlineLevel="0" collapsed="false">
      <c r="A1611" s="28" t="n">
        <v>39839</v>
      </c>
      <c r="B1611" s="28" t="n">
        <v>39845</v>
      </c>
      <c r="C1611" s="21" t="n">
        <v>0</v>
      </c>
      <c r="D1611" s="21" t="n">
        <v>0</v>
      </c>
      <c r="E1611" s="21" t="n">
        <v>0</v>
      </c>
      <c r="F1611" s="21" t="n">
        <v>0</v>
      </c>
      <c r="G1611" s="30" t="s">
        <v>3432</v>
      </c>
    </row>
    <row r="1612" customFormat="false" ht="15" hidden="false" customHeight="false" outlineLevel="0" collapsed="false">
      <c r="A1612" s="28" t="n">
        <v>39846</v>
      </c>
      <c r="B1612" s="28" t="n">
        <v>39852</v>
      </c>
      <c r="C1612" s="21" t="n">
        <v>0</v>
      </c>
      <c r="D1612" s="21" t="n">
        <v>0</v>
      </c>
      <c r="E1612" s="21" t="n">
        <v>0</v>
      </c>
      <c r="F1612" s="21" t="n">
        <v>0</v>
      </c>
      <c r="G1612" s="30" t="s">
        <v>3432</v>
      </c>
    </row>
    <row r="1613" customFormat="false" ht="15" hidden="false" customHeight="false" outlineLevel="0" collapsed="false">
      <c r="A1613" s="28" t="n">
        <v>39853</v>
      </c>
      <c r="B1613" s="28" t="n">
        <v>39859</v>
      </c>
      <c r="C1613" s="21" t="n">
        <v>0</v>
      </c>
      <c r="D1613" s="21" t="n">
        <v>0</v>
      </c>
      <c r="E1613" s="21" t="n">
        <v>0</v>
      </c>
      <c r="F1613" s="21" t="n">
        <v>0</v>
      </c>
      <c r="G1613" s="30" t="s">
        <v>3432</v>
      </c>
    </row>
    <row r="1614" customFormat="false" ht="15" hidden="false" customHeight="false" outlineLevel="0" collapsed="false">
      <c r="A1614" s="28" t="n">
        <v>39860</v>
      </c>
      <c r="B1614" s="28" t="n">
        <v>39866</v>
      </c>
      <c r="C1614" s="21" t="n">
        <v>0</v>
      </c>
      <c r="D1614" s="21" t="n">
        <v>0</v>
      </c>
      <c r="E1614" s="21" t="n">
        <v>0</v>
      </c>
      <c r="F1614" s="21" t="n">
        <v>0</v>
      </c>
      <c r="G1614" s="30" t="s">
        <v>3432</v>
      </c>
    </row>
    <row r="1615" customFormat="false" ht="15" hidden="false" customHeight="false" outlineLevel="0" collapsed="false">
      <c r="A1615" s="28" t="n">
        <v>39867</v>
      </c>
      <c r="B1615" s="28" t="n">
        <v>39873</v>
      </c>
      <c r="C1615" s="21" t="n">
        <v>0</v>
      </c>
      <c r="D1615" s="21" t="n">
        <v>0</v>
      </c>
      <c r="E1615" s="21" t="n">
        <v>0</v>
      </c>
      <c r="F1615" s="21" t="n">
        <v>0</v>
      </c>
      <c r="G1615" s="30" t="s">
        <v>3432</v>
      </c>
    </row>
    <row r="1616" customFormat="false" ht="15" hidden="false" customHeight="false" outlineLevel="0" collapsed="false">
      <c r="A1616" s="28" t="n">
        <v>39874</v>
      </c>
      <c r="B1616" s="28" t="n">
        <v>39880</v>
      </c>
      <c r="C1616" s="21" t="n">
        <v>0</v>
      </c>
      <c r="D1616" s="21" t="n">
        <v>0</v>
      </c>
      <c r="E1616" s="21" t="n">
        <v>0</v>
      </c>
      <c r="F1616" s="21" t="n">
        <v>0</v>
      </c>
      <c r="G1616" s="30" t="s">
        <v>3432</v>
      </c>
    </row>
    <row r="1617" customFormat="false" ht="15" hidden="false" customHeight="false" outlineLevel="0" collapsed="false">
      <c r="A1617" s="28" t="n">
        <v>39881</v>
      </c>
      <c r="B1617" s="28" t="n">
        <v>39887</v>
      </c>
      <c r="C1617" s="21" t="n">
        <v>0</v>
      </c>
      <c r="D1617" s="21" t="n">
        <v>0</v>
      </c>
      <c r="E1617" s="21" t="n">
        <v>0</v>
      </c>
      <c r="F1617" s="21" t="n">
        <v>0</v>
      </c>
      <c r="G1617" s="30" t="s">
        <v>3432</v>
      </c>
    </row>
    <row r="1618" customFormat="false" ht="15" hidden="false" customHeight="false" outlineLevel="0" collapsed="false">
      <c r="A1618" s="28" t="n">
        <v>39888</v>
      </c>
      <c r="B1618" s="28" t="n">
        <v>39894</v>
      </c>
      <c r="C1618" s="21" t="n">
        <v>0</v>
      </c>
      <c r="D1618" s="21" t="n">
        <v>0</v>
      </c>
      <c r="E1618" s="21" t="n">
        <v>0</v>
      </c>
      <c r="F1618" s="21" t="n">
        <v>0</v>
      </c>
      <c r="G1618" s="30" t="s">
        <v>3432</v>
      </c>
    </row>
    <row r="1619" customFormat="false" ht="15" hidden="false" customHeight="false" outlineLevel="0" collapsed="false">
      <c r="A1619" s="28" t="n">
        <v>39895</v>
      </c>
      <c r="B1619" s="28" t="n">
        <v>39901</v>
      </c>
      <c r="C1619" s="21" t="n">
        <v>0</v>
      </c>
      <c r="D1619" s="21" t="n">
        <v>0</v>
      </c>
      <c r="E1619" s="21" t="n">
        <v>0</v>
      </c>
      <c r="F1619" s="21" t="n">
        <v>0</v>
      </c>
      <c r="G1619" s="30" t="s">
        <v>3432</v>
      </c>
    </row>
    <row r="1620" customFormat="false" ht="15" hidden="false" customHeight="false" outlineLevel="0" collapsed="false">
      <c r="A1620" s="28" t="n">
        <v>39902</v>
      </c>
      <c r="B1620" s="28" t="n">
        <v>39908</v>
      </c>
      <c r="C1620" s="21" t="n">
        <v>0</v>
      </c>
      <c r="D1620" s="21" t="n">
        <v>0</v>
      </c>
      <c r="E1620" s="21" t="n">
        <v>0</v>
      </c>
      <c r="F1620" s="21" t="n">
        <v>0</v>
      </c>
      <c r="G1620" s="30" t="s">
        <v>3432</v>
      </c>
    </row>
    <row r="1621" customFormat="false" ht="15" hidden="false" customHeight="false" outlineLevel="0" collapsed="false">
      <c r="A1621" s="28" t="n">
        <v>39909</v>
      </c>
      <c r="B1621" s="28" t="n">
        <v>39915</v>
      </c>
      <c r="C1621" s="21" t="n">
        <v>0</v>
      </c>
      <c r="D1621" s="21" t="n">
        <v>0</v>
      </c>
      <c r="E1621" s="21" t="n">
        <v>0</v>
      </c>
      <c r="F1621" s="21" t="n">
        <v>0</v>
      </c>
      <c r="G1621" s="30" t="s">
        <v>3432</v>
      </c>
    </row>
    <row r="1622" customFormat="false" ht="15" hidden="false" customHeight="false" outlineLevel="0" collapsed="false">
      <c r="A1622" s="28" t="n">
        <v>39916</v>
      </c>
      <c r="B1622" s="28" t="n">
        <v>39922</v>
      </c>
      <c r="C1622" s="21" t="n">
        <v>0</v>
      </c>
      <c r="D1622" s="21" t="n">
        <v>0</v>
      </c>
      <c r="E1622" s="21" t="n">
        <v>0</v>
      </c>
      <c r="F1622" s="21" t="n">
        <v>0</v>
      </c>
      <c r="G1622" s="30" t="s">
        <v>3432</v>
      </c>
    </row>
    <row r="1623" customFormat="false" ht="15" hidden="false" customHeight="false" outlineLevel="0" collapsed="false">
      <c r="A1623" s="28" t="n">
        <v>39923</v>
      </c>
      <c r="B1623" s="28" t="n">
        <v>39929</v>
      </c>
      <c r="C1623" s="21" t="n">
        <v>0</v>
      </c>
      <c r="D1623" s="21" t="n">
        <v>0</v>
      </c>
      <c r="E1623" s="21" t="n">
        <v>0</v>
      </c>
      <c r="F1623" s="21" t="n">
        <v>0</v>
      </c>
      <c r="G1623" s="30" t="s">
        <v>3432</v>
      </c>
    </row>
    <row r="1624" customFormat="false" ht="15" hidden="false" customHeight="false" outlineLevel="0" collapsed="false">
      <c r="A1624" s="28" t="n">
        <v>39930</v>
      </c>
      <c r="B1624" s="28" t="n">
        <v>39936</v>
      </c>
      <c r="C1624" s="21" t="n">
        <v>0</v>
      </c>
      <c r="D1624" s="21" t="n">
        <v>0</v>
      </c>
      <c r="E1624" s="21" t="n">
        <v>0</v>
      </c>
      <c r="F1624" s="21" t="n">
        <v>0</v>
      </c>
      <c r="G1624" s="30" t="s">
        <v>3432</v>
      </c>
    </row>
    <row r="1625" customFormat="false" ht="15" hidden="false" customHeight="false" outlineLevel="0" collapsed="false">
      <c r="A1625" s="28" t="n">
        <v>39937</v>
      </c>
      <c r="B1625" s="28" t="n">
        <v>39943</v>
      </c>
      <c r="C1625" s="21" t="n">
        <v>0</v>
      </c>
      <c r="D1625" s="21" t="n">
        <v>0</v>
      </c>
      <c r="E1625" s="21" t="n">
        <v>0</v>
      </c>
      <c r="F1625" s="21" t="n">
        <v>0</v>
      </c>
      <c r="G1625" s="30" t="s">
        <v>3432</v>
      </c>
    </row>
    <row r="1626" customFormat="false" ht="15" hidden="false" customHeight="false" outlineLevel="0" collapsed="false">
      <c r="A1626" s="28" t="n">
        <v>39944</v>
      </c>
      <c r="B1626" s="28" t="n">
        <v>39950</v>
      </c>
      <c r="C1626" s="21" t="n">
        <v>0</v>
      </c>
      <c r="D1626" s="21" t="n">
        <v>0</v>
      </c>
      <c r="E1626" s="21" t="n">
        <v>0</v>
      </c>
      <c r="F1626" s="21" t="n">
        <v>0</v>
      </c>
      <c r="G1626" s="30" t="s">
        <v>3432</v>
      </c>
    </row>
    <row r="1627" customFormat="false" ht="15" hidden="false" customHeight="false" outlineLevel="0" collapsed="false">
      <c r="A1627" s="28" t="n">
        <v>39951</v>
      </c>
      <c r="B1627" s="28" t="n">
        <v>39957</v>
      </c>
      <c r="C1627" s="21" t="n">
        <v>0</v>
      </c>
      <c r="D1627" s="21" t="n">
        <v>0</v>
      </c>
      <c r="E1627" s="21" t="n">
        <v>0</v>
      </c>
      <c r="F1627" s="21" t="n">
        <v>0</v>
      </c>
      <c r="G1627" s="30" t="s">
        <v>3432</v>
      </c>
    </row>
    <row r="1628" customFormat="false" ht="15" hidden="false" customHeight="false" outlineLevel="0" collapsed="false">
      <c r="A1628" s="28" t="n">
        <v>39958</v>
      </c>
      <c r="B1628" s="28" t="n">
        <v>39964</v>
      </c>
      <c r="C1628" s="21" t="n">
        <v>0</v>
      </c>
      <c r="D1628" s="21" t="n">
        <v>0</v>
      </c>
      <c r="E1628" s="21" t="n">
        <v>0</v>
      </c>
      <c r="F1628" s="21" t="n">
        <v>0</v>
      </c>
      <c r="G1628" s="30" t="s">
        <v>3432</v>
      </c>
    </row>
    <row r="1629" customFormat="false" ht="15" hidden="false" customHeight="false" outlineLevel="0" collapsed="false">
      <c r="A1629" s="28" t="n">
        <v>39965</v>
      </c>
      <c r="B1629" s="28" t="n">
        <v>39971</v>
      </c>
      <c r="C1629" s="21" t="n">
        <v>0</v>
      </c>
      <c r="D1629" s="21" t="n">
        <v>0</v>
      </c>
      <c r="E1629" s="21" t="n">
        <v>0</v>
      </c>
      <c r="F1629" s="21" t="n">
        <v>0</v>
      </c>
      <c r="G1629" s="30" t="s">
        <v>3432</v>
      </c>
    </row>
    <row r="1630" customFormat="false" ht="15" hidden="false" customHeight="false" outlineLevel="0" collapsed="false">
      <c r="A1630" s="28" t="n">
        <v>39972</v>
      </c>
      <c r="B1630" s="28" t="n">
        <v>39978</v>
      </c>
      <c r="C1630" s="21" t="n">
        <v>0</v>
      </c>
      <c r="D1630" s="21" t="n">
        <v>0</v>
      </c>
      <c r="E1630" s="21" t="n">
        <v>0</v>
      </c>
      <c r="F1630" s="21" t="n">
        <v>0</v>
      </c>
      <c r="G1630" s="30" t="s">
        <v>3432</v>
      </c>
    </row>
    <row r="1631" customFormat="false" ht="15" hidden="false" customHeight="false" outlineLevel="0" collapsed="false">
      <c r="A1631" s="28" t="n">
        <v>39979</v>
      </c>
      <c r="B1631" s="28" t="n">
        <v>39985</v>
      </c>
      <c r="C1631" s="21" t="n">
        <v>0</v>
      </c>
      <c r="D1631" s="21" t="n">
        <v>0</v>
      </c>
      <c r="E1631" s="21" t="n">
        <v>0</v>
      </c>
      <c r="F1631" s="21" t="n">
        <v>0</v>
      </c>
      <c r="G1631" s="30" t="s">
        <v>3432</v>
      </c>
    </row>
    <row r="1632" customFormat="false" ht="15" hidden="false" customHeight="false" outlineLevel="0" collapsed="false">
      <c r="A1632" s="28" t="n">
        <v>39986</v>
      </c>
      <c r="B1632" s="28" t="n">
        <v>39992</v>
      </c>
      <c r="C1632" s="21" t="n">
        <v>0</v>
      </c>
      <c r="D1632" s="21" t="n">
        <v>0</v>
      </c>
      <c r="E1632" s="21" t="n">
        <v>0</v>
      </c>
      <c r="F1632" s="21" t="n">
        <v>0</v>
      </c>
      <c r="G1632" s="30" t="s">
        <v>3432</v>
      </c>
    </row>
    <row r="1633" customFormat="false" ht="15" hidden="false" customHeight="false" outlineLevel="0" collapsed="false">
      <c r="A1633" s="28" t="n">
        <v>39993</v>
      </c>
      <c r="B1633" s="28" t="n">
        <v>39999</v>
      </c>
      <c r="C1633" s="21" t="n">
        <v>0</v>
      </c>
      <c r="D1633" s="21" t="n">
        <v>0</v>
      </c>
      <c r="E1633" s="21" t="n">
        <v>0</v>
      </c>
      <c r="F1633" s="21" t="n">
        <v>0</v>
      </c>
      <c r="G1633" s="30" t="s">
        <v>3432</v>
      </c>
    </row>
    <row r="1634" customFormat="false" ht="15" hidden="false" customHeight="false" outlineLevel="0" collapsed="false">
      <c r="A1634" s="28" t="n">
        <v>40000</v>
      </c>
      <c r="B1634" s="28" t="n">
        <v>40006</v>
      </c>
      <c r="C1634" s="21" t="n">
        <v>0</v>
      </c>
      <c r="D1634" s="21" t="n">
        <v>0</v>
      </c>
      <c r="E1634" s="21" t="n">
        <v>0</v>
      </c>
      <c r="F1634" s="21" t="n">
        <v>0</v>
      </c>
      <c r="G1634" s="30" t="s">
        <v>3432</v>
      </c>
    </row>
    <row r="1635" customFormat="false" ht="15" hidden="false" customHeight="false" outlineLevel="0" collapsed="false">
      <c r="A1635" s="28" t="n">
        <v>40007</v>
      </c>
      <c r="B1635" s="28" t="n">
        <v>40013</v>
      </c>
      <c r="C1635" s="21" t="n">
        <v>0</v>
      </c>
      <c r="D1635" s="21" t="n">
        <v>0</v>
      </c>
      <c r="E1635" s="21" t="n">
        <v>0</v>
      </c>
      <c r="F1635" s="21" t="n">
        <v>0</v>
      </c>
      <c r="G1635" s="30" t="s">
        <v>3432</v>
      </c>
    </row>
    <row r="1636" customFormat="false" ht="15" hidden="false" customHeight="false" outlineLevel="0" collapsed="false">
      <c r="A1636" s="28" t="n">
        <v>40014</v>
      </c>
      <c r="B1636" s="28" t="n">
        <v>40020</v>
      </c>
      <c r="C1636" s="21" t="n">
        <v>0</v>
      </c>
      <c r="D1636" s="21" t="n">
        <v>0</v>
      </c>
      <c r="E1636" s="21" t="n">
        <v>0</v>
      </c>
      <c r="F1636" s="21" t="n">
        <v>0</v>
      </c>
      <c r="G1636" s="30" t="s">
        <v>3432</v>
      </c>
    </row>
    <row r="1637" customFormat="false" ht="15" hidden="false" customHeight="false" outlineLevel="0" collapsed="false">
      <c r="A1637" s="28" t="n">
        <v>40021</v>
      </c>
      <c r="B1637" s="28" t="n">
        <v>40027</v>
      </c>
      <c r="C1637" s="21" t="n">
        <v>0</v>
      </c>
      <c r="D1637" s="21" t="n">
        <v>0</v>
      </c>
      <c r="E1637" s="21" t="n">
        <v>0</v>
      </c>
      <c r="F1637" s="21" t="n">
        <v>0</v>
      </c>
      <c r="G1637" s="30" t="s">
        <v>3432</v>
      </c>
    </row>
    <row r="1638" customFormat="false" ht="15" hidden="false" customHeight="false" outlineLevel="0" collapsed="false">
      <c r="A1638" s="28" t="n">
        <v>40028</v>
      </c>
      <c r="B1638" s="28" t="n">
        <v>40034</v>
      </c>
      <c r="C1638" s="21" t="n">
        <v>0</v>
      </c>
      <c r="D1638" s="21" t="n">
        <v>0</v>
      </c>
      <c r="E1638" s="21" t="n">
        <v>0</v>
      </c>
      <c r="F1638" s="21" t="n">
        <v>0</v>
      </c>
      <c r="G1638" s="30" t="s">
        <v>3432</v>
      </c>
    </row>
    <row r="1639" customFormat="false" ht="15" hidden="false" customHeight="false" outlineLevel="0" collapsed="false">
      <c r="A1639" s="28" t="n">
        <v>40035</v>
      </c>
      <c r="B1639" s="28" t="n">
        <v>40041</v>
      </c>
      <c r="C1639" s="21" t="n">
        <v>0</v>
      </c>
      <c r="D1639" s="21" t="n">
        <v>0</v>
      </c>
      <c r="E1639" s="21" t="n">
        <v>0</v>
      </c>
      <c r="F1639" s="21" t="n">
        <v>0</v>
      </c>
      <c r="G1639" s="30" t="s">
        <v>3432</v>
      </c>
    </row>
    <row r="1640" customFormat="false" ht="15" hidden="false" customHeight="false" outlineLevel="0" collapsed="false">
      <c r="A1640" s="28" t="n">
        <v>40042</v>
      </c>
      <c r="B1640" s="28" t="n">
        <v>40048</v>
      </c>
      <c r="C1640" s="21" t="n">
        <v>0</v>
      </c>
      <c r="D1640" s="21" t="n">
        <v>0</v>
      </c>
      <c r="E1640" s="21" t="n">
        <v>0</v>
      </c>
      <c r="F1640" s="21" t="n">
        <v>0</v>
      </c>
      <c r="G1640" s="30" t="s">
        <v>3432</v>
      </c>
    </row>
    <row r="1641" customFormat="false" ht="15" hidden="false" customHeight="false" outlineLevel="0" collapsed="false">
      <c r="A1641" s="28" t="n">
        <v>40049</v>
      </c>
      <c r="B1641" s="28" t="n">
        <v>40055</v>
      </c>
      <c r="C1641" s="21" t="n">
        <v>0</v>
      </c>
      <c r="D1641" s="21" t="n">
        <v>0</v>
      </c>
      <c r="E1641" s="21" t="n">
        <v>0</v>
      </c>
      <c r="F1641" s="21" t="n">
        <v>0</v>
      </c>
      <c r="G1641" s="30" t="s">
        <v>3432</v>
      </c>
    </row>
    <row r="1642" customFormat="false" ht="15" hidden="false" customHeight="false" outlineLevel="0" collapsed="false">
      <c r="A1642" s="28" t="n">
        <v>40056</v>
      </c>
      <c r="B1642" s="28" t="n">
        <v>40062</v>
      </c>
      <c r="C1642" s="21" t="n">
        <v>0</v>
      </c>
      <c r="D1642" s="21" t="n">
        <v>0</v>
      </c>
      <c r="E1642" s="21" t="n">
        <v>0</v>
      </c>
      <c r="F1642" s="21" t="n">
        <v>0</v>
      </c>
      <c r="G1642" s="30" t="s">
        <v>3432</v>
      </c>
    </row>
    <row r="1643" customFormat="false" ht="15" hidden="false" customHeight="false" outlineLevel="0" collapsed="false">
      <c r="A1643" s="28" t="n">
        <v>40063</v>
      </c>
      <c r="B1643" s="28" t="n">
        <v>40069</v>
      </c>
      <c r="C1643" s="21" t="n">
        <v>0</v>
      </c>
      <c r="D1643" s="21" t="n">
        <v>0</v>
      </c>
      <c r="E1643" s="21" t="n">
        <v>0</v>
      </c>
      <c r="F1643" s="21" t="n">
        <v>0</v>
      </c>
      <c r="G1643" s="30" t="s">
        <v>3432</v>
      </c>
    </row>
    <row r="1644" customFormat="false" ht="15" hidden="false" customHeight="false" outlineLevel="0" collapsed="false">
      <c r="A1644" s="28" t="n">
        <v>40070</v>
      </c>
      <c r="B1644" s="28" t="n">
        <v>40076</v>
      </c>
      <c r="C1644" s="21" t="n">
        <v>0</v>
      </c>
      <c r="D1644" s="21" t="n">
        <v>0</v>
      </c>
      <c r="E1644" s="21" t="n">
        <v>0</v>
      </c>
      <c r="F1644" s="21" t="n">
        <v>0</v>
      </c>
      <c r="G1644" s="30" t="s">
        <v>3432</v>
      </c>
    </row>
    <row r="1645" customFormat="false" ht="15" hidden="false" customHeight="false" outlineLevel="0" collapsed="false">
      <c r="A1645" s="28" t="n">
        <v>40077</v>
      </c>
      <c r="B1645" s="28" t="n">
        <v>40083</v>
      </c>
      <c r="C1645" s="21" t="n">
        <v>0</v>
      </c>
      <c r="D1645" s="21" t="n">
        <v>0</v>
      </c>
      <c r="E1645" s="21" t="n">
        <v>0</v>
      </c>
      <c r="F1645" s="21" t="n">
        <v>0</v>
      </c>
      <c r="G1645" s="30" t="s">
        <v>3432</v>
      </c>
    </row>
    <row r="1646" customFormat="false" ht="15" hidden="false" customHeight="false" outlineLevel="0" collapsed="false">
      <c r="A1646" s="28" t="n">
        <v>40084</v>
      </c>
      <c r="B1646" s="28" t="n">
        <v>40090</v>
      </c>
      <c r="C1646" s="21" t="n">
        <v>0</v>
      </c>
      <c r="D1646" s="21" t="n">
        <v>0</v>
      </c>
      <c r="E1646" s="21" t="n">
        <v>0</v>
      </c>
      <c r="F1646" s="21" t="n">
        <v>0</v>
      </c>
      <c r="G1646" s="30" t="s">
        <v>3432</v>
      </c>
    </row>
    <row r="1647" customFormat="false" ht="15" hidden="false" customHeight="false" outlineLevel="0" collapsed="false">
      <c r="A1647" s="28" t="n">
        <v>40091</v>
      </c>
      <c r="B1647" s="28" t="n">
        <v>40097</v>
      </c>
      <c r="C1647" s="21" t="n">
        <v>0</v>
      </c>
      <c r="D1647" s="21" t="n">
        <v>0</v>
      </c>
      <c r="E1647" s="21" t="n">
        <v>0</v>
      </c>
      <c r="F1647" s="21" t="n">
        <v>0</v>
      </c>
      <c r="G1647" s="30" t="s">
        <v>3432</v>
      </c>
    </row>
    <row r="1648" customFormat="false" ht="15" hidden="false" customHeight="false" outlineLevel="0" collapsed="false">
      <c r="A1648" s="28" t="n">
        <v>40098</v>
      </c>
      <c r="B1648" s="28" t="n">
        <v>40104</v>
      </c>
      <c r="C1648" s="21" t="n">
        <v>0</v>
      </c>
      <c r="D1648" s="21" t="n">
        <v>0</v>
      </c>
      <c r="E1648" s="21" t="n">
        <v>0</v>
      </c>
      <c r="F1648" s="21" t="n">
        <v>0</v>
      </c>
      <c r="G1648" s="30" t="s">
        <v>3432</v>
      </c>
    </row>
    <row r="1649" customFormat="false" ht="15" hidden="false" customHeight="false" outlineLevel="0" collapsed="false">
      <c r="A1649" s="28" t="n">
        <v>40105</v>
      </c>
      <c r="B1649" s="28" t="n">
        <v>40111</v>
      </c>
      <c r="C1649" s="21" t="n">
        <v>0</v>
      </c>
      <c r="D1649" s="21" t="n">
        <v>0</v>
      </c>
      <c r="E1649" s="21" t="n">
        <v>0</v>
      </c>
      <c r="F1649" s="21" t="n">
        <v>0</v>
      </c>
      <c r="G1649" s="30" t="s">
        <v>3432</v>
      </c>
    </row>
    <row r="1650" customFormat="false" ht="15" hidden="false" customHeight="false" outlineLevel="0" collapsed="false">
      <c r="A1650" s="28" t="n">
        <v>40112</v>
      </c>
      <c r="B1650" s="28" t="n">
        <v>40118</v>
      </c>
      <c r="C1650" s="21" t="n">
        <v>0</v>
      </c>
      <c r="D1650" s="21" t="n">
        <v>0</v>
      </c>
      <c r="E1650" s="21" t="n">
        <v>0</v>
      </c>
      <c r="F1650" s="21" t="n">
        <v>0</v>
      </c>
      <c r="G1650" s="30" t="s">
        <v>3432</v>
      </c>
    </row>
    <row r="1651" customFormat="false" ht="15" hidden="false" customHeight="false" outlineLevel="0" collapsed="false">
      <c r="A1651" s="28" t="n">
        <v>40119</v>
      </c>
      <c r="B1651" s="28" t="n">
        <v>40125</v>
      </c>
      <c r="C1651" s="21" t="n">
        <v>0</v>
      </c>
      <c r="D1651" s="21" t="n">
        <v>0</v>
      </c>
      <c r="E1651" s="21" t="n">
        <v>0</v>
      </c>
      <c r="F1651" s="21" t="n">
        <v>0</v>
      </c>
      <c r="G1651" s="30" t="s">
        <v>3432</v>
      </c>
    </row>
    <row r="1652" customFormat="false" ht="15" hidden="false" customHeight="false" outlineLevel="0" collapsed="false">
      <c r="A1652" s="28" t="n">
        <v>40126</v>
      </c>
      <c r="B1652" s="28" t="n">
        <v>40132</v>
      </c>
      <c r="C1652" s="21" t="n">
        <v>0</v>
      </c>
      <c r="D1652" s="21" t="n">
        <v>0</v>
      </c>
      <c r="E1652" s="21" t="n">
        <v>0</v>
      </c>
      <c r="F1652" s="21" t="n">
        <v>0</v>
      </c>
      <c r="G1652" s="30" t="s">
        <v>3432</v>
      </c>
    </row>
    <row r="1653" customFormat="false" ht="15" hidden="false" customHeight="false" outlineLevel="0" collapsed="false">
      <c r="A1653" s="28" t="n">
        <v>40133</v>
      </c>
      <c r="B1653" s="28" t="n">
        <v>40139</v>
      </c>
      <c r="C1653" s="21" t="n">
        <v>0</v>
      </c>
      <c r="D1653" s="21" t="n">
        <v>0</v>
      </c>
      <c r="E1653" s="21" t="n">
        <v>0</v>
      </c>
      <c r="F1653" s="21" t="n">
        <v>0</v>
      </c>
      <c r="G1653" s="30" t="s">
        <v>3432</v>
      </c>
    </row>
    <row r="1654" customFormat="false" ht="15" hidden="false" customHeight="false" outlineLevel="0" collapsed="false">
      <c r="A1654" s="28" t="n">
        <v>40140</v>
      </c>
      <c r="B1654" s="28" t="n">
        <v>40146</v>
      </c>
      <c r="C1654" s="21" t="n">
        <v>0</v>
      </c>
      <c r="D1654" s="21" t="n">
        <v>0</v>
      </c>
      <c r="E1654" s="21" t="n">
        <v>0</v>
      </c>
      <c r="F1654" s="21" t="n">
        <v>0</v>
      </c>
      <c r="G1654" s="30" t="s">
        <v>3432</v>
      </c>
    </row>
    <row r="1655" customFormat="false" ht="15" hidden="false" customHeight="false" outlineLevel="0" collapsed="false">
      <c r="A1655" s="28" t="n">
        <v>40147</v>
      </c>
      <c r="B1655" s="28" t="n">
        <v>40153</v>
      </c>
      <c r="C1655" s="21" t="n">
        <v>0</v>
      </c>
      <c r="D1655" s="21" t="n">
        <v>0</v>
      </c>
      <c r="E1655" s="21" t="n">
        <v>0</v>
      </c>
      <c r="F1655" s="21" t="n">
        <v>0</v>
      </c>
      <c r="G1655" s="30" t="s">
        <v>3432</v>
      </c>
    </row>
    <row r="1656" customFormat="false" ht="15" hidden="false" customHeight="false" outlineLevel="0" collapsed="false">
      <c r="A1656" s="28" t="n">
        <v>40154</v>
      </c>
      <c r="B1656" s="28" t="n">
        <v>40160</v>
      </c>
      <c r="C1656" s="21" t="n">
        <v>0</v>
      </c>
      <c r="D1656" s="21" t="n">
        <v>0</v>
      </c>
      <c r="E1656" s="21" t="n">
        <v>0</v>
      </c>
      <c r="F1656" s="21" t="n">
        <v>0</v>
      </c>
      <c r="G1656" s="30" t="s">
        <v>3432</v>
      </c>
    </row>
    <row r="1657" customFormat="false" ht="15" hidden="false" customHeight="false" outlineLevel="0" collapsed="false">
      <c r="A1657" s="28" t="n">
        <v>40161</v>
      </c>
      <c r="B1657" s="28" t="n">
        <v>40167</v>
      </c>
      <c r="C1657" s="21" t="n">
        <v>0</v>
      </c>
      <c r="D1657" s="21" t="n">
        <v>0</v>
      </c>
      <c r="E1657" s="21" t="n">
        <v>0</v>
      </c>
      <c r="F1657" s="21" t="n">
        <v>0</v>
      </c>
      <c r="G1657" s="30" t="s">
        <v>3432</v>
      </c>
    </row>
    <row r="1658" customFormat="false" ht="15" hidden="false" customHeight="false" outlineLevel="0" collapsed="false">
      <c r="A1658" s="28" t="n">
        <v>40168</v>
      </c>
      <c r="B1658" s="28" t="n">
        <v>40174</v>
      </c>
      <c r="C1658" s="21" t="n">
        <v>0</v>
      </c>
      <c r="D1658" s="21" t="n">
        <v>0</v>
      </c>
      <c r="E1658" s="21" t="n">
        <v>0</v>
      </c>
      <c r="F1658" s="21" t="n">
        <v>0</v>
      </c>
      <c r="G1658" s="30" t="s">
        <v>3432</v>
      </c>
    </row>
    <row r="1659" customFormat="false" ht="15" hidden="false" customHeight="false" outlineLevel="0" collapsed="false">
      <c r="A1659" s="28" t="n">
        <v>40175</v>
      </c>
      <c r="B1659" s="28" t="n">
        <v>40181</v>
      </c>
      <c r="C1659" s="21" t="n">
        <v>0</v>
      </c>
      <c r="D1659" s="21" t="n">
        <v>0</v>
      </c>
      <c r="E1659" s="21" t="n">
        <v>0</v>
      </c>
      <c r="F1659" s="21" t="n">
        <v>0</v>
      </c>
      <c r="G1659" s="30" t="s">
        <v>3432</v>
      </c>
    </row>
    <row r="1660" customFormat="false" ht="15" hidden="false" customHeight="false" outlineLevel="0" collapsed="false">
      <c r="A1660" s="28" t="n">
        <v>40182</v>
      </c>
      <c r="B1660" s="28" t="n">
        <v>40188</v>
      </c>
      <c r="C1660" s="21" t="n">
        <v>0</v>
      </c>
      <c r="D1660" s="21" t="n">
        <v>0</v>
      </c>
      <c r="E1660" s="21" t="n">
        <v>0</v>
      </c>
      <c r="F1660" s="21" t="n">
        <v>0</v>
      </c>
      <c r="G1660" s="30" t="s">
        <v>3432</v>
      </c>
    </row>
    <row r="1661" customFormat="false" ht="15" hidden="false" customHeight="false" outlineLevel="0" collapsed="false">
      <c r="A1661" s="28" t="n">
        <v>40189</v>
      </c>
      <c r="B1661" s="28" t="n">
        <v>40195</v>
      </c>
      <c r="C1661" s="21" t="n">
        <v>0</v>
      </c>
      <c r="D1661" s="21" t="n">
        <v>0</v>
      </c>
      <c r="E1661" s="21" t="n">
        <v>0</v>
      </c>
      <c r="F1661" s="21" t="n">
        <v>0</v>
      </c>
      <c r="G1661" s="30" t="s">
        <v>3432</v>
      </c>
    </row>
    <row r="1662" customFormat="false" ht="15" hidden="false" customHeight="false" outlineLevel="0" collapsed="false">
      <c r="A1662" s="28" t="n">
        <v>40196</v>
      </c>
      <c r="B1662" s="28" t="n">
        <v>40202</v>
      </c>
      <c r="C1662" s="21" t="n">
        <v>0</v>
      </c>
      <c r="D1662" s="21" t="n">
        <v>0</v>
      </c>
      <c r="E1662" s="21" t="n">
        <v>0</v>
      </c>
      <c r="F1662" s="21" t="n">
        <v>0</v>
      </c>
      <c r="G1662" s="30" t="s">
        <v>3432</v>
      </c>
    </row>
    <row r="1663" customFormat="false" ht="15" hidden="false" customHeight="false" outlineLevel="0" collapsed="false">
      <c r="A1663" s="28" t="n">
        <v>40203</v>
      </c>
      <c r="B1663" s="28" t="n">
        <v>40209</v>
      </c>
      <c r="C1663" s="21" t="n">
        <v>0</v>
      </c>
      <c r="D1663" s="21" t="n">
        <v>0</v>
      </c>
      <c r="E1663" s="21" t="n">
        <v>0</v>
      </c>
      <c r="F1663" s="21" t="n">
        <v>0</v>
      </c>
      <c r="G1663" s="30" t="s">
        <v>3432</v>
      </c>
    </row>
    <row r="1664" customFormat="false" ht="15" hidden="false" customHeight="false" outlineLevel="0" collapsed="false">
      <c r="A1664" s="28" t="n">
        <v>40210</v>
      </c>
      <c r="B1664" s="28" t="n">
        <v>40216</v>
      </c>
      <c r="C1664" s="21" t="n">
        <v>0</v>
      </c>
      <c r="D1664" s="21" t="n">
        <v>0</v>
      </c>
      <c r="E1664" s="21" t="n">
        <v>0</v>
      </c>
      <c r="F1664" s="21" t="n">
        <v>0</v>
      </c>
      <c r="G1664" s="30" t="s">
        <v>3432</v>
      </c>
    </row>
    <row r="1665" customFormat="false" ht="15" hidden="false" customHeight="false" outlineLevel="0" collapsed="false">
      <c r="A1665" s="28" t="n">
        <v>40217</v>
      </c>
      <c r="B1665" s="28" t="n">
        <v>40223</v>
      </c>
      <c r="C1665" s="21" t="n">
        <v>0</v>
      </c>
      <c r="D1665" s="21" t="n">
        <v>0</v>
      </c>
      <c r="E1665" s="21" t="n">
        <v>0</v>
      </c>
      <c r="F1665" s="21" t="n">
        <v>0</v>
      </c>
      <c r="G1665" s="30" t="s">
        <v>3432</v>
      </c>
    </row>
    <row r="1666" customFormat="false" ht="15" hidden="false" customHeight="false" outlineLevel="0" collapsed="false">
      <c r="A1666" s="28" t="n">
        <v>40224</v>
      </c>
      <c r="B1666" s="28" t="n">
        <v>40230</v>
      </c>
      <c r="C1666" s="21" t="n">
        <v>0</v>
      </c>
      <c r="D1666" s="21" t="n">
        <v>0</v>
      </c>
      <c r="E1666" s="21" t="n">
        <v>0</v>
      </c>
      <c r="F1666" s="21" t="n">
        <v>0</v>
      </c>
      <c r="G1666" s="30" t="s">
        <v>3432</v>
      </c>
    </row>
    <row r="1667" customFormat="false" ht="15" hidden="false" customHeight="false" outlineLevel="0" collapsed="false">
      <c r="A1667" s="28" t="n">
        <v>40231</v>
      </c>
      <c r="B1667" s="28" t="n">
        <v>40237</v>
      </c>
      <c r="C1667" s="21" t="n">
        <v>0</v>
      </c>
      <c r="D1667" s="21" t="n">
        <v>0</v>
      </c>
      <c r="E1667" s="21" t="n">
        <v>0</v>
      </c>
      <c r="F1667" s="21" t="n">
        <v>0</v>
      </c>
      <c r="G1667" s="30" t="s">
        <v>3432</v>
      </c>
    </row>
    <row r="1668" customFormat="false" ht="15" hidden="false" customHeight="false" outlineLevel="0" collapsed="false">
      <c r="A1668" s="28" t="n">
        <v>40238</v>
      </c>
      <c r="B1668" s="28" t="n">
        <v>40244</v>
      </c>
      <c r="C1668" s="21" t="n">
        <v>0</v>
      </c>
      <c r="D1668" s="21" t="n">
        <v>0</v>
      </c>
      <c r="E1668" s="21" t="n">
        <v>0</v>
      </c>
      <c r="F1668" s="21" t="n">
        <v>0</v>
      </c>
      <c r="G1668" s="30" t="s">
        <v>3432</v>
      </c>
    </row>
    <row r="1669" customFormat="false" ht="15" hidden="false" customHeight="false" outlineLevel="0" collapsed="false">
      <c r="A1669" s="28" t="n">
        <v>40245</v>
      </c>
      <c r="B1669" s="28" t="n">
        <v>40251</v>
      </c>
      <c r="C1669" s="21" t="n">
        <v>0</v>
      </c>
      <c r="D1669" s="21" t="n">
        <v>0</v>
      </c>
      <c r="E1669" s="21" t="n">
        <v>0</v>
      </c>
      <c r="F1669" s="21" t="n">
        <v>0</v>
      </c>
      <c r="G1669" s="30" t="s">
        <v>3432</v>
      </c>
    </row>
    <row r="1670" customFormat="false" ht="15" hidden="false" customHeight="false" outlineLevel="0" collapsed="false">
      <c r="A1670" s="28" t="n">
        <v>40252</v>
      </c>
      <c r="B1670" s="28" t="n">
        <v>40258</v>
      </c>
      <c r="C1670" s="21" t="n">
        <v>0</v>
      </c>
      <c r="D1670" s="21" t="n">
        <v>0</v>
      </c>
      <c r="E1670" s="21" t="n">
        <v>0</v>
      </c>
      <c r="F1670" s="21" t="n">
        <v>0</v>
      </c>
      <c r="G1670" s="30" t="s">
        <v>3432</v>
      </c>
    </row>
    <row r="1671" customFormat="false" ht="15" hidden="false" customHeight="false" outlineLevel="0" collapsed="false">
      <c r="A1671" s="28" t="n">
        <v>40259</v>
      </c>
      <c r="B1671" s="28" t="n">
        <v>40265</v>
      </c>
      <c r="C1671" s="21" t="n">
        <v>0</v>
      </c>
      <c r="D1671" s="21" t="n">
        <v>0</v>
      </c>
      <c r="E1671" s="21" t="n">
        <v>0</v>
      </c>
      <c r="F1671" s="21" t="n">
        <v>0</v>
      </c>
      <c r="G1671" s="30" t="s">
        <v>3432</v>
      </c>
    </row>
    <row r="1672" customFormat="false" ht="15" hidden="false" customHeight="false" outlineLevel="0" collapsed="false">
      <c r="A1672" s="28" t="n">
        <v>40266</v>
      </c>
      <c r="B1672" s="28" t="n">
        <v>40272</v>
      </c>
      <c r="C1672" s="21" t="n">
        <v>0</v>
      </c>
      <c r="D1672" s="21" t="n">
        <v>0</v>
      </c>
      <c r="E1672" s="21" t="n">
        <v>0</v>
      </c>
      <c r="F1672" s="21" t="n">
        <v>0</v>
      </c>
      <c r="G1672" s="30" t="s">
        <v>3432</v>
      </c>
    </row>
    <row r="1673" customFormat="false" ht="15" hidden="false" customHeight="false" outlineLevel="0" collapsed="false">
      <c r="A1673" s="28" t="n">
        <v>40273</v>
      </c>
      <c r="B1673" s="28" t="n">
        <v>40279</v>
      </c>
      <c r="C1673" s="21" t="n">
        <v>0</v>
      </c>
      <c r="D1673" s="21" t="n">
        <v>0</v>
      </c>
      <c r="E1673" s="21" t="n">
        <v>0</v>
      </c>
      <c r="F1673" s="21" t="n">
        <v>0</v>
      </c>
      <c r="G1673" s="30" t="s">
        <v>3432</v>
      </c>
    </row>
    <row r="1674" customFormat="false" ht="15" hidden="false" customHeight="false" outlineLevel="0" collapsed="false">
      <c r="A1674" s="28" t="n">
        <v>40280</v>
      </c>
      <c r="B1674" s="28" t="n">
        <v>40286</v>
      </c>
      <c r="C1674" s="21" t="n">
        <v>0</v>
      </c>
      <c r="D1674" s="21" t="n">
        <v>0</v>
      </c>
      <c r="E1674" s="21" t="n">
        <v>0</v>
      </c>
      <c r="F1674" s="21" t="n">
        <v>0</v>
      </c>
      <c r="G1674" s="30" t="s">
        <v>3432</v>
      </c>
    </row>
    <row r="1675" customFormat="false" ht="15" hidden="false" customHeight="false" outlineLevel="0" collapsed="false">
      <c r="A1675" s="28" t="n">
        <v>40287</v>
      </c>
      <c r="B1675" s="28" t="n">
        <v>40293</v>
      </c>
      <c r="C1675" s="21" t="n">
        <v>0</v>
      </c>
      <c r="D1675" s="21" t="n">
        <v>0</v>
      </c>
      <c r="E1675" s="21" t="n">
        <v>0</v>
      </c>
      <c r="F1675" s="21" t="n">
        <v>0</v>
      </c>
      <c r="G1675" s="30" t="s">
        <v>3432</v>
      </c>
    </row>
    <row r="1676" customFormat="false" ht="15" hidden="false" customHeight="false" outlineLevel="0" collapsed="false">
      <c r="A1676" s="28" t="n">
        <v>40294</v>
      </c>
      <c r="B1676" s="28" t="n">
        <v>40300</v>
      </c>
      <c r="C1676" s="21" t="n">
        <v>0</v>
      </c>
      <c r="D1676" s="21" t="n">
        <v>0</v>
      </c>
      <c r="E1676" s="21" t="n">
        <v>0</v>
      </c>
      <c r="F1676" s="21" t="n">
        <v>0</v>
      </c>
      <c r="G1676" s="30" t="s">
        <v>3432</v>
      </c>
    </row>
    <row r="1677" customFormat="false" ht="15" hidden="false" customHeight="false" outlineLevel="0" collapsed="false">
      <c r="A1677" s="28" t="n">
        <v>40301</v>
      </c>
      <c r="B1677" s="28" t="n">
        <v>40307</v>
      </c>
      <c r="C1677" s="21" t="n">
        <v>0</v>
      </c>
      <c r="D1677" s="21" t="n">
        <v>0</v>
      </c>
      <c r="E1677" s="21" t="n">
        <v>0</v>
      </c>
      <c r="F1677" s="21" t="n">
        <v>0</v>
      </c>
      <c r="G1677" s="30" t="s">
        <v>3432</v>
      </c>
    </row>
    <row r="1678" customFormat="false" ht="15" hidden="false" customHeight="false" outlineLevel="0" collapsed="false">
      <c r="A1678" s="28" t="n">
        <v>40308</v>
      </c>
      <c r="B1678" s="28" t="n">
        <v>40314</v>
      </c>
      <c r="C1678" s="21" t="n">
        <v>0</v>
      </c>
      <c r="D1678" s="21" t="n">
        <v>0</v>
      </c>
      <c r="E1678" s="21" t="n">
        <v>0</v>
      </c>
      <c r="F1678" s="21" t="n">
        <v>0</v>
      </c>
      <c r="G1678" s="30" t="s">
        <v>3432</v>
      </c>
    </row>
    <row r="1679" customFormat="false" ht="15" hidden="false" customHeight="false" outlineLevel="0" collapsed="false">
      <c r="A1679" s="28" t="n">
        <v>40315</v>
      </c>
      <c r="B1679" s="28" t="n">
        <v>40321</v>
      </c>
      <c r="C1679" s="21" t="n">
        <v>0</v>
      </c>
      <c r="D1679" s="21" t="n">
        <v>0</v>
      </c>
      <c r="E1679" s="21" t="n">
        <v>0</v>
      </c>
      <c r="F1679" s="21" t="n">
        <v>0</v>
      </c>
      <c r="G1679" s="30" t="s">
        <v>3432</v>
      </c>
    </row>
    <row r="1680" customFormat="false" ht="15" hidden="false" customHeight="false" outlineLevel="0" collapsed="false">
      <c r="A1680" s="28" t="n">
        <v>40322</v>
      </c>
      <c r="B1680" s="28" t="n">
        <v>40328</v>
      </c>
      <c r="C1680" s="21" t="n">
        <v>0</v>
      </c>
      <c r="D1680" s="21" t="n">
        <v>0</v>
      </c>
      <c r="E1680" s="21" t="n">
        <v>0</v>
      </c>
      <c r="F1680" s="21" t="n">
        <v>0</v>
      </c>
      <c r="G1680" s="30" t="s">
        <v>3432</v>
      </c>
    </row>
    <row r="1681" customFormat="false" ht="15" hidden="false" customHeight="false" outlineLevel="0" collapsed="false">
      <c r="A1681" s="28" t="n">
        <v>40329</v>
      </c>
      <c r="B1681" s="28" t="n">
        <v>40335</v>
      </c>
      <c r="C1681" s="21" t="n">
        <v>0</v>
      </c>
      <c r="D1681" s="21" t="n">
        <v>0</v>
      </c>
      <c r="E1681" s="21" t="n">
        <v>0</v>
      </c>
      <c r="F1681" s="21" t="n">
        <v>0</v>
      </c>
      <c r="G1681" s="30" t="s">
        <v>3432</v>
      </c>
    </row>
    <row r="1682" customFormat="false" ht="15" hidden="false" customHeight="false" outlineLevel="0" collapsed="false">
      <c r="A1682" s="28" t="n">
        <v>40336</v>
      </c>
      <c r="B1682" s="28" t="n">
        <v>40342</v>
      </c>
      <c r="C1682" s="21" t="n">
        <v>0</v>
      </c>
      <c r="D1682" s="21" t="n">
        <v>0</v>
      </c>
      <c r="E1682" s="21" t="n">
        <v>0</v>
      </c>
      <c r="F1682" s="21" t="n">
        <v>0</v>
      </c>
      <c r="G1682" s="30" t="s">
        <v>3432</v>
      </c>
    </row>
    <row r="1683" customFormat="false" ht="15" hidden="false" customHeight="false" outlineLevel="0" collapsed="false">
      <c r="A1683" s="28" t="n">
        <v>40343</v>
      </c>
      <c r="B1683" s="28" t="n">
        <v>40349</v>
      </c>
      <c r="C1683" s="21" t="n">
        <v>0</v>
      </c>
      <c r="D1683" s="21" t="n">
        <v>0</v>
      </c>
      <c r="E1683" s="21" t="n">
        <v>0</v>
      </c>
      <c r="F1683" s="21" t="n">
        <v>0</v>
      </c>
      <c r="G1683" s="30" t="s">
        <v>3432</v>
      </c>
    </row>
    <row r="1684" customFormat="false" ht="15" hidden="false" customHeight="false" outlineLevel="0" collapsed="false">
      <c r="A1684" s="28" t="n">
        <v>40350</v>
      </c>
      <c r="B1684" s="28" t="n">
        <v>40356</v>
      </c>
      <c r="C1684" s="21" t="n">
        <v>0</v>
      </c>
      <c r="D1684" s="21" t="n">
        <v>0</v>
      </c>
      <c r="E1684" s="21" t="n">
        <v>0</v>
      </c>
      <c r="F1684" s="21" t="n">
        <v>0</v>
      </c>
      <c r="G1684" s="30" t="s">
        <v>3432</v>
      </c>
    </row>
    <row r="1685" customFormat="false" ht="15" hidden="false" customHeight="false" outlineLevel="0" collapsed="false">
      <c r="A1685" s="28" t="n">
        <v>40357</v>
      </c>
      <c r="B1685" s="28" t="n">
        <v>40363</v>
      </c>
      <c r="C1685" s="21" t="n">
        <v>0</v>
      </c>
      <c r="D1685" s="21" t="n">
        <v>0</v>
      </c>
      <c r="E1685" s="21" t="n">
        <v>0</v>
      </c>
      <c r="F1685" s="21" t="n">
        <v>0</v>
      </c>
      <c r="G1685" s="30" t="s">
        <v>3432</v>
      </c>
    </row>
    <row r="1686" customFormat="false" ht="15" hidden="false" customHeight="false" outlineLevel="0" collapsed="false">
      <c r="A1686" s="28" t="n">
        <v>40364</v>
      </c>
      <c r="B1686" s="28" t="n">
        <v>40370</v>
      </c>
      <c r="C1686" s="21" t="n">
        <v>0</v>
      </c>
      <c r="D1686" s="21" t="n">
        <v>0</v>
      </c>
      <c r="E1686" s="21" t="n">
        <v>0</v>
      </c>
      <c r="F1686" s="21" t="n">
        <v>0</v>
      </c>
      <c r="G1686" s="30" t="s">
        <v>3432</v>
      </c>
    </row>
    <row r="1687" customFormat="false" ht="15" hidden="false" customHeight="false" outlineLevel="0" collapsed="false">
      <c r="A1687" s="28" t="n">
        <v>40371</v>
      </c>
      <c r="B1687" s="28" t="n">
        <v>40377</v>
      </c>
      <c r="C1687" s="21" t="n">
        <v>0</v>
      </c>
      <c r="D1687" s="21" t="n">
        <v>0</v>
      </c>
      <c r="E1687" s="21" t="n">
        <v>0</v>
      </c>
      <c r="F1687" s="21" t="n">
        <v>0</v>
      </c>
      <c r="G1687" s="30" t="s">
        <v>3432</v>
      </c>
    </row>
    <row r="1688" customFormat="false" ht="15" hidden="false" customHeight="false" outlineLevel="0" collapsed="false">
      <c r="A1688" s="28" t="n">
        <v>40378</v>
      </c>
      <c r="B1688" s="28" t="n">
        <v>40384</v>
      </c>
      <c r="C1688" s="21" t="n">
        <v>0</v>
      </c>
      <c r="D1688" s="21" t="n">
        <v>0</v>
      </c>
      <c r="E1688" s="21" t="n">
        <v>0</v>
      </c>
      <c r="F1688" s="21" t="n">
        <v>0</v>
      </c>
      <c r="G1688" s="30" t="s">
        <v>3432</v>
      </c>
    </row>
    <row r="1689" customFormat="false" ht="15" hidden="false" customHeight="false" outlineLevel="0" collapsed="false">
      <c r="A1689" s="28" t="n">
        <v>40385</v>
      </c>
      <c r="B1689" s="28" t="n">
        <v>40391</v>
      </c>
      <c r="C1689" s="21" t="n">
        <v>0</v>
      </c>
      <c r="D1689" s="21" t="n">
        <v>0</v>
      </c>
      <c r="E1689" s="21" t="n">
        <v>0</v>
      </c>
      <c r="F1689" s="21" t="n">
        <v>0</v>
      </c>
      <c r="G1689" s="30" t="s">
        <v>3432</v>
      </c>
    </row>
    <row r="1690" customFormat="false" ht="15" hidden="false" customHeight="false" outlineLevel="0" collapsed="false">
      <c r="A1690" s="28" t="n">
        <v>40392</v>
      </c>
      <c r="B1690" s="28" t="n">
        <v>40398</v>
      </c>
      <c r="C1690" s="21" t="n">
        <v>0</v>
      </c>
      <c r="D1690" s="21" t="n">
        <v>0</v>
      </c>
      <c r="E1690" s="21" t="n">
        <v>0</v>
      </c>
      <c r="F1690" s="21" t="n">
        <v>0</v>
      </c>
      <c r="G1690" s="30" t="s">
        <v>3432</v>
      </c>
    </row>
    <row r="1691" customFormat="false" ht="15" hidden="false" customHeight="false" outlineLevel="0" collapsed="false">
      <c r="A1691" s="28" t="n">
        <v>40399</v>
      </c>
      <c r="B1691" s="28" t="n">
        <v>40405</v>
      </c>
      <c r="C1691" s="21" t="n">
        <v>0</v>
      </c>
      <c r="D1691" s="21" t="n">
        <v>0</v>
      </c>
      <c r="E1691" s="21" t="n">
        <v>0</v>
      </c>
      <c r="F1691" s="21" t="n">
        <v>0</v>
      </c>
      <c r="G1691" s="30" t="s">
        <v>3432</v>
      </c>
    </row>
    <row r="1692" customFormat="false" ht="15" hidden="false" customHeight="false" outlineLevel="0" collapsed="false">
      <c r="A1692" s="28" t="n">
        <v>40406</v>
      </c>
      <c r="B1692" s="28" t="n">
        <v>40412</v>
      </c>
      <c r="C1692" s="21" t="n">
        <v>0</v>
      </c>
      <c r="D1692" s="21" t="n">
        <v>0</v>
      </c>
      <c r="E1692" s="21" t="n">
        <v>0</v>
      </c>
      <c r="F1692" s="21" t="n">
        <v>0</v>
      </c>
      <c r="G1692" s="30" t="s">
        <v>3432</v>
      </c>
    </row>
    <row r="1693" customFormat="false" ht="15" hidden="false" customHeight="false" outlineLevel="0" collapsed="false">
      <c r="A1693" s="28" t="n">
        <v>40413</v>
      </c>
      <c r="B1693" s="28" t="n">
        <v>40419</v>
      </c>
      <c r="C1693" s="21" t="n">
        <v>0</v>
      </c>
      <c r="D1693" s="21" t="n">
        <v>0</v>
      </c>
      <c r="E1693" s="21" t="n">
        <v>0</v>
      </c>
      <c r="F1693" s="21" t="n">
        <v>0</v>
      </c>
      <c r="G1693" s="30" t="s">
        <v>3432</v>
      </c>
    </row>
    <row r="1694" customFormat="false" ht="15" hidden="false" customHeight="false" outlineLevel="0" collapsed="false">
      <c r="A1694" s="28" t="n">
        <v>40420</v>
      </c>
      <c r="B1694" s="28" t="n">
        <v>40426</v>
      </c>
      <c r="C1694" s="21" t="n">
        <v>0</v>
      </c>
      <c r="D1694" s="21" t="n">
        <v>0</v>
      </c>
      <c r="E1694" s="21" t="n">
        <v>0</v>
      </c>
      <c r="F1694" s="21" t="n">
        <v>0</v>
      </c>
      <c r="G1694" s="30" t="s">
        <v>3432</v>
      </c>
    </row>
    <row r="1695" customFormat="false" ht="15" hidden="false" customHeight="false" outlineLevel="0" collapsed="false">
      <c r="A1695" s="28" t="n">
        <v>40427</v>
      </c>
      <c r="B1695" s="28" t="n">
        <v>40433</v>
      </c>
      <c r="C1695" s="21" t="n">
        <v>0</v>
      </c>
      <c r="D1695" s="21" t="n">
        <v>0</v>
      </c>
      <c r="E1695" s="21" t="n">
        <v>0</v>
      </c>
      <c r="F1695" s="21" t="n">
        <v>0</v>
      </c>
      <c r="G1695" s="30" t="s">
        <v>3432</v>
      </c>
    </row>
    <row r="1696" customFormat="false" ht="15" hidden="false" customHeight="false" outlineLevel="0" collapsed="false">
      <c r="A1696" s="28" t="n">
        <v>40434</v>
      </c>
      <c r="B1696" s="28" t="n">
        <v>40440</v>
      </c>
      <c r="C1696" s="21" t="n">
        <v>0</v>
      </c>
      <c r="D1696" s="21" t="n">
        <v>0</v>
      </c>
      <c r="E1696" s="21" t="n">
        <v>0</v>
      </c>
      <c r="F1696" s="21" t="n">
        <v>0</v>
      </c>
      <c r="G1696" s="30" t="s">
        <v>3432</v>
      </c>
    </row>
    <row r="1697" customFormat="false" ht="15" hidden="false" customHeight="false" outlineLevel="0" collapsed="false">
      <c r="A1697" s="28" t="n">
        <v>40441</v>
      </c>
      <c r="B1697" s="28" t="n">
        <v>40447</v>
      </c>
      <c r="C1697" s="21" t="n">
        <v>0</v>
      </c>
      <c r="D1697" s="21" t="n">
        <v>0</v>
      </c>
      <c r="E1697" s="21" t="n">
        <v>0</v>
      </c>
      <c r="F1697" s="21" t="n">
        <v>0</v>
      </c>
      <c r="G1697" s="30" t="s">
        <v>3432</v>
      </c>
    </row>
    <row r="1698" customFormat="false" ht="15" hidden="false" customHeight="false" outlineLevel="0" collapsed="false">
      <c r="A1698" s="28" t="n">
        <v>40448</v>
      </c>
      <c r="B1698" s="28" t="n">
        <v>40454</v>
      </c>
      <c r="C1698" s="21" t="n">
        <v>0</v>
      </c>
      <c r="D1698" s="21" t="n">
        <v>0</v>
      </c>
      <c r="E1698" s="21" t="n">
        <v>0</v>
      </c>
      <c r="F1698" s="21" t="n">
        <v>0</v>
      </c>
      <c r="G1698" s="30" t="s">
        <v>3432</v>
      </c>
    </row>
    <row r="1699" customFormat="false" ht="15" hidden="false" customHeight="false" outlineLevel="0" collapsed="false">
      <c r="A1699" s="28" t="n">
        <v>40455</v>
      </c>
      <c r="B1699" s="28" t="n">
        <v>40461</v>
      </c>
      <c r="C1699" s="21" t="n">
        <v>0</v>
      </c>
      <c r="D1699" s="21" t="n">
        <v>0</v>
      </c>
      <c r="E1699" s="21" t="n">
        <v>0</v>
      </c>
      <c r="F1699" s="21" t="n">
        <v>0</v>
      </c>
      <c r="G1699" s="30" t="s">
        <v>3432</v>
      </c>
    </row>
    <row r="1700" customFormat="false" ht="15" hidden="false" customHeight="false" outlineLevel="0" collapsed="false">
      <c r="A1700" s="28" t="n">
        <v>40462</v>
      </c>
      <c r="B1700" s="28" t="n">
        <v>40468</v>
      </c>
      <c r="C1700" s="21" t="n">
        <v>0</v>
      </c>
      <c r="D1700" s="21" t="n">
        <v>0</v>
      </c>
      <c r="E1700" s="21" t="n">
        <v>0</v>
      </c>
      <c r="F1700" s="21" t="n">
        <v>0</v>
      </c>
      <c r="G1700" s="30" t="s">
        <v>3432</v>
      </c>
    </row>
    <row r="1701" customFormat="false" ht="15" hidden="false" customHeight="false" outlineLevel="0" collapsed="false">
      <c r="A1701" s="28" t="n">
        <v>40469</v>
      </c>
      <c r="B1701" s="28" t="n">
        <v>40475</v>
      </c>
      <c r="C1701" s="21" t="n">
        <v>0</v>
      </c>
      <c r="D1701" s="21" t="n">
        <v>0</v>
      </c>
      <c r="E1701" s="21" t="n">
        <v>0</v>
      </c>
      <c r="F1701" s="21" t="n">
        <v>0</v>
      </c>
      <c r="G1701" s="30" t="s">
        <v>3432</v>
      </c>
    </row>
    <row r="1702" customFormat="false" ht="15" hidden="false" customHeight="false" outlineLevel="0" collapsed="false">
      <c r="A1702" s="28" t="n">
        <v>40476</v>
      </c>
      <c r="B1702" s="28" t="n">
        <v>40482</v>
      </c>
      <c r="C1702" s="21" t="n">
        <v>0</v>
      </c>
      <c r="D1702" s="21" t="n">
        <v>0</v>
      </c>
      <c r="E1702" s="21" t="n">
        <v>0</v>
      </c>
      <c r="F1702" s="21" t="n">
        <v>0</v>
      </c>
      <c r="G1702" s="30" t="s">
        <v>3432</v>
      </c>
    </row>
    <row r="1703" customFormat="false" ht="15" hidden="false" customHeight="false" outlineLevel="0" collapsed="false">
      <c r="A1703" s="28" t="n">
        <v>40483</v>
      </c>
      <c r="B1703" s="28" t="n">
        <v>40489</v>
      </c>
      <c r="C1703" s="21" t="n">
        <v>0</v>
      </c>
      <c r="D1703" s="21" t="n">
        <v>0</v>
      </c>
      <c r="E1703" s="21" t="n">
        <v>0</v>
      </c>
      <c r="F1703" s="21" t="n">
        <v>0</v>
      </c>
      <c r="G1703" s="30" t="s">
        <v>3432</v>
      </c>
    </row>
    <row r="1704" customFormat="false" ht="15" hidden="false" customHeight="false" outlineLevel="0" collapsed="false">
      <c r="A1704" s="28" t="n">
        <v>40490</v>
      </c>
      <c r="B1704" s="28" t="n">
        <v>40496</v>
      </c>
      <c r="C1704" s="21" t="n">
        <v>0</v>
      </c>
      <c r="D1704" s="21" t="n">
        <v>0</v>
      </c>
      <c r="E1704" s="21" t="n">
        <v>0</v>
      </c>
      <c r="F1704" s="21" t="n">
        <v>0</v>
      </c>
      <c r="G1704" s="30" t="s">
        <v>3432</v>
      </c>
    </row>
    <row r="1705" customFormat="false" ht="15" hidden="false" customHeight="false" outlineLevel="0" collapsed="false">
      <c r="A1705" s="28" t="n">
        <v>40497</v>
      </c>
      <c r="B1705" s="28" t="n">
        <v>40503</v>
      </c>
      <c r="C1705" s="21" t="n">
        <v>0</v>
      </c>
      <c r="D1705" s="21" t="n">
        <v>0</v>
      </c>
      <c r="E1705" s="21" t="n">
        <v>0</v>
      </c>
      <c r="F1705" s="21" t="n">
        <v>0</v>
      </c>
      <c r="G1705" s="30" t="s">
        <v>3432</v>
      </c>
    </row>
    <row r="1706" customFormat="false" ht="15" hidden="false" customHeight="false" outlineLevel="0" collapsed="false">
      <c r="A1706" s="28" t="n">
        <v>40504</v>
      </c>
      <c r="B1706" s="28" t="n">
        <v>40510</v>
      </c>
      <c r="C1706" s="21" t="n">
        <v>0</v>
      </c>
      <c r="D1706" s="21" t="n">
        <v>0</v>
      </c>
      <c r="E1706" s="21" t="n">
        <v>0</v>
      </c>
      <c r="F1706" s="21" t="n">
        <v>0</v>
      </c>
      <c r="G1706" s="30" t="s">
        <v>3432</v>
      </c>
    </row>
    <row r="1707" customFormat="false" ht="15" hidden="false" customHeight="false" outlineLevel="0" collapsed="false">
      <c r="A1707" s="28" t="n">
        <v>40511</v>
      </c>
      <c r="B1707" s="28" t="n">
        <v>40517</v>
      </c>
      <c r="C1707" s="21" t="n">
        <v>0</v>
      </c>
      <c r="D1707" s="21" t="n">
        <v>0</v>
      </c>
      <c r="E1707" s="21" t="n">
        <v>0</v>
      </c>
      <c r="F1707" s="21" t="n">
        <v>0</v>
      </c>
      <c r="G1707" s="30" t="s">
        <v>3432</v>
      </c>
    </row>
    <row r="1708" customFormat="false" ht="15" hidden="false" customHeight="false" outlineLevel="0" collapsed="false">
      <c r="A1708" s="28" t="n">
        <v>40518</v>
      </c>
      <c r="B1708" s="28" t="n">
        <v>40524</v>
      </c>
      <c r="C1708" s="21" t="n">
        <v>0</v>
      </c>
      <c r="D1708" s="21" t="n">
        <v>0</v>
      </c>
      <c r="E1708" s="21" t="n">
        <v>0</v>
      </c>
      <c r="F1708" s="21" t="n">
        <v>0</v>
      </c>
      <c r="G1708" s="30" t="s">
        <v>3432</v>
      </c>
    </row>
    <row r="1709" customFormat="false" ht="15" hidden="false" customHeight="false" outlineLevel="0" collapsed="false">
      <c r="A1709" s="28" t="n">
        <v>40525</v>
      </c>
      <c r="B1709" s="28" t="n">
        <v>40531</v>
      </c>
      <c r="C1709" s="21" t="n">
        <v>0</v>
      </c>
      <c r="D1709" s="21" t="n">
        <v>0</v>
      </c>
      <c r="E1709" s="21" t="n">
        <v>0</v>
      </c>
      <c r="F1709" s="21" t="n">
        <v>0</v>
      </c>
      <c r="G1709" s="30" t="s">
        <v>3432</v>
      </c>
    </row>
    <row r="1710" customFormat="false" ht="15" hidden="false" customHeight="false" outlineLevel="0" collapsed="false">
      <c r="A1710" s="28" t="n">
        <v>40532</v>
      </c>
      <c r="B1710" s="28" t="n">
        <v>40538</v>
      </c>
      <c r="C1710" s="21" t="n">
        <v>0</v>
      </c>
      <c r="D1710" s="21" t="n">
        <v>0</v>
      </c>
      <c r="E1710" s="21" t="n">
        <v>0</v>
      </c>
      <c r="F1710" s="21" t="n">
        <v>0</v>
      </c>
      <c r="G1710" s="30" t="s">
        <v>3432</v>
      </c>
    </row>
    <row r="1711" customFormat="false" ht="15" hidden="false" customHeight="false" outlineLevel="0" collapsed="false">
      <c r="A1711" s="28" t="n">
        <v>40539</v>
      </c>
      <c r="B1711" s="28" t="n">
        <v>40545</v>
      </c>
      <c r="C1711" s="21" t="n">
        <v>0</v>
      </c>
      <c r="D1711" s="21" t="n">
        <v>0</v>
      </c>
      <c r="E1711" s="21" t="n">
        <v>0</v>
      </c>
      <c r="F1711" s="21" t="n">
        <v>0</v>
      </c>
      <c r="G1711" s="30" t="s">
        <v>3432</v>
      </c>
    </row>
    <row r="1712" customFormat="false" ht="15" hidden="false" customHeight="false" outlineLevel="0" collapsed="false">
      <c r="A1712" s="28" t="n">
        <v>40546</v>
      </c>
      <c r="B1712" s="28" t="n">
        <v>40552</v>
      </c>
      <c r="C1712" s="21" t="n">
        <v>0</v>
      </c>
      <c r="D1712" s="21" t="n">
        <v>0</v>
      </c>
      <c r="E1712" s="21" t="n">
        <v>0</v>
      </c>
      <c r="F1712" s="21" t="n">
        <v>0</v>
      </c>
      <c r="G1712" s="30" t="s">
        <v>3432</v>
      </c>
    </row>
    <row r="1713" customFormat="false" ht="15" hidden="false" customHeight="false" outlineLevel="0" collapsed="false">
      <c r="A1713" s="28" t="n">
        <v>40553</v>
      </c>
      <c r="B1713" s="28" t="n">
        <v>40559</v>
      </c>
      <c r="C1713" s="21" t="n">
        <v>0</v>
      </c>
      <c r="D1713" s="21" t="n">
        <v>0</v>
      </c>
      <c r="E1713" s="21" t="n">
        <v>0</v>
      </c>
      <c r="F1713" s="21" t="n">
        <v>0</v>
      </c>
      <c r="G1713" s="30" t="s">
        <v>3432</v>
      </c>
    </row>
    <row r="1714" customFormat="false" ht="15" hidden="false" customHeight="false" outlineLevel="0" collapsed="false">
      <c r="A1714" s="28" t="n">
        <v>40560</v>
      </c>
      <c r="B1714" s="28" t="n">
        <v>40566</v>
      </c>
      <c r="C1714" s="21" t="n">
        <v>0</v>
      </c>
      <c r="D1714" s="21" t="n">
        <v>0</v>
      </c>
      <c r="E1714" s="21" t="n">
        <v>0</v>
      </c>
      <c r="F1714" s="21" t="n">
        <v>0</v>
      </c>
      <c r="G1714" s="30" t="s">
        <v>3432</v>
      </c>
    </row>
    <row r="1715" customFormat="false" ht="15" hidden="false" customHeight="false" outlineLevel="0" collapsed="false">
      <c r="A1715" s="28" t="n">
        <v>40567</v>
      </c>
      <c r="B1715" s="28" t="n">
        <v>40573</v>
      </c>
      <c r="C1715" s="21" t="n">
        <v>0</v>
      </c>
      <c r="D1715" s="21" t="n">
        <v>0</v>
      </c>
      <c r="E1715" s="21" t="n">
        <v>0</v>
      </c>
      <c r="F1715" s="21" t="n">
        <v>0</v>
      </c>
      <c r="G1715" s="30" t="s">
        <v>3432</v>
      </c>
    </row>
    <row r="1716" customFormat="false" ht="15" hidden="false" customHeight="false" outlineLevel="0" collapsed="false">
      <c r="A1716" s="28" t="n">
        <v>40574</v>
      </c>
      <c r="B1716" s="28" t="n">
        <v>40580</v>
      </c>
      <c r="C1716" s="21" t="n">
        <v>0</v>
      </c>
      <c r="D1716" s="21" t="n">
        <v>0</v>
      </c>
      <c r="E1716" s="21" t="n">
        <v>0</v>
      </c>
      <c r="F1716" s="21" t="n">
        <v>0</v>
      </c>
      <c r="G1716" s="30" t="s">
        <v>3432</v>
      </c>
    </row>
    <row r="1717" customFormat="false" ht="15" hidden="false" customHeight="false" outlineLevel="0" collapsed="false">
      <c r="A1717" s="28" t="n">
        <v>40581</v>
      </c>
      <c r="B1717" s="28" t="n">
        <v>40587</v>
      </c>
      <c r="C1717" s="21" t="n">
        <v>0</v>
      </c>
      <c r="D1717" s="21" t="n">
        <v>0</v>
      </c>
      <c r="E1717" s="21" t="n">
        <v>0</v>
      </c>
      <c r="F1717" s="21" t="n">
        <v>0</v>
      </c>
      <c r="G1717" s="30" t="s">
        <v>3432</v>
      </c>
    </row>
    <row r="1718" customFormat="false" ht="15" hidden="false" customHeight="false" outlineLevel="0" collapsed="false">
      <c r="A1718" s="28" t="n">
        <v>40588</v>
      </c>
      <c r="B1718" s="28" t="n">
        <v>40594</v>
      </c>
      <c r="C1718" s="21" t="n">
        <v>0</v>
      </c>
      <c r="D1718" s="21" t="n">
        <v>0</v>
      </c>
      <c r="E1718" s="21" t="n">
        <v>0</v>
      </c>
      <c r="F1718" s="21" t="n">
        <v>0</v>
      </c>
      <c r="G1718" s="30" t="s">
        <v>3432</v>
      </c>
    </row>
    <row r="1719" customFormat="false" ht="15" hidden="false" customHeight="false" outlineLevel="0" collapsed="false">
      <c r="A1719" s="28" t="n">
        <v>40595</v>
      </c>
      <c r="B1719" s="28" t="n">
        <v>40601</v>
      </c>
      <c r="C1719" s="21" t="n">
        <v>0</v>
      </c>
      <c r="D1719" s="21" t="n">
        <v>0</v>
      </c>
      <c r="E1719" s="21" t="n">
        <v>0</v>
      </c>
      <c r="F1719" s="21" t="n">
        <v>0</v>
      </c>
      <c r="G1719" s="30" t="s">
        <v>3432</v>
      </c>
    </row>
    <row r="1720" customFormat="false" ht="15" hidden="false" customHeight="false" outlineLevel="0" collapsed="false">
      <c r="A1720" s="28" t="n">
        <v>40602</v>
      </c>
      <c r="B1720" s="28" t="n">
        <v>40608</v>
      </c>
      <c r="C1720" s="21" t="n">
        <v>0</v>
      </c>
      <c r="D1720" s="21" t="n">
        <v>0</v>
      </c>
      <c r="E1720" s="21" t="n">
        <v>0</v>
      </c>
      <c r="F1720" s="21" t="n">
        <v>0</v>
      </c>
      <c r="G1720" s="30" t="s">
        <v>3432</v>
      </c>
    </row>
    <row r="1721" customFormat="false" ht="15" hidden="false" customHeight="false" outlineLevel="0" collapsed="false">
      <c r="A1721" s="28" t="n">
        <v>40609</v>
      </c>
      <c r="B1721" s="28" t="n">
        <v>40615</v>
      </c>
      <c r="C1721" s="21" t="n">
        <v>0</v>
      </c>
      <c r="D1721" s="21" t="n">
        <v>0</v>
      </c>
      <c r="E1721" s="21" t="n">
        <v>0</v>
      </c>
      <c r="F1721" s="21" t="n">
        <v>0</v>
      </c>
      <c r="G1721" s="30" t="s">
        <v>3432</v>
      </c>
    </row>
    <row r="1722" customFormat="false" ht="15" hidden="false" customHeight="false" outlineLevel="0" collapsed="false">
      <c r="A1722" s="28" t="n">
        <v>40616</v>
      </c>
      <c r="B1722" s="28" t="n">
        <v>40622</v>
      </c>
      <c r="C1722" s="21" t="n">
        <v>0</v>
      </c>
      <c r="D1722" s="21" t="n">
        <v>0</v>
      </c>
      <c r="E1722" s="21" t="n">
        <v>0</v>
      </c>
      <c r="F1722" s="21" t="n">
        <v>0</v>
      </c>
      <c r="G1722" s="30" t="s">
        <v>3432</v>
      </c>
    </row>
    <row r="1723" customFormat="false" ht="15" hidden="false" customHeight="false" outlineLevel="0" collapsed="false">
      <c r="A1723" s="28" t="n">
        <v>40623</v>
      </c>
      <c r="B1723" s="28" t="n">
        <v>40629</v>
      </c>
      <c r="C1723" s="21" t="n">
        <v>0</v>
      </c>
      <c r="D1723" s="21" t="n">
        <v>0</v>
      </c>
      <c r="E1723" s="21" t="n">
        <v>0</v>
      </c>
      <c r="F1723" s="21" t="n">
        <v>0</v>
      </c>
      <c r="G1723" s="30" t="s">
        <v>3432</v>
      </c>
    </row>
    <row r="1724" customFormat="false" ht="15" hidden="false" customHeight="false" outlineLevel="0" collapsed="false">
      <c r="A1724" s="28" t="n">
        <v>40630</v>
      </c>
      <c r="B1724" s="28" t="n">
        <v>40636</v>
      </c>
      <c r="C1724" s="21" t="n">
        <v>0</v>
      </c>
      <c r="D1724" s="21" t="n">
        <v>0</v>
      </c>
      <c r="E1724" s="21" t="n">
        <v>0</v>
      </c>
      <c r="F1724" s="21" t="n">
        <v>0</v>
      </c>
      <c r="G1724" s="30" t="s">
        <v>3432</v>
      </c>
    </row>
    <row r="1725" customFormat="false" ht="15" hidden="false" customHeight="false" outlineLevel="0" collapsed="false">
      <c r="A1725" s="28" t="n">
        <v>40637</v>
      </c>
      <c r="B1725" s="28" t="n">
        <v>40643</v>
      </c>
      <c r="C1725" s="21" t="n">
        <v>0</v>
      </c>
      <c r="D1725" s="21" t="n">
        <v>0</v>
      </c>
      <c r="E1725" s="21" t="n">
        <v>0</v>
      </c>
      <c r="F1725" s="21" t="n">
        <v>0</v>
      </c>
      <c r="G1725" s="30" t="s">
        <v>3432</v>
      </c>
    </row>
    <row r="1726" customFormat="false" ht="15" hidden="false" customHeight="false" outlineLevel="0" collapsed="false">
      <c r="A1726" s="28" t="n">
        <v>40644</v>
      </c>
      <c r="B1726" s="28" t="n">
        <v>40650</v>
      </c>
      <c r="C1726" s="21" t="n">
        <v>0</v>
      </c>
      <c r="D1726" s="21" t="n">
        <v>0</v>
      </c>
      <c r="E1726" s="21" t="n">
        <v>0</v>
      </c>
      <c r="F1726" s="21" t="n">
        <v>0</v>
      </c>
      <c r="G1726" s="30" t="s">
        <v>3432</v>
      </c>
    </row>
    <row r="1727" customFormat="false" ht="15" hidden="false" customHeight="false" outlineLevel="0" collapsed="false">
      <c r="A1727" s="28" t="n">
        <v>40651</v>
      </c>
      <c r="B1727" s="28" t="n">
        <v>40657</v>
      </c>
      <c r="C1727" s="21" t="n">
        <v>0</v>
      </c>
      <c r="D1727" s="21" t="n">
        <v>0</v>
      </c>
      <c r="E1727" s="21" t="n">
        <v>0</v>
      </c>
      <c r="F1727" s="21" t="n">
        <v>0</v>
      </c>
      <c r="G1727" s="30" t="s">
        <v>3432</v>
      </c>
    </row>
    <row r="1728" customFormat="false" ht="15" hidden="false" customHeight="false" outlineLevel="0" collapsed="false">
      <c r="A1728" s="28" t="n">
        <v>40658</v>
      </c>
      <c r="B1728" s="28" t="n">
        <v>40664</v>
      </c>
      <c r="C1728" s="21" t="n">
        <v>0</v>
      </c>
      <c r="D1728" s="21" t="n">
        <v>0</v>
      </c>
      <c r="E1728" s="21" t="n">
        <v>0</v>
      </c>
      <c r="F1728" s="21" t="n">
        <v>0</v>
      </c>
      <c r="G1728" s="30" t="s">
        <v>3432</v>
      </c>
    </row>
    <row r="1729" customFormat="false" ht="15" hidden="false" customHeight="false" outlineLevel="0" collapsed="false">
      <c r="A1729" s="28" t="n">
        <v>40665</v>
      </c>
      <c r="B1729" s="28" t="n">
        <v>40671</v>
      </c>
      <c r="C1729" s="21" t="n">
        <v>0</v>
      </c>
      <c r="D1729" s="21" t="n">
        <v>0</v>
      </c>
      <c r="E1729" s="21" t="n">
        <v>0</v>
      </c>
      <c r="F1729" s="21" t="n">
        <v>0</v>
      </c>
      <c r="G1729" s="30" t="s">
        <v>3432</v>
      </c>
    </row>
    <row r="1730" customFormat="false" ht="15" hidden="false" customHeight="false" outlineLevel="0" collapsed="false">
      <c r="A1730" s="28" t="n">
        <v>40672</v>
      </c>
      <c r="B1730" s="28" t="n">
        <v>40678</v>
      </c>
      <c r="C1730" s="21" t="n">
        <v>0</v>
      </c>
      <c r="D1730" s="21" t="n">
        <v>0</v>
      </c>
      <c r="E1730" s="21" t="n">
        <v>0</v>
      </c>
      <c r="F1730" s="21" t="n">
        <v>0</v>
      </c>
      <c r="G1730" s="30" t="s">
        <v>3432</v>
      </c>
    </row>
    <row r="1731" customFormat="false" ht="15" hidden="false" customHeight="false" outlineLevel="0" collapsed="false">
      <c r="A1731" s="28" t="n">
        <v>40679</v>
      </c>
      <c r="B1731" s="28" t="n">
        <v>40685</v>
      </c>
      <c r="C1731" s="21" t="n">
        <v>0</v>
      </c>
      <c r="D1731" s="21" t="n">
        <v>0</v>
      </c>
      <c r="E1731" s="21" t="n">
        <v>0</v>
      </c>
      <c r="F1731" s="21" t="n">
        <v>0</v>
      </c>
      <c r="G1731" s="30" t="s">
        <v>3432</v>
      </c>
    </row>
    <row r="1732" customFormat="false" ht="15" hidden="false" customHeight="false" outlineLevel="0" collapsed="false">
      <c r="A1732" s="28" t="n">
        <v>40686</v>
      </c>
      <c r="B1732" s="28" t="n">
        <v>40692</v>
      </c>
      <c r="C1732" s="21" t="n">
        <v>0</v>
      </c>
      <c r="D1732" s="21" t="n">
        <v>0</v>
      </c>
      <c r="E1732" s="21" t="n">
        <v>0</v>
      </c>
      <c r="F1732" s="21" t="n">
        <v>0</v>
      </c>
      <c r="G1732" s="30" t="s">
        <v>3432</v>
      </c>
    </row>
    <row r="1733" customFormat="false" ht="15" hidden="false" customHeight="false" outlineLevel="0" collapsed="false">
      <c r="A1733" s="28" t="n">
        <v>40693</v>
      </c>
      <c r="B1733" s="28" t="n">
        <v>40699</v>
      </c>
      <c r="C1733" s="21" t="n">
        <v>0</v>
      </c>
      <c r="D1733" s="21" t="n">
        <v>0</v>
      </c>
      <c r="E1733" s="21" t="n">
        <v>0</v>
      </c>
      <c r="F1733" s="21" t="n">
        <v>0</v>
      </c>
      <c r="G1733" s="30" t="s">
        <v>3432</v>
      </c>
    </row>
    <row r="1734" customFormat="false" ht="15" hidden="false" customHeight="false" outlineLevel="0" collapsed="false">
      <c r="A1734" s="28" t="n">
        <v>40700</v>
      </c>
      <c r="B1734" s="28" t="n">
        <v>40706</v>
      </c>
      <c r="C1734" s="21" t="n">
        <v>0</v>
      </c>
      <c r="D1734" s="21" t="n">
        <v>0</v>
      </c>
      <c r="E1734" s="21" t="n">
        <v>0</v>
      </c>
      <c r="F1734" s="21" t="n">
        <v>0</v>
      </c>
      <c r="G1734" s="30" t="s">
        <v>3432</v>
      </c>
    </row>
    <row r="1735" customFormat="false" ht="15" hidden="false" customHeight="false" outlineLevel="0" collapsed="false">
      <c r="A1735" s="28" t="n">
        <v>40707</v>
      </c>
      <c r="B1735" s="28" t="n">
        <v>40713</v>
      </c>
      <c r="C1735" s="21" t="n">
        <v>0</v>
      </c>
      <c r="D1735" s="21" t="n">
        <v>0</v>
      </c>
      <c r="E1735" s="21" t="n">
        <v>0</v>
      </c>
      <c r="F1735" s="21" t="n">
        <v>0</v>
      </c>
      <c r="G1735" s="30" t="s">
        <v>3432</v>
      </c>
    </row>
    <row r="1736" customFormat="false" ht="15" hidden="false" customHeight="false" outlineLevel="0" collapsed="false">
      <c r="A1736" s="28" t="n">
        <v>40714</v>
      </c>
      <c r="B1736" s="28" t="n">
        <v>40720</v>
      </c>
      <c r="C1736" s="21" t="n">
        <v>0</v>
      </c>
      <c r="D1736" s="21" t="n">
        <v>0</v>
      </c>
      <c r="E1736" s="21" t="n">
        <v>0</v>
      </c>
      <c r="F1736" s="21" t="n">
        <v>0</v>
      </c>
      <c r="G1736" s="30" t="s">
        <v>3432</v>
      </c>
    </row>
    <row r="1737" customFormat="false" ht="15" hidden="false" customHeight="false" outlineLevel="0" collapsed="false">
      <c r="A1737" s="28" t="n">
        <v>40721</v>
      </c>
      <c r="B1737" s="28" t="n">
        <v>40727</v>
      </c>
      <c r="C1737" s="21" t="n">
        <v>0</v>
      </c>
      <c r="D1737" s="21" t="n">
        <v>0</v>
      </c>
      <c r="E1737" s="21" t="n">
        <v>0</v>
      </c>
      <c r="F1737" s="21" t="n">
        <v>0</v>
      </c>
      <c r="G1737" s="30" t="s">
        <v>3432</v>
      </c>
    </row>
    <row r="1738" customFormat="false" ht="15" hidden="false" customHeight="false" outlineLevel="0" collapsed="false">
      <c r="A1738" s="28" t="n">
        <v>40728</v>
      </c>
      <c r="B1738" s="28" t="n">
        <v>40734</v>
      </c>
      <c r="C1738" s="21" t="n">
        <v>0</v>
      </c>
      <c r="D1738" s="21" t="n">
        <v>0</v>
      </c>
      <c r="E1738" s="21" t="n">
        <v>0</v>
      </c>
      <c r="F1738" s="21" t="n">
        <v>0</v>
      </c>
      <c r="G1738" s="30" t="s">
        <v>3432</v>
      </c>
    </row>
    <row r="1739" customFormat="false" ht="15" hidden="false" customHeight="false" outlineLevel="0" collapsed="false">
      <c r="A1739" s="28" t="n">
        <v>40735</v>
      </c>
      <c r="B1739" s="28" t="n">
        <v>40741</v>
      </c>
      <c r="C1739" s="21" t="n">
        <v>0</v>
      </c>
      <c r="D1739" s="21" t="n">
        <v>0</v>
      </c>
      <c r="E1739" s="21" t="n">
        <v>0</v>
      </c>
      <c r="F1739" s="21" t="n">
        <v>0</v>
      </c>
      <c r="G1739" s="30" t="s">
        <v>3432</v>
      </c>
    </row>
    <row r="1740" customFormat="false" ht="15" hidden="false" customHeight="false" outlineLevel="0" collapsed="false">
      <c r="A1740" s="28" t="n">
        <v>40742</v>
      </c>
      <c r="B1740" s="28" t="n">
        <v>40748</v>
      </c>
      <c r="C1740" s="21" t="n">
        <v>0</v>
      </c>
      <c r="D1740" s="21" t="n">
        <v>0</v>
      </c>
      <c r="E1740" s="21" t="n">
        <v>0</v>
      </c>
      <c r="F1740" s="21" t="n">
        <v>0</v>
      </c>
      <c r="G1740" s="30" t="s">
        <v>3432</v>
      </c>
    </row>
    <row r="1741" customFormat="false" ht="15" hidden="false" customHeight="false" outlineLevel="0" collapsed="false">
      <c r="A1741" s="28" t="n">
        <v>40749</v>
      </c>
      <c r="B1741" s="28" t="n">
        <v>40755</v>
      </c>
      <c r="C1741" s="21" t="n">
        <v>0</v>
      </c>
      <c r="D1741" s="21" t="n">
        <v>0</v>
      </c>
      <c r="E1741" s="21" t="n">
        <v>0</v>
      </c>
      <c r="F1741" s="21" t="n">
        <v>0</v>
      </c>
      <c r="G1741" s="30" t="s">
        <v>3432</v>
      </c>
    </row>
    <row r="1742" customFormat="false" ht="15" hidden="false" customHeight="false" outlineLevel="0" collapsed="false">
      <c r="A1742" s="28" t="n">
        <v>40756</v>
      </c>
      <c r="B1742" s="28" t="n">
        <v>40762</v>
      </c>
      <c r="C1742" s="21" t="n">
        <v>0</v>
      </c>
      <c r="D1742" s="21" t="n">
        <v>0</v>
      </c>
      <c r="E1742" s="21" t="n">
        <v>0</v>
      </c>
      <c r="F1742" s="21" t="n">
        <v>0</v>
      </c>
      <c r="G1742" s="30" t="s">
        <v>3432</v>
      </c>
    </row>
    <row r="1743" customFormat="false" ht="15" hidden="false" customHeight="false" outlineLevel="0" collapsed="false">
      <c r="A1743" s="28" t="n">
        <v>40763</v>
      </c>
      <c r="B1743" s="28" t="n">
        <v>40769</v>
      </c>
      <c r="C1743" s="21" t="n">
        <v>0</v>
      </c>
      <c r="D1743" s="21" t="n">
        <v>0</v>
      </c>
      <c r="E1743" s="21" t="n">
        <v>0</v>
      </c>
      <c r="F1743" s="21" t="n">
        <v>0</v>
      </c>
      <c r="G1743" s="30" t="s">
        <v>3432</v>
      </c>
    </row>
    <row r="1744" customFormat="false" ht="15" hidden="false" customHeight="false" outlineLevel="0" collapsed="false">
      <c r="A1744" s="28" t="n">
        <v>40770</v>
      </c>
      <c r="B1744" s="28" t="n">
        <v>40776</v>
      </c>
      <c r="C1744" s="21" t="n">
        <v>0</v>
      </c>
      <c r="D1744" s="21" t="n">
        <v>0</v>
      </c>
      <c r="E1744" s="21" t="n">
        <v>0</v>
      </c>
      <c r="F1744" s="21" t="n">
        <v>0</v>
      </c>
      <c r="G1744" s="30" t="s">
        <v>3432</v>
      </c>
    </row>
    <row r="1745" customFormat="false" ht="15" hidden="false" customHeight="false" outlineLevel="0" collapsed="false">
      <c r="A1745" s="28" t="n">
        <v>40777</v>
      </c>
      <c r="B1745" s="28" t="n">
        <v>40783</v>
      </c>
      <c r="C1745" s="21" t="n">
        <v>0</v>
      </c>
      <c r="D1745" s="21" t="n">
        <v>0</v>
      </c>
      <c r="E1745" s="21" t="n">
        <v>0</v>
      </c>
      <c r="F1745" s="21" t="n">
        <v>0</v>
      </c>
      <c r="G1745" s="30" t="s">
        <v>3432</v>
      </c>
    </row>
    <row r="1746" customFormat="false" ht="15" hidden="false" customHeight="false" outlineLevel="0" collapsed="false">
      <c r="A1746" s="28" t="n">
        <v>40784</v>
      </c>
      <c r="B1746" s="28" t="n">
        <v>40790</v>
      </c>
      <c r="C1746" s="21" t="n">
        <v>0</v>
      </c>
      <c r="D1746" s="21" t="n">
        <v>0</v>
      </c>
      <c r="E1746" s="21" t="n">
        <v>0</v>
      </c>
      <c r="F1746" s="21" t="n">
        <v>0</v>
      </c>
      <c r="G1746" s="30" t="s">
        <v>3432</v>
      </c>
    </row>
    <row r="1747" customFormat="false" ht="15" hidden="false" customHeight="false" outlineLevel="0" collapsed="false">
      <c r="A1747" s="28" t="n">
        <v>40791</v>
      </c>
      <c r="B1747" s="28" t="n">
        <v>40797</v>
      </c>
      <c r="C1747" s="21" t="n">
        <v>0</v>
      </c>
      <c r="D1747" s="21" t="n">
        <v>0</v>
      </c>
      <c r="E1747" s="21" t="n">
        <v>0</v>
      </c>
      <c r="F1747" s="21" t="n">
        <v>0</v>
      </c>
      <c r="G1747" s="30" t="s">
        <v>3432</v>
      </c>
    </row>
    <row r="1748" customFormat="false" ht="15" hidden="false" customHeight="false" outlineLevel="0" collapsed="false">
      <c r="A1748" s="28" t="n">
        <v>40798</v>
      </c>
      <c r="B1748" s="28" t="n">
        <v>40804</v>
      </c>
      <c r="C1748" s="21" t="n">
        <v>0</v>
      </c>
      <c r="D1748" s="21" t="n">
        <v>0</v>
      </c>
      <c r="E1748" s="21" t="n">
        <v>0</v>
      </c>
      <c r="F1748" s="21" t="n">
        <v>0</v>
      </c>
      <c r="G1748" s="30" t="s">
        <v>3432</v>
      </c>
    </row>
    <row r="1749" customFormat="false" ht="15" hidden="false" customHeight="false" outlineLevel="0" collapsed="false">
      <c r="A1749" s="28" t="n">
        <v>40805</v>
      </c>
      <c r="B1749" s="28" t="n">
        <v>40811</v>
      </c>
      <c r="C1749" s="21" t="n">
        <v>0</v>
      </c>
      <c r="D1749" s="21" t="n">
        <v>0</v>
      </c>
      <c r="E1749" s="21" t="n">
        <v>0</v>
      </c>
      <c r="F1749" s="21" t="n">
        <v>0</v>
      </c>
      <c r="G1749" s="30" t="s">
        <v>3432</v>
      </c>
    </row>
    <row r="1750" customFormat="false" ht="15" hidden="false" customHeight="false" outlineLevel="0" collapsed="false">
      <c r="A1750" s="28" t="n">
        <v>40812</v>
      </c>
      <c r="B1750" s="28" t="n">
        <v>40818</v>
      </c>
      <c r="C1750" s="21" t="n">
        <v>0</v>
      </c>
      <c r="D1750" s="21" t="n">
        <v>0</v>
      </c>
      <c r="E1750" s="21" t="n">
        <v>0</v>
      </c>
      <c r="F1750" s="21" t="n">
        <v>0</v>
      </c>
      <c r="G1750" s="30" t="s">
        <v>3432</v>
      </c>
    </row>
    <row r="1751" customFormat="false" ht="15" hidden="false" customHeight="false" outlineLevel="0" collapsed="false">
      <c r="A1751" s="28" t="n">
        <v>40819</v>
      </c>
      <c r="B1751" s="28" t="n">
        <v>40825</v>
      </c>
      <c r="C1751" s="21" t="n">
        <v>0</v>
      </c>
      <c r="D1751" s="21" t="n">
        <v>0</v>
      </c>
      <c r="E1751" s="21" t="n">
        <v>0</v>
      </c>
      <c r="F1751" s="21" t="n">
        <v>0</v>
      </c>
      <c r="G1751" s="30" t="s">
        <v>3432</v>
      </c>
    </row>
    <row r="1752" customFormat="false" ht="15" hidden="false" customHeight="false" outlineLevel="0" collapsed="false">
      <c r="A1752" s="28" t="n">
        <v>40826</v>
      </c>
      <c r="B1752" s="28" t="n">
        <v>40832</v>
      </c>
      <c r="C1752" s="21" t="n">
        <v>0</v>
      </c>
      <c r="D1752" s="21" t="n">
        <v>0</v>
      </c>
      <c r="E1752" s="21" t="n">
        <v>0</v>
      </c>
      <c r="F1752" s="21" t="n">
        <v>0</v>
      </c>
      <c r="G1752" s="30" t="s">
        <v>3432</v>
      </c>
    </row>
    <row r="1753" customFormat="false" ht="15" hidden="false" customHeight="false" outlineLevel="0" collapsed="false">
      <c r="A1753" s="28" t="n">
        <v>40833</v>
      </c>
      <c r="B1753" s="28" t="n">
        <v>40839</v>
      </c>
      <c r="C1753" s="21" t="n">
        <v>0</v>
      </c>
      <c r="D1753" s="21" t="n">
        <v>0</v>
      </c>
      <c r="E1753" s="21" t="n">
        <v>0</v>
      </c>
      <c r="F1753" s="21" t="n">
        <v>0</v>
      </c>
      <c r="G1753" s="30" t="s">
        <v>3432</v>
      </c>
    </row>
    <row r="1754" customFormat="false" ht="15" hidden="false" customHeight="false" outlineLevel="0" collapsed="false">
      <c r="A1754" s="28" t="n">
        <v>40840</v>
      </c>
      <c r="B1754" s="28" t="n">
        <v>40846</v>
      </c>
      <c r="C1754" s="21" t="n">
        <v>0</v>
      </c>
      <c r="D1754" s="21" t="n">
        <v>0</v>
      </c>
      <c r="E1754" s="21" t="n">
        <v>0</v>
      </c>
      <c r="F1754" s="21" t="n">
        <v>0</v>
      </c>
      <c r="G1754" s="30" t="s">
        <v>3432</v>
      </c>
    </row>
    <row r="1755" customFormat="false" ht="15" hidden="false" customHeight="false" outlineLevel="0" collapsed="false">
      <c r="A1755" s="28" t="n">
        <v>40847</v>
      </c>
      <c r="B1755" s="28" t="n">
        <v>40853</v>
      </c>
      <c r="C1755" s="21" t="n">
        <v>0</v>
      </c>
      <c r="D1755" s="21" t="n">
        <v>0</v>
      </c>
      <c r="E1755" s="21" t="n">
        <v>0</v>
      </c>
      <c r="F1755" s="21" t="n">
        <v>0</v>
      </c>
      <c r="G1755" s="30" t="s">
        <v>3432</v>
      </c>
    </row>
    <row r="1756" customFormat="false" ht="15" hidden="false" customHeight="false" outlineLevel="0" collapsed="false">
      <c r="A1756" s="28" t="n">
        <v>40854</v>
      </c>
      <c r="B1756" s="28" t="n">
        <v>40860</v>
      </c>
      <c r="C1756" s="21" t="n">
        <v>0</v>
      </c>
      <c r="D1756" s="21" t="n">
        <v>0</v>
      </c>
      <c r="E1756" s="21" t="n">
        <v>0</v>
      </c>
      <c r="F1756" s="21" t="n">
        <v>0</v>
      </c>
      <c r="G1756" s="30" t="s">
        <v>3432</v>
      </c>
    </row>
    <row r="1757" customFormat="false" ht="15" hidden="false" customHeight="false" outlineLevel="0" collapsed="false">
      <c r="A1757" s="28" t="n">
        <v>40861</v>
      </c>
      <c r="B1757" s="28" t="n">
        <v>40867</v>
      </c>
      <c r="C1757" s="21" t="n">
        <v>0</v>
      </c>
      <c r="D1757" s="21" t="n">
        <v>0</v>
      </c>
      <c r="E1757" s="21" t="n">
        <v>0</v>
      </c>
      <c r="F1757" s="21" t="n">
        <v>0</v>
      </c>
      <c r="G1757" s="30" t="s">
        <v>3432</v>
      </c>
    </row>
    <row r="1758" customFormat="false" ht="15" hidden="false" customHeight="false" outlineLevel="0" collapsed="false">
      <c r="A1758" s="28" t="n">
        <v>40868</v>
      </c>
      <c r="B1758" s="28" t="n">
        <v>40874</v>
      </c>
      <c r="C1758" s="21" t="n">
        <v>0</v>
      </c>
      <c r="D1758" s="21" t="n">
        <v>0</v>
      </c>
      <c r="E1758" s="21" t="n">
        <v>0</v>
      </c>
      <c r="F1758" s="21" t="n">
        <v>0</v>
      </c>
      <c r="G1758" s="30" t="s">
        <v>3432</v>
      </c>
    </row>
    <row r="1759" customFormat="false" ht="15" hidden="false" customHeight="false" outlineLevel="0" collapsed="false">
      <c r="A1759" s="28" t="n">
        <v>40875</v>
      </c>
      <c r="B1759" s="28" t="n">
        <v>40881</v>
      </c>
      <c r="C1759" s="21" t="n">
        <v>0</v>
      </c>
      <c r="D1759" s="21" t="n">
        <v>0</v>
      </c>
      <c r="E1759" s="21" t="n">
        <v>0</v>
      </c>
      <c r="F1759" s="21" t="n">
        <v>0</v>
      </c>
      <c r="G1759" s="30" t="s">
        <v>3432</v>
      </c>
    </row>
    <row r="1760" customFormat="false" ht="15" hidden="false" customHeight="false" outlineLevel="0" collapsed="false">
      <c r="A1760" s="28" t="n">
        <v>40882</v>
      </c>
      <c r="B1760" s="28" t="n">
        <v>40888</v>
      </c>
      <c r="C1760" s="21" t="n">
        <v>0</v>
      </c>
      <c r="D1760" s="21" t="n">
        <v>0</v>
      </c>
      <c r="E1760" s="21" t="n">
        <v>0</v>
      </c>
      <c r="F1760" s="21" t="n">
        <v>0</v>
      </c>
      <c r="G1760" s="30" t="s">
        <v>3432</v>
      </c>
    </row>
    <row r="1761" customFormat="false" ht="15" hidden="false" customHeight="false" outlineLevel="0" collapsed="false">
      <c r="A1761" s="28" t="n">
        <v>40889</v>
      </c>
      <c r="B1761" s="28" t="n">
        <v>40895</v>
      </c>
      <c r="C1761" s="21" t="n">
        <v>0</v>
      </c>
      <c r="D1761" s="21" t="n">
        <v>0</v>
      </c>
      <c r="E1761" s="21" t="n">
        <v>0</v>
      </c>
      <c r="F1761" s="21" t="n">
        <v>0</v>
      </c>
      <c r="G1761" s="30" t="s">
        <v>3432</v>
      </c>
    </row>
    <row r="1762" customFormat="false" ht="15" hidden="false" customHeight="false" outlineLevel="0" collapsed="false">
      <c r="A1762" s="28" t="n">
        <v>40896</v>
      </c>
      <c r="B1762" s="28" t="n">
        <v>40902</v>
      </c>
      <c r="C1762" s="21" t="n">
        <v>0</v>
      </c>
      <c r="D1762" s="21" t="n">
        <v>0</v>
      </c>
      <c r="E1762" s="21" t="n">
        <v>0</v>
      </c>
      <c r="F1762" s="21" t="n">
        <v>0</v>
      </c>
      <c r="G1762" s="30" t="s">
        <v>3432</v>
      </c>
    </row>
    <row r="1763" customFormat="false" ht="15" hidden="false" customHeight="false" outlineLevel="0" collapsed="false">
      <c r="A1763" s="28" t="n">
        <v>40903</v>
      </c>
      <c r="B1763" s="28" t="n">
        <v>40909</v>
      </c>
      <c r="C1763" s="21" t="n">
        <v>0</v>
      </c>
      <c r="D1763" s="21" t="n">
        <v>0</v>
      </c>
      <c r="E1763" s="21" t="n">
        <v>0</v>
      </c>
      <c r="F1763" s="21" t="n">
        <v>0</v>
      </c>
      <c r="G1763" s="30" t="s">
        <v>3432</v>
      </c>
    </row>
    <row r="1764" customFormat="false" ht="15" hidden="false" customHeight="false" outlineLevel="0" collapsed="false">
      <c r="A1764" s="28" t="n">
        <v>40910</v>
      </c>
      <c r="B1764" s="28" t="n">
        <v>40916</v>
      </c>
      <c r="C1764" s="21" t="n">
        <v>0</v>
      </c>
      <c r="D1764" s="21" t="n">
        <v>0</v>
      </c>
      <c r="E1764" s="21" t="n">
        <v>0</v>
      </c>
      <c r="F1764" s="21" t="n">
        <v>0</v>
      </c>
      <c r="G1764" s="30" t="s">
        <v>3432</v>
      </c>
    </row>
    <row r="1765" customFormat="false" ht="15" hidden="false" customHeight="false" outlineLevel="0" collapsed="false">
      <c r="A1765" s="28" t="n">
        <v>40917</v>
      </c>
      <c r="B1765" s="28" t="n">
        <v>40923</v>
      </c>
      <c r="C1765" s="21" t="n">
        <v>0</v>
      </c>
      <c r="D1765" s="21" t="n">
        <v>0</v>
      </c>
      <c r="E1765" s="21" t="n">
        <v>0</v>
      </c>
      <c r="F1765" s="21" t="n">
        <v>0</v>
      </c>
      <c r="G1765" s="30" t="s">
        <v>3432</v>
      </c>
    </row>
    <row r="1766" customFormat="false" ht="15" hidden="false" customHeight="false" outlineLevel="0" collapsed="false">
      <c r="A1766" s="28" t="n">
        <v>40924</v>
      </c>
      <c r="B1766" s="28" t="n">
        <v>40930</v>
      </c>
      <c r="C1766" s="21" t="n">
        <v>0</v>
      </c>
      <c r="D1766" s="21" t="n">
        <v>0</v>
      </c>
      <c r="E1766" s="21" t="n">
        <v>0</v>
      </c>
      <c r="F1766" s="21" t="n">
        <v>0</v>
      </c>
      <c r="G1766" s="30" t="s">
        <v>3432</v>
      </c>
    </row>
    <row r="1767" customFormat="false" ht="15" hidden="false" customHeight="false" outlineLevel="0" collapsed="false">
      <c r="A1767" s="28" t="n">
        <v>40931</v>
      </c>
      <c r="B1767" s="28" t="n">
        <v>40937</v>
      </c>
      <c r="C1767" s="21" t="n">
        <v>0</v>
      </c>
      <c r="D1767" s="21" t="n">
        <v>0</v>
      </c>
      <c r="E1767" s="21" t="n">
        <v>0</v>
      </c>
      <c r="F1767" s="21" t="n">
        <v>0</v>
      </c>
      <c r="G1767" s="30" t="s">
        <v>3432</v>
      </c>
    </row>
    <row r="1768" customFormat="false" ht="15" hidden="false" customHeight="false" outlineLevel="0" collapsed="false">
      <c r="A1768" s="28" t="n">
        <v>40938</v>
      </c>
      <c r="B1768" s="28" t="n">
        <v>40944</v>
      </c>
      <c r="C1768" s="21" t="n">
        <v>0</v>
      </c>
      <c r="D1768" s="21" t="n">
        <v>0</v>
      </c>
      <c r="E1768" s="21" t="n">
        <v>0</v>
      </c>
      <c r="F1768" s="21" t="n">
        <v>0</v>
      </c>
      <c r="G1768" s="30" t="s">
        <v>3432</v>
      </c>
    </row>
    <row r="1769" customFormat="false" ht="15" hidden="false" customHeight="false" outlineLevel="0" collapsed="false">
      <c r="A1769" s="28" t="n">
        <v>40945</v>
      </c>
      <c r="B1769" s="28" t="n">
        <v>40951</v>
      </c>
      <c r="C1769" s="21" t="n">
        <v>0</v>
      </c>
      <c r="D1769" s="21" t="n">
        <v>0</v>
      </c>
      <c r="E1769" s="21" t="n">
        <v>0</v>
      </c>
      <c r="F1769" s="21" t="n">
        <v>0</v>
      </c>
      <c r="G1769" s="30" t="s">
        <v>3432</v>
      </c>
    </row>
    <row r="1770" customFormat="false" ht="15" hidden="false" customHeight="false" outlineLevel="0" collapsed="false">
      <c r="A1770" s="28" t="n">
        <v>40952</v>
      </c>
      <c r="B1770" s="28" t="n">
        <v>40958</v>
      </c>
      <c r="C1770" s="21" t="n">
        <v>0</v>
      </c>
      <c r="D1770" s="21" t="n">
        <v>0</v>
      </c>
      <c r="E1770" s="21" t="n">
        <v>0</v>
      </c>
      <c r="F1770" s="21" t="n">
        <v>0</v>
      </c>
      <c r="G1770" s="30" t="s">
        <v>3432</v>
      </c>
    </row>
    <row r="1771" customFormat="false" ht="15" hidden="false" customHeight="false" outlineLevel="0" collapsed="false">
      <c r="A1771" s="28" t="n">
        <v>40959</v>
      </c>
      <c r="B1771" s="28" t="n">
        <v>40965</v>
      </c>
      <c r="C1771" s="21" t="n">
        <v>0</v>
      </c>
      <c r="D1771" s="21" t="n">
        <v>0</v>
      </c>
      <c r="E1771" s="21" t="n">
        <v>0</v>
      </c>
      <c r="F1771" s="21" t="n">
        <v>0</v>
      </c>
      <c r="G1771" s="30" t="s">
        <v>3432</v>
      </c>
    </row>
    <row r="1772" customFormat="false" ht="15" hidden="false" customHeight="false" outlineLevel="0" collapsed="false">
      <c r="A1772" s="28" t="n">
        <v>40966</v>
      </c>
      <c r="B1772" s="28" t="n">
        <v>40972</v>
      </c>
      <c r="C1772" s="21" t="n">
        <v>0</v>
      </c>
      <c r="D1772" s="21" t="n">
        <v>0</v>
      </c>
      <c r="E1772" s="21" t="n">
        <v>0</v>
      </c>
      <c r="F1772" s="21" t="n">
        <v>0</v>
      </c>
      <c r="G1772" s="30" t="s">
        <v>3432</v>
      </c>
    </row>
    <row r="1773" customFormat="false" ht="15" hidden="false" customHeight="false" outlineLevel="0" collapsed="false">
      <c r="A1773" s="28" t="n">
        <v>40973</v>
      </c>
      <c r="B1773" s="28" t="n">
        <v>40979</v>
      </c>
      <c r="C1773" s="21" t="n">
        <v>0</v>
      </c>
      <c r="D1773" s="21" t="n">
        <v>0</v>
      </c>
      <c r="E1773" s="21" t="n">
        <v>0</v>
      </c>
      <c r="F1773" s="21" t="n">
        <v>0</v>
      </c>
      <c r="G1773" s="30" t="s">
        <v>3432</v>
      </c>
    </row>
    <row r="1774" customFormat="false" ht="15" hidden="false" customHeight="false" outlineLevel="0" collapsed="false">
      <c r="A1774" s="28" t="n">
        <v>40980</v>
      </c>
      <c r="B1774" s="28" t="n">
        <v>40986</v>
      </c>
      <c r="C1774" s="21" t="n">
        <v>0</v>
      </c>
      <c r="D1774" s="21" t="n">
        <v>0</v>
      </c>
      <c r="E1774" s="21" t="n">
        <v>0</v>
      </c>
      <c r="F1774" s="21" t="n">
        <v>0</v>
      </c>
      <c r="G1774" s="30" t="s">
        <v>3432</v>
      </c>
    </row>
    <row r="1775" customFormat="false" ht="15" hidden="false" customHeight="false" outlineLevel="0" collapsed="false">
      <c r="A1775" s="28" t="n">
        <v>40987</v>
      </c>
      <c r="B1775" s="28" t="n">
        <v>40993</v>
      </c>
      <c r="C1775" s="21" t="n">
        <v>0</v>
      </c>
      <c r="D1775" s="21" t="n">
        <v>0</v>
      </c>
      <c r="E1775" s="21" t="n">
        <v>0</v>
      </c>
      <c r="F1775" s="21" t="n">
        <v>0</v>
      </c>
      <c r="G1775" s="30" t="s">
        <v>3432</v>
      </c>
    </row>
    <row r="1776" customFormat="false" ht="15" hidden="false" customHeight="false" outlineLevel="0" collapsed="false">
      <c r="A1776" s="28" t="n">
        <v>40994</v>
      </c>
      <c r="B1776" s="28" t="n">
        <v>41000</v>
      </c>
      <c r="C1776" s="21" t="n">
        <v>0</v>
      </c>
      <c r="D1776" s="21" t="n">
        <v>0</v>
      </c>
      <c r="E1776" s="21" t="n">
        <v>0</v>
      </c>
      <c r="F1776" s="21" t="n">
        <v>0</v>
      </c>
      <c r="G1776" s="30" t="s">
        <v>3432</v>
      </c>
    </row>
    <row r="1777" customFormat="false" ht="15" hidden="false" customHeight="false" outlineLevel="0" collapsed="false">
      <c r="A1777" s="28" t="n">
        <v>41001</v>
      </c>
      <c r="B1777" s="28" t="n">
        <v>41007</v>
      </c>
      <c r="C1777" s="21" t="n">
        <v>0</v>
      </c>
      <c r="D1777" s="21" t="n">
        <v>0</v>
      </c>
      <c r="E1777" s="21" t="n">
        <v>0</v>
      </c>
      <c r="F1777" s="21" t="n">
        <v>0</v>
      </c>
      <c r="G1777" s="30" t="s">
        <v>3432</v>
      </c>
    </row>
    <row r="1778" customFormat="false" ht="15" hidden="false" customHeight="false" outlineLevel="0" collapsed="false">
      <c r="A1778" s="28" t="n">
        <v>41008</v>
      </c>
      <c r="B1778" s="28" t="n">
        <v>41014</v>
      </c>
      <c r="C1778" s="21" t="n">
        <v>0</v>
      </c>
      <c r="D1778" s="21" t="n">
        <v>0</v>
      </c>
      <c r="E1778" s="21" t="n">
        <v>0</v>
      </c>
      <c r="F1778" s="21" t="n">
        <v>0</v>
      </c>
      <c r="G1778" s="30" t="s">
        <v>3432</v>
      </c>
    </row>
    <row r="1779" customFormat="false" ht="15" hidden="false" customHeight="false" outlineLevel="0" collapsed="false">
      <c r="A1779" s="28" t="n">
        <v>41015</v>
      </c>
      <c r="B1779" s="28" t="n">
        <v>41021</v>
      </c>
      <c r="C1779" s="21" t="n">
        <v>0</v>
      </c>
      <c r="D1779" s="21" t="n">
        <v>0</v>
      </c>
      <c r="E1779" s="21" t="n">
        <v>0</v>
      </c>
      <c r="F1779" s="21" t="n">
        <v>0</v>
      </c>
      <c r="G1779" s="30" t="s">
        <v>3432</v>
      </c>
    </row>
    <row r="1780" customFormat="false" ht="15" hidden="false" customHeight="false" outlineLevel="0" collapsed="false">
      <c r="A1780" s="28" t="n">
        <v>41022</v>
      </c>
      <c r="B1780" s="28" t="n">
        <v>41028</v>
      </c>
      <c r="C1780" s="21" t="n">
        <v>0</v>
      </c>
      <c r="D1780" s="21" t="n">
        <v>0</v>
      </c>
      <c r="E1780" s="21" t="n">
        <v>0</v>
      </c>
      <c r="F1780" s="21" t="n">
        <v>0</v>
      </c>
      <c r="G1780" s="30" t="s">
        <v>3432</v>
      </c>
    </row>
    <row r="1781" customFormat="false" ht="15" hidden="false" customHeight="false" outlineLevel="0" collapsed="false">
      <c r="A1781" s="28" t="n">
        <v>41029</v>
      </c>
      <c r="B1781" s="28" t="n">
        <v>41035</v>
      </c>
      <c r="C1781" s="21" t="n">
        <v>0</v>
      </c>
      <c r="D1781" s="21" t="n">
        <v>0</v>
      </c>
      <c r="E1781" s="21" t="n">
        <v>0</v>
      </c>
      <c r="F1781" s="21" t="n">
        <v>0</v>
      </c>
      <c r="G1781" s="30" t="s">
        <v>3432</v>
      </c>
    </row>
    <row r="1782" customFormat="false" ht="15" hidden="false" customHeight="false" outlineLevel="0" collapsed="false">
      <c r="A1782" s="28" t="n">
        <v>41036</v>
      </c>
      <c r="B1782" s="28" t="n">
        <v>41042</v>
      </c>
      <c r="C1782" s="21" t="n">
        <v>0</v>
      </c>
      <c r="D1782" s="21" t="n">
        <v>0</v>
      </c>
      <c r="E1782" s="21" t="n">
        <v>0</v>
      </c>
      <c r="F1782" s="21" t="n">
        <v>0</v>
      </c>
      <c r="G1782" s="30" t="s">
        <v>3432</v>
      </c>
    </row>
    <row r="1783" customFormat="false" ht="15" hidden="false" customHeight="false" outlineLevel="0" collapsed="false">
      <c r="A1783" s="28" t="n">
        <v>41043</v>
      </c>
      <c r="B1783" s="28" t="n">
        <v>41049</v>
      </c>
      <c r="C1783" s="21" t="n">
        <v>0</v>
      </c>
      <c r="D1783" s="21" t="n">
        <v>0</v>
      </c>
      <c r="E1783" s="21" t="n">
        <v>0</v>
      </c>
      <c r="F1783" s="21" t="n">
        <v>0</v>
      </c>
      <c r="G1783" s="30" t="s">
        <v>3432</v>
      </c>
    </row>
    <row r="1784" customFormat="false" ht="15" hidden="false" customHeight="false" outlineLevel="0" collapsed="false">
      <c r="A1784" s="28" t="n">
        <v>41050</v>
      </c>
      <c r="B1784" s="28" t="n">
        <v>41056</v>
      </c>
      <c r="C1784" s="21" t="n">
        <v>0</v>
      </c>
      <c r="D1784" s="21" t="n">
        <v>0</v>
      </c>
      <c r="E1784" s="21" t="n">
        <v>0</v>
      </c>
      <c r="F1784" s="21" t="n">
        <v>0</v>
      </c>
      <c r="G1784" s="30" t="s">
        <v>3432</v>
      </c>
    </row>
    <row r="1785" customFormat="false" ht="15" hidden="false" customHeight="false" outlineLevel="0" collapsed="false">
      <c r="A1785" s="28" t="n">
        <v>41057</v>
      </c>
      <c r="B1785" s="28" t="n">
        <v>41063</v>
      </c>
      <c r="C1785" s="21" t="n">
        <v>0</v>
      </c>
      <c r="D1785" s="21" t="n">
        <v>0</v>
      </c>
      <c r="E1785" s="21" t="n">
        <v>0</v>
      </c>
      <c r="F1785" s="21" t="n">
        <v>0</v>
      </c>
      <c r="G1785" s="30" t="s">
        <v>3432</v>
      </c>
    </row>
    <row r="1786" customFormat="false" ht="15" hidden="false" customHeight="false" outlineLevel="0" collapsed="false">
      <c r="A1786" s="28" t="n">
        <v>41064</v>
      </c>
      <c r="B1786" s="28" t="n">
        <v>41070</v>
      </c>
      <c r="C1786" s="21" t="n">
        <v>0</v>
      </c>
      <c r="D1786" s="21" t="n">
        <v>0</v>
      </c>
      <c r="E1786" s="21" t="n">
        <v>0</v>
      </c>
      <c r="F1786" s="21" t="n">
        <v>0</v>
      </c>
      <c r="G1786" s="30" t="s">
        <v>3432</v>
      </c>
    </row>
    <row r="1787" customFormat="false" ht="15" hidden="false" customHeight="false" outlineLevel="0" collapsed="false">
      <c r="A1787" s="28" t="n">
        <v>41071</v>
      </c>
      <c r="B1787" s="28" t="n">
        <v>41077</v>
      </c>
      <c r="C1787" s="21" t="n">
        <v>0</v>
      </c>
      <c r="D1787" s="21" t="n">
        <v>0</v>
      </c>
      <c r="E1787" s="21" t="n">
        <v>0</v>
      </c>
      <c r="F1787" s="21" t="n">
        <v>0</v>
      </c>
      <c r="G1787" s="30" t="s">
        <v>3432</v>
      </c>
    </row>
    <row r="1788" customFormat="false" ht="15" hidden="false" customHeight="false" outlineLevel="0" collapsed="false">
      <c r="A1788" s="28" t="n">
        <v>41078</v>
      </c>
      <c r="B1788" s="28" t="n">
        <v>41084</v>
      </c>
      <c r="C1788" s="21" t="n">
        <v>0</v>
      </c>
      <c r="D1788" s="21" t="n">
        <v>0</v>
      </c>
      <c r="E1788" s="21" t="n">
        <v>0</v>
      </c>
      <c r="F1788" s="21" t="n">
        <v>0</v>
      </c>
      <c r="G1788" s="30" t="s">
        <v>3432</v>
      </c>
    </row>
    <row r="1789" customFormat="false" ht="15" hidden="false" customHeight="false" outlineLevel="0" collapsed="false">
      <c r="A1789" s="28" t="n">
        <v>41085</v>
      </c>
      <c r="B1789" s="28" t="n">
        <v>41091</v>
      </c>
      <c r="C1789" s="21" t="n">
        <v>0</v>
      </c>
      <c r="D1789" s="21" t="n">
        <v>0</v>
      </c>
      <c r="E1789" s="21" t="n">
        <v>0</v>
      </c>
      <c r="F1789" s="21" t="n">
        <v>0</v>
      </c>
      <c r="G1789" s="30" t="s">
        <v>3432</v>
      </c>
    </row>
    <row r="1790" customFormat="false" ht="15" hidden="false" customHeight="false" outlineLevel="0" collapsed="false">
      <c r="A1790" s="28" t="n">
        <v>41092</v>
      </c>
      <c r="B1790" s="28" t="n">
        <v>41098</v>
      </c>
      <c r="C1790" s="21" t="n">
        <v>0</v>
      </c>
      <c r="D1790" s="21" t="n">
        <v>0</v>
      </c>
      <c r="E1790" s="21" t="n">
        <v>0</v>
      </c>
      <c r="F1790" s="21" t="n">
        <v>0</v>
      </c>
      <c r="G1790" s="30" t="s">
        <v>3432</v>
      </c>
    </row>
    <row r="1791" customFormat="false" ht="15" hidden="false" customHeight="false" outlineLevel="0" collapsed="false">
      <c r="A1791" s="28" t="n">
        <v>41099</v>
      </c>
      <c r="B1791" s="28" t="n">
        <v>41105</v>
      </c>
      <c r="C1791" s="21" t="n">
        <v>0</v>
      </c>
      <c r="D1791" s="21" t="n">
        <v>0</v>
      </c>
      <c r="E1791" s="21" t="n">
        <v>0</v>
      </c>
      <c r="F1791" s="21" t="n">
        <v>0</v>
      </c>
      <c r="G1791" s="30" t="s">
        <v>3432</v>
      </c>
    </row>
    <row r="1792" customFormat="false" ht="15" hidden="false" customHeight="false" outlineLevel="0" collapsed="false">
      <c r="A1792" s="28" t="n">
        <v>41106</v>
      </c>
      <c r="B1792" s="28" t="n">
        <v>41112</v>
      </c>
      <c r="C1792" s="21" t="n">
        <v>0</v>
      </c>
      <c r="D1792" s="21" t="n">
        <v>0</v>
      </c>
      <c r="E1792" s="21" t="n">
        <v>0</v>
      </c>
      <c r="F1792" s="21" t="n">
        <v>0</v>
      </c>
      <c r="G1792" s="30" t="s">
        <v>3432</v>
      </c>
    </row>
    <row r="1793" customFormat="false" ht="15" hidden="false" customHeight="false" outlineLevel="0" collapsed="false">
      <c r="A1793" s="28" t="n">
        <v>41113</v>
      </c>
      <c r="B1793" s="28" t="n">
        <v>41119</v>
      </c>
      <c r="C1793" s="21" t="n">
        <v>0</v>
      </c>
      <c r="D1793" s="21" t="n">
        <v>0</v>
      </c>
      <c r="E1793" s="21" t="n">
        <v>0</v>
      </c>
      <c r="F1793" s="21" t="n">
        <v>0</v>
      </c>
      <c r="G1793" s="30" t="s">
        <v>3432</v>
      </c>
    </row>
    <row r="1794" customFormat="false" ht="15" hidden="false" customHeight="false" outlineLevel="0" collapsed="false">
      <c r="A1794" s="28" t="n">
        <v>41120</v>
      </c>
      <c r="B1794" s="28" t="n">
        <v>41126</v>
      </c>
      <c r="C1794" s="21" t="n">
        <v>0</v>
      </c>
      <c r="D1794" s="21" t="n">
        <v>0</v>
      </c>
      <c r="E1794" s="21" t="n">
        <v>0</v>
      </c>
      <c r="F1794" s="21" t="n">
        <v>0</v>
      </c>
      <c r="G1794" s="30" t="s">
        <v>3432</v>
      </c>
    </row>
    <row r="1795" customFormat="false" ht="15" hidden="false" customHeight="false" outlineLevel="0" collapsed="false">
      <c r="A1795" s="28" t="n">
        <v>41127</v>
      </c>
      <c r="B1795" s="28" t="n">
        <v>41133</v>
      </c>
      <c r="C1795" s="21" t="n">
        <v>0</v>
      </c>
      <c r="D1795" s="21" t="n">
        <v>0</v>
      </c>
      <c r="E1795" s="21" t="n">
        <v>0</v>
      </c>
      <c r="F1795" s="21" t="n">
        <v>0</v>
      </c>
      <c r="G1795" s="30" t="s">
        <v>3432</v>
      </c>
    </row>
    <row r="1796" customFormat="false" ht="15" hidden="false" customHeight="false" outlineLevel="0" collapsed="false">
      <c r="A1796" s="28" t="n">
        <v>41134</v>
      </c>
      <c r="B1796" s="28" t="n">
        <v>41140</v>
      </c>
      <c r="C1796" s="21" t="n">
        <v>0</v>
      </c>
      <c r="D1796" s="21" t="n">
        <v>0</v>
      </c>
      <c r="E1796" s="21" t="n">
        <v>0</v>
      </c>
      <c r="F1796" s="21" t="n">
        <v>0</v>
      </c>
      <c r="G1796" s="30" t="s">
        <v>3432</v>
      </c>
    </row>
    <row r="1797" customFormat="false" ht="15" hidden="false" customHeight="false" outlineLevel="0" collapsed="false">
      <c r="A1797" s="28" t="n">
        <v>41141</v>
      </c>
      <c r="B1797" s="28" t="n">
        <v>41147</v>
      </c>
      <c r="C1797" s="21" t="n">
        <v>0</v>
      </c>
      <c r="D1797" s="21" t="n">
        <v>0</v>
      </c>
      <c r="E1797" s="21" t="n">
        <v>0</v>
      </c>
      <c r="F1797" s="21" t="n">
        <v>0</v>
      </c>
      <c r="G1797" s="30" t="s">
        <v>3432</v>
      </c>
    </row>
    <row r="1798" customFormat="false" ht="15" hidden="false" customHeight="false" outlineLevel="0" collapsed="false">
      <c r="A1798" s="28" t="n">
        <v>41148</v>
      </c>
      <c r="B1798" s="28" t="n">
        <v>41154</v>
      </c>
      <c r="C1798" s="21" t="n">
        <v>0</v>
      </c>
      <c r="D1798" s="21" t="n">
        <v>0</v>
      </c>
      <c r="E1798" s="21" t="n">
        <v>0</v>
      </c>
      <c r="F1798" s="21" t="n">
        <v>0</v>
      </c>
      <c r="G1798" s="30" t="s">
        <v>3432</v>
      </c>
    </row>
    <row r="1799" customFormat="false" ht="15" hidden="false" customHeight="false" outlineLevel="0" collapsed="false">
      <c r="A1799" s="28" t="n">
        <v>41155</v>
      </c>
      <c r="B1799" s="28" t="n">
        <v>41161</v>
      </c>
      <c r="C1799" s="21" t="n">
        <v>0</v>
      </c>
      <c r="D1799" s="21" t="n">
        <v>0</v>
      </c>
      <c r="E1799" s="21" t="n">
        <v>0</v>
      </c>
      <c r="F1799" s="21" t="n">
        <v>0</v>
      </c>
      <c r="G1799" s="30" t="s">
        <v>3432</v>
      </c>
    </row>
    <row r="1800" customFormat="false" ht="15" hidden="false" customHeight="false" outlineLevel="0" collapsed="false">
      <c r="A1800" s="28" t="n">
        <v>41162</v>
      </c>
      <c r="B1800" s="28" t="n">
        <v>41168</v>
      </c>
      <c r="C1800" s="21" t="n">
        <v>0</v>
      </c>
      <c r="D1800" s="21" t="n">
        <v>0</v>
      </c>
      <c r="E1800" s="21" t="n">
        <v>0</v>
      </c>
      <c r="F1800" s="21" t="n">
        <v>0</v>
      </c>
      <c r="G1800" s="30" t="s">
        <v>3432</v>
      </c>
    </row>
    <row r="1801" customFormat="false" ht="15" hidden="false" customHeight="false" outlineLevel="0" collapsed="false">
      <c r="A1801" s="28" t="n">
        <v>41169</v>
      </c>
      <c r="B1801" s="28" t="n">
        <v>41175</v>
      </c>
      <c r="C1801" s="21" t="n">
        <v>0</v>
      </c>
      <c r="D1801" s="21" t="n">
        <v>0</v>
      </c>
      <c r="E1801" s="21" t="n">
        <v>0</v>
      </c>
      <c r="F1801" s="21" t="n">
        <v>0</v>
      </c>
      <c r="G1801" s="30" t="s">
        <v>3432</v>
      </c>
    </row>
    <row r="1802" customFormat="false" ht="15" hidden="false" customHeight="false" outlineLevel="0" collapsed="false">
      <c r="A1802" s="28" t="n">
        <v>41176</v>
      </c>
      <c r="B1802" s="28" t="n">
        <v>41182</v>
      </c>
      <c r="C1802" s="21" t="n">
        <v>0</v>
      </c>
      <c r="D1802" s="21" t="n">
        <v>0</v>
      </c>
      <c r="E1802" s="21" t="n">
        <v>0</v>
      </c>
      <c r="F1802" s="21" t="n">
        <v>0</v>
      </c>
      <c r="G1802" s="30" t="s">
        <v>3432</v>
      </c>
    </row>
    <row r="1803" customFormat="false" ht="15" hidden="false" customHeight="false" outlineLevel="0" collapsed="false">
      <c r="A1803" s="28" t="n">
        <v>41183</v>
      </c>
      <c r="B1803" s="28" t="n">
        <v>41189</v>
      </c>
      <c r="C1803" s="21" t="n">
        <v>0</v>
      </c>
      <c r="D1803" s="21" t="n">
        <v>0</v>
      </c>
      <c r="E1803" s="21" t="n">
        <v>0</v>
      </c>
      <c r="F1803" s="21" t="n">
        <v>0</v>
      </c>
      <c r="G1803" s="30" t="s">
        <v>3432</v>
      </c>
    </row>
    <row r="1804" customFormat="false" ht="15" hidden="false" customHeight="false" outlineLevel="0" collapsed="false">
      <c r="A1804" s="28" t="n">
        <v>41190</v>
      </c>
      <c r="B1804" s="28" t="n">
        <v>41196</v>
      </c>
      <c r="C1804" s="21" t="n">
        <v>0</v>
      </c>
      <c r="D1804" s="21" t="n">
        <v>0</v>
      </c>
      <c r="E1804" s="21" t="n">
        <v>0</v>
      </c>
      <c r="F1804" s="21" t="n">
        <v>0</v>
      </c>
      <c r="G1804" s="30" t="s">
        <v>3432</v>
      </c>
    </row>
    <row r="1805" customFormat="false" ht="15" hidden="false" customHeight="false" outlineLevel="0" collapsed="false">
      <c r="A1805" s="28" t="n">
        <v>41197</v>
      </c>
      <c r="B1805" s="28" t="n">
        <v>41203</v>
      </c>
      <c r="C1805" s="21" t="n">
        <v>0</v>
      </c>
      <c r="D1805" s="21" t="n">
        <v>0</v>
      </c>
      <c r="E1805" s="21" t="n">
        <v>0</v>
      </c>
      <c r="F1805" s="21" t="n">
        <v>0</v>
      </c>
      <c r="G1805" s="30" t="s">
        <v>3432</v>
      </c>
    </row>
    <row r="1806" customFormat="false" ht="15" hidden="false" customHeight="false" outlineLevel="0" collapsed="false">
      <c r="A1806" s="28" t="n">
        <v>41204</v>
      </c>
      <c r="B1806" s="28" t="n">
        <v>41210</v>
      </c>
      <c r="C1806" s="21" t="n">
        <v>0</v>
      </c>
      <c r="D1806" s="21" t="n">
        <v>0</v>
      </c>
      <c r="E1806" s="21" t="n">
        <v>0</v>
      </c>
      <c r="F1806" s="21" t="n">
        <v>0</v>
      </c>
      <c r="G1806" s="30" t="s">
        <v>3432</v>
      </c>
    </row>
    <row r="1807" customFormat="false" ht="15" hidden="false" customHeight="false" outlineLevel="0" collapsed="false">
      <c r="A1807" s="28" t="n">
        <v>41211</v>
      </c>
      <c r="B1807" s="28" t="n">
        <v>41217</v>
      </c>
      <c r="C1807" s="21" t="n">
        <v>0</v>
      </c>
      <c r="D1807" s="21" t="n">
        <v>0</v>
      </c>
      <c r="E1807" s="21" t="n">
        <v>0</v>
      </c>
      <c r="F1807" s="21" t="n">
        <v>0</v>
      </c>
      <c r="G1807" s="30" t="s">
        <v>3432</v>
      </c>
    </row>
    <row r="1808" customFormat="false" ht="15" hidden="false" customHeight="false" outlineLevel="0" collapsed="false">
      <c r="A1808" s="28" t="n">
        <v>41218</v>
      </c>
      <c r="B1808" s="28" t="n">
        <v>41224</v>
      </c>
      <c r="C1808" s="21" t="n">
        <v>0</v>
      </c>
      <c r="D1808" s="21" t="n">
        <v>0</v>
      </c>
      <c r="E1808" s="21" t="n">
        <v>0</v>
      </c>
      <c r="F1808" s="21" t="n">
        <v>0</v>
      </c>
      <c r="G1808" s="30" t="s">
        <v>3432</v>
      </c>
    </row>
    <row r="1809" customFormat="false" ht="15" hidden="false" customHeight="false" outlineLevel="0" collapsed="false">
      <c r="A1809" s="28" t="n">
        <v>41225</v>
      </c>
      <c r="B1809" s="28" t="n">
        <v>41231</v>
      </c>
      <c r="C1809" s="21" t="n">
        <v>0</v>
      </c>
      <c r="D1809" s="21" t="n">
        <v>0</v>
      </c>
      <c r="E1809" s="21" t="n">
        <v>0</v>
      </c>
      <c r="F1809" s="21" t="n">
        <v>0</v>
      </c>
      <c r="G1809" s="30" t="s">
        <v>3432</v>
      </c>
    </row>
    <row r="1810" customFormat="false" ht="15" hidden="false" customHeight="false" outlineLevel="0" collapsed="false">
      <c r="A1810" s="28" t="n">
        <v>41232</v>
      </c>
      <c r="B1810" s="28" t="n">
        <v>41238</v>
      </c>
      <c r="C1810" s="21" t="n">
        <v>0</v>
      </c>
      <c r="D1810" s="21" t="n">
        <v>0</v>
      </c>
      <c r="E1810" s="21" t="n">
        <v>0</v>
      </c>
      <c r="F1810" s="21" t="n">
        <v>0</v>
      </c>
      <c r="G1810" s="30" t="s">
        <v>3432</v>
      </c>
    </row>
    <row r="1811" customFormat="false" ht="15" hidden="false" customHeight="false" outlineLevel="0" collapsed="false">
      <c r="A1811" s="28" t="n">
        <v>41239</v>
      </c>
      <c r="B1811" s="28" t="n">
        <v>41245</v>
      </c>
      <c r="C1811" s="21" t="n">
        <v>0</v>
      </c>
      <c r="D1811" s="21" t="n">
        <v>0</v>
      </c>
      <c r="E1811" s="21" t="n">
        <v>0</v>
      </c>
      <c r="F1811" s="21" t="n">
        <v>0</v>
      </c>
      <c r="G1811" s="30" t="s">
        <v>3432</v>
      </c>
    </row>
    <row r="1812" customFormat="false" ht="15" hidden="false" customHeight="false" outlineLevel="0" collapsed="false">
      <c r="A1812" s="28" t="n">
        <v>41246</v>
      </c>
      <c r="B1812" s="28" t="n">
        <v>41252</v>
      </c>
      <c r="C1812" s="21" t="n">
        <v>0</v>
      </c>
      <c r="D1812" s="21" t="n">
        <v>0</v>
      </c>
      <c r="E1812" s="21" t="n">
        <v>0</v>
      </c>
      <c r="F1812" s="21" t="n">
        <v>0</v>
      </c>
      <c r="G1812" s="30" t="s">
        <v>3432</v>
      </c>
    </row>
    <row r="1813" customFormat="false" ht="15" hidden="false" customHeight="false" outlineLevel="0" collapsed="false">
      <c r="A1813" s="28" t="n">
        <v>41253</v>
      </c>
      <c r="B1813" s="28" t="n">
        <v>41259</v>
      </c>
      <c r="C1813" s="21" t="n">
        <v>0</v>
      </c>
      <c r="D1813" s="21" t="n">
        <v>0</v>
      </c>
      <c r="E1813" s="21" t="n">
        <v>0</v>
      </c>
      <c r="F1813" s="21" t="n">
        <v>0</v>
      </c>
      <c r="G1813" s="30" t="s">
        <v>3432</v>
      </c>
    </row>
    <row r="1814" customFormat="false" ht="15" hidden="false" customHeight="false" outlineLevel="0" collapsed="false">
      <c r="A1814" s="28" t="n">
        <v>41260</v>
      </c>
      <c r="B1814" s="28" t="n">
        <v>41266</v>
      </c>
      <c r="C1814" s="21" t="n">
        <v>0</v>
      </c>
      <c r="D1814" s="21" t="n">
        <v>0</v>
      </c>
      <c r="E1814" s="21" t="n">
        <v>0</v>
      </c>
      <c r="F1814" s="21" t="n">
        <v>0</v>
      </c>
      <c r="G1814" s="30" t="s">
        <v>3432</v>
      </c>
    </row>
    <row r="1815" customFormat="false" ht="15" hidden="false" customHeight="false" outlineLevel="0" collapsed="false">
      <c r="A1815" s="28" t="n">
        <v>41267</v>
      </c>
      <c r="B1815" s="28" t="n">
        <v>41273</v>
      </c>
      <c r="C1815" s="21" t="n">
        <v>0</v>
      </c>
      <c r="D1815" s="21" t="n">
        <v>0</v>
      </c>
      <c r="E1815" s="21" t="n">
        <v>0</v>
      </c>
      <c r="F1815" s="21" t="n">
        <v>0</v>
      </c>
      <c r="G1815" s="30" t="s">
        <v>3432</v>
      </c>
    </row>
    <row r="1816" customFormat="false" ht="15" hidden="false" customHeight="false" outlineLevel="0" collapsed="false">
      <c r="A1816" s="28" t="n">
        <v>41274</v>
      </c>
      <c r="B1816" s="28" t="n">
        <v>41280</v>
      </c>
      <c r="C1816" s="21" t="n">
        <v>0</v>
      </c>
      <c r="D1816" s="21" t="n">
        <v>0</v>
      </c>
      <c r="E1816" s="21" t="n">
        <v>0</v>
      </c>
      <c r="F1816" s="21" t="n">
        <v>0</v>
      </c>
      <c r="G1816" s="30" t="s">
        <v>3432</v>
      </c>
    </row>
    <row r="1817" customFormat="false" ht="15" hidden="false" customHeight="false" outlineLevel="0" collapsed="false">
      <c r="A1817" s="28" t="n">
        <v>41281</v>
      </c>
      <c r="B1817" s="28" t="n">
        <v>41287</v>
      </c>
      <c r="C1817" s="21" t="n">
        <v>0</v>
      </c>
      <c r="D1817" s="21" t="n">
        <v>0</v>
      </c>
      <c r="E1817" s="21" t="n">
        <v>0</v>
      </c>
      <c r="F1817" s="21" t="n">
        <v>0</v>
      </c>
      <c r="G1817" s="30" t="s">
        <v>3432</v>
      </c>
    </row>
    <row r="1818" customFormat="false" ht="15" hidden="false" customHeight="false" outlineLevel="0" collapsed="false">
      <c r="A1818" s="28" t="n">
        <v>41288</v>
      </c>
      <c r="B1818" s="28" t="n">
        <v>41294</v>
      </c>
      <c r="C1818" s="21" t="n">
        <v>0</v>
      </c>
      <c r="D1818" s="21" t="n">
        <v>0</v>
      </c>
      <c r="E1818" s="21" t="n">
        <v>0</v>
      </c>
      <c r="F1818" s="21" t="n">
        <v>0</v>
      </c>
      <c r="G1818" s="30" t="s">
        <v>3432</v>
      </c>
    </row>
    <row r="1819" customFormat="false" ht="15" hidden="false" customHeight="false" outlineLevel="0" collapsed="false">
      <c r="A1819" s="28" t="n">
        <v>41295</v>
      </c>
      <c r="B1819" s="28" t="n">
        <v>41301</v>
      </c>
      <c r="C1819" s="21" t="n">
        <v>0</v>
      </c>
      <c r="D1819" s="21" t="n">
        <v>0</v>
      </c>
      <c r="E1819" s="21" t="n">
        <v>0</v>
      </c>
      <c r="F1819" s="21" t="n">
        <v>0</v>
      </c>
      <c r="G1819" s="30" t="s">
        <v>3432</v>
      </c>
    </row>
    <row r="1820" customFormat="false" ht="15" hidden="false" customHeight="false" outlineLevel="0" collapsed="false">
      <c r="A1820" s="28" t="n">
        <v>41302</v>
      </c>
      <c r="B1820" s="28" t="n">
        <v>41308</v>
      </c>
      <c r="C1820" s="21" t="n">
        <v>0</v>
      </c>
      <c r="D1820" s="21" t="n">
        <v>0</v>
      </c>
      <c r="E1820" s="21" t="n">
        <v>0</v>
      </c>
      <c r="F1820" s="21" t="n">
        <v>0</v>
      </c>
      <c r="G1820" s="30" t="s">
        <v>3432</v>
      </c>
    </row>
    <row r="1821" customFormat="false" ht="15" hidden="false" customHeight="false" outlineLevel="0" collapsed="false">
      <c r="A1821" s="28" t="n">
        <v>41309</v>
      </c>
      <c r="B1821" s="28" t="n">
        <v>41315</v>
      </c>
      <c r="C1821" s="21" t="n">
        <v>0</v>
      </c>
      <c r="D1821" s="21" t="n">
        <v>0</v>
      </c>
      <c r="E1821" s="21" t="n">
        <v>0</v>
      </c>
      <c r="F1821" s="21" t="n">
        <v>0</v>
      </c>
      <c r="G1821" s="30" t="s">
        <v>3432</v>
      </c>
    </row>
    <row r="1822" customFormat="false" ht="15" hidden="false" customHeight="false" outlineLevel="0" collapsed="false">
      <c r="A1822" s="28" t="n">
        <v>41316</v>
      </c>
      <c r="B1822" s="28" t="n">
        <v>41322</v>
      </c>
      <c r="C1822" s="21" t="n">
        <v>0</v>
      </c>
      <c r="D1822" s="21" t="n">
        <v>0</v>
      </c>
      <c r="E1822" s="21" t="n">
        <v>0</v>
      </c>
      <c r="F1822" s="21" t="n">
        <v>0</v>
      </c>
      <c r="G1822" s="30" t="s">
        <v>3432</v>
      </c>
    </row>
    <row r="1823" customFormat="false" ht="15" hidden="false" customHeight="false" outlineLevel="0" collapsed="false">
      <c r="A1823" s="28" t="n">
        <v>41323</v>
      </c>
      <c r="B1823" s="28" t="n">
        <v>41329</v>
      </c>
      <c r="C1823" s="21" t="n">
        <v>0</v>
      </c>
      <c r="D1823" s="21" t="n">
        <v>0</v>
      </c>
      <c r="E1823" s="21" t="n">
        <v>0</v>
      </c>
      <c r="F1823" s="21" t="n">
        <v>0</v>
      </c>
      <c r="G1823" s="30" t="s">
        <v>3432</v>
      </c>
    </row>
    <row r="1824" customFormat="false" ht="15" hidden="false" customHeight="false" outlineLevel="0" collapsed="false">
      <c r="A1824" s="28" t="n">
        <v>41330</v>
      </c>
      <c r="B1824" s="28" t="n">
        <v>41336</v>
      </c>
      <c r="C1824" s="21" t="n">
        <v>0</v>
      </c>
      <c r="D1824" s="21" t="n">
        <v>0</v>
      </c>
      <c r="E1824" s="21" t="n">
        <v>0</v>
      </c>
      <c r="F1824" s="21" t="n">
        <v>0</v>
      </c>
      <c r="G1824" s="30" t="s">
        <v>3432</v>
      </c>
    </row>
    <row r="1825" customFormat="false" ht="15" hidden="false" customHeight="false" outlineLevel="0" collapsed="false">
      <c r="A1825" s="28" t="n">
        <v>41337</v>
      </c>
      <c r="B1825" s="28" t="n">
        <v>41343</v>
      </c>
      <c r="C1825" s="21" t="n">
        <v>0</v>
      </c>
      <c r="D1825" s="21" t="n">
        <v>0</v>
      </c>
      <c r="E1825" s="21" t="n">
        <v>0</v>
      </c>
      <c r="F1825" s="21" t="n">
        <v>0</v>
      </c>
      <c r="G1825" s="30" t="s">
        <v>3432</v>
      </c>
    </row>
    <row r="1826" customFormat="false" ht="15" hidden="false" customHeight="false" outlineLevel="0" collapsed="false">
      <c r="A1826" s="28" t="n">
        <v>41344</v>
      </c>
      <c r="B1826" s="28" t="n">
        <v>41350</v>
      </c>
      <c r="C1826" s="21" t="n">
        <v>0</v>
      </c>
      <c r="D1826" s="21" t="n">
        <v>0</v>
      </c>
      <c r="E1826" s="21" t="n">
        <v>0</v>
      </c>
      <c r="F1826" s="21" t="n">
        <v>0</v>
      </c>
      <c r="G1826" s="30" t="s">
        <v>3432</v>
      </c>
    </row>
    <row r="1827" customFormat="false" ht="15" hidden="false" customHeight="false" outlineLevel="0" collapsed="false">
      <c r="A1827" s="28" t="n">
        <v>41351</v>
      </c>
      <c r="B1827" s="28" t="n">
        <v>41357</v>
      </c>
      <c r="C1827" s="21" t="n">
        <v>0</v>
      </c>
      <c r="D1827" s="21" t="n">
        <v>0</v>
      </c>
      <c r="E1827" s="21" t="n">
        <v>0</v>
      </c>
      <c r="F1827" s="21" t="n">
        <v>0</v>
      </c>
      <c r="G1827" s="30" t="s">
        <v>3432</v>
      </c>
    </row>
    <row r="1828" customFormat="false" ht="15" hidden="false" customHeight="false" outlineLevel="0" collapsed="false">
      <c r="A1828" s="28" t="n">
        <v>41358</v>
      </c>
      <c r="B1828" s="28" t="n">
        <v>41364</v>
      </c>
      <c r="C1828" s="21" t="n">
        <v>0</v>
      </c>
      <c r="D1828" s="21" t="n">
        <v>0</v>
      </c>
      <c r="E1828" s="21" t="n">
        <v>0</v>
      </c>
      <c r="F1828" s="21" t="n">
        <v>0</v>
      </c>
      <c r="G1828" s="30" t="s">
        <v>3432</v>
      </c>
    </row>
    <row r="1829" customFormat="false" ht="15" hidden="false" customHeight="false" outlineLevel="0" collapsed="false">
      <c r="A1829" s="28" t="n">
        <v>41365</v>
      </c>
      <c r="B1829" s="28" t="n">
        <v>41371</v>
      </c>
      <c r="C1829" s="21" t="n">
        <v>0</v>
      </c>
      <c r="D1829" s="21" t="n">
        <v>0</v>
      </c>
      <c r="E1829" s="21" t="n">
        <v>0</v>
      </c>
      <c r="F1829" s="21" t="n">
        <v>0</v>
      </c>
      <c r="G1829" s="30" t="s">
        <v>3432</v>
      </c>
    </row>
    <row r="1830" customFormat="false" ht="15" hidden="false" customHeight="false" outlineLevel="0" collapsed="false">
      <c r="A1830" s="28" t="n">
        <v>41372</v>
      </c>
      <c r="B1830" s="28" t="n">
        <v>41378</v>
      </c>
      <c r="C1830" s="21" t="n">
        <v>0</v>
      </c>
      <c r="D1830" s="21" t="n">
        <v>0</v>
      </c>
      <c r="E1830" s="21" t="n">
        <v>0</v>
      </c>
      <c r="F1830" s="21" t="n">
        <v>0</v>
      </c>
      <c r="G1830" s="30" t="s">
        <v>3432</v>
      </c>
    </row>
    <row r="1831" customFormat="false" ht="15" hidden="false" customHeight="false" outlineLevel="0" collapsed="false">
      <c r="A1831" s="28" t="n">
        <v>41379</v>
      </c>
      <c r="B1831" s="28" t="n">
        <v>41385</v>
      </c>
      <c r="C1831" s="21" t="n">
        <v>0</v>
      </c>
      <c r="D1831" s="21" t="n">
        <v>0</v>
      </c>
      <c r="E1831" s="21" t="n">
        <v>0</v>
      </c>
      <c r="F1831" s="21" t="n">
        <v>0</v>
      </c>
      <c r="G1831" s="30" t="s">
        <v>3432</v>
      </c>
    </row>
    <row r="1832" customFormat="false" ht="15" hidden="false" customHeight="false" outlineLevel="0" collapsed="false">
      <c r="A1832" s="28" t="n">
        <v>41386</v>
      </c>
      <c r="B1832" s="28" t="n">
        <v>41392</v>
      </c>
      <c r="C1832" s="21" t="n">
        <v>0</v>
      </c>
      <c r="D1832" s="21" t="n">
        <v>0</v>
      </c>
      <c r="E1832" s="21" t="n">
        <v>0</v>
      </c>
      <c r="F1832" s="21" t="n">
        <v>0</v>
      </c>
      <c r="G1832" s="30" t="s">
        <v>3432</v>
      </c>
    </row>
    <row r="1833" customFormat="false" ht="15" hidden="false" customHeight="false" outlineLevel="0" collapsed="false">
      <c r="A1833" s="28" t="n">
        <v>41393</v>
      </c>
      <c r="B1833" s="28" t="n">
        <v>41399</v>
      </c>
      <c r="C1833" s="21" t="n">
        <v>0</v>
      </c>
      <c r="D1833" s="21" t="n">
        <v>0</v>
      </c>
      <c r="E1833" s="21" t="n">
        <v>0</v>
      </c>
      <c r="F1833" s="21" t="n">
        <v>0</v>
      </c>
      <c r="G1833" s="30" t="s">
        <v>3432</v>
      </c>
    </row>
    <row r="1834" customFormat="false" ht="15" hidden="false" customHeight="false" outlineLevel="0" collapsed="false">
      <c r="A1834" s="28" t="n">
        <v>41400</v>
      </c>
      <c r="B1834" s="28" t="n">
        <v>41406</v>
      </c>
      <c r="C1834" s="21" t="n">
        <v>0</v>
      </c>
      <c r="D1834" s="21" t="n">
        <v>0</v>
      </c>
      <c r="E1834" s="21" t="n">
        <v>0</v>
      </c>
      <c r="F1834" s="21" t="n">
        <v>0</v>
      </c>
      <c r="G1834" s="30" t="s">
        <v>3432</v>
      </c>
    </row>
    <row r="1835" customFormat="false" ht="15" hidden="false" customHeight="false" outlineLevel="0" collapsed="false">
      <c r="A1835" s="28" t="n">
        <v>41407</v>
      </c>
      <c r="B1835" s="28" t="n">
        <v>41413</v>
      </c>
      <c r="C1835" s="21" t="n">
        <v>0</v>
      </c>
      <c r="D1835" s="21" t="n">
        <v>0</v>
      </c>
      <c r="E1835" s="21" t="n">
        <v>0</v>
      </c>
      <c r="F1835" s="21" t="n">
        <v>0</v>
      </c>
      <c r="G1835" s="30" t="s">
        <v>3432</v>
      </c>
    </row>
    <row r="1836" customFormat="false" ht="15" hidden="false" customHeight="false" outlineLevel="0" collapsed="false">
      <c r="A1836" s="28" t="n">
        <v>41414</v>
      </c>
      <c r="B1836" s="28" t="n">
        <v>41420</v>
      </c>
      <c r="C1836" s="21" t="n">
        <v>0</v>
      </c>
      <c r="D1836" s="21" t="n">
        <v>0</v>
      </c>
      <c r="E1836" s="21" t="n">
        <v>0</v>
      </c>
      <c r="F1836" s="21" t="n">
        <v>0</v>
      </c>
      <c r="G1836" s="30" t="s">
        <v>3432</v>
      </c>
    </row>
    <row r="1837" customFormat="false" ht="15" hidden="false" customHeight="false" outlineLevel="0" collapsed="false">
      <c r="A1837" s="28" t="n">
        <v>41421</v>
      </c>
      <c r="B1837" s="28" t="n">
        <v>41427</v>
      </c>
      <c r="C1837" s="21" t="n">
        <v>0</v>
      </c>
      <c r="D1837" s="21" t="n">
        <v>0</v>
      </c>
      <c r="E1837" s="21" t="n">
        <v>0</v>
      </c>
      <c r="F1837" s="21" t="n">
        <v>0</v>
      </c>
      <c r="G1837" s="30" t="s">
        <v>3432</v>
      </c>
    </row>
    <row r="1838" customFormat="false" ht="15" hidden="false" customHeight="false" outlineLevel="0" collapsed="false">
      <c r="A1838" s="28" t="n">
        <v>41428</v>
      </c>
      <c r="B1838" s="28" t="n">
        <v>41434</v>
      </c>
      <c r="C1838" s="21" t="n">
        <v>0</v>
      </c>
      <c r="D1838" s="21" t="n">
        <v>0</v>
      </c>
      <c r="E1838" s="21" t="n">
        <v>0</v>
      </c>
      <c r="F1838" s="21" t="n">
        <v>0</v>
      </c>
      <c r="G1838" s="30" t="s">
        <v>3432</v>
      </c>
    </row>
    <row r="1839" customFormat="false" ht="15" hidden="false" customHeight="false" outlineLevel="0" collapsed="false">
      <c r="A1839" s="28" t="n">
        <v>41435</v>
      </c>
      <c r="B1839" s="28" t="n">
        <v>41441</v>
      </c>
      <c r="C1839" s="21" t="n">
        <v>0</v>
      </c>
      <c r="D1839" s="21" t="n">
        <v>0</v>
      </c>
      <c r="E1839" s="21" t="n">
        <v>0</v>
      </c>
      <c r="F1839" s="21" t="n">
        <v>0</v>
      </c>
      <c r="G1839" s="30" t="s">
        <v>3432</v>
      </c>
    </row>
    <row r="1840" customFormat="false" ht="15" hidden="false" customHeight="false" outlineLevel="0" collapsed="false">
      <c r="A1840" s="28" t="n">
        <v>41442</v>
      </c>
      <c r="B1840" s="28" t="n">
        <v>41448</v>
      </c>
      <c r="C1840" s="21" t="n">
        <v>0</v>
      </c>
      <c r="D1840" s="21" t="n">
        <v>0</v>
      </c>
      <c r="E1840" s="21" t="n">
        <v>0</v>
      </c>
      <c r="F1840" s="21" t="n">
        <v>0</v>
      </c>
      <c r="G1840" s="30" t="s">
        <v>3432</v>
      </c>
    </row>
    <row r="1841" customFormat="false" ht="15" hidden="false" customHeight="false" outlineLevel="0" collapsed="false">
      <c r="A1841" s="28" t="n">
        <v>41449</v>
      </c>
      <c r="B1841" s="28" t="n">
        <v>41455</v>
      </c>
      <c r="C1841" s="21" t="n">
        <v>0</v>
      </c>
      <c r="D1841" s="21" t="n">
        <v>0</v>
      </c>
      <c r="E1841" s="21" t="n">
        <v>0</v>
      </c>
      <c r="F1841" s="21" t="n">
        <v>0</v>
      </c>
      <c r="G1841" s="30" t="s">
        <v>3432</v>
      </c>
    </row>
    <row r="1842" customFormat="false" ht="15" hidden="false" customHeight="false" outlineLevel="0" collapsed="false">
      <c r="A1842" s="28" t="n">
        <v>41456</v>
      </c>
      <c r="B1842" s="28" t="n">
        <v>41462</v>
      </c>
      <c r="C1842" s="21" t="n">
        <v>0</v>
      </c>
      <c r="D1842" s="21" t="n">
        <v>0</v>
      </c>
      <c r="E1842" s="21" t="n">
        <v>0</v>
      </c>
      <c r="F1842" s="21" t="n">
        <v>0</v>
      </c>
      <c r="G1842" s="30" t="s">
        <v>3432</v>
      </c>
    </row>
    <row r="1843" customFormat="false" ht="15" hidden="false" customHeight="false" outlineLevel="0" collapsed="false">
      <c r="A1843" s="28" t="n">
        <v>41463</v>
      </c>
      <c r="B1843" s="28" t="n">
        <v>41469</v>
      </c>
      <c r="C1843" s="21" t="n">
        <v>0</v>
      </c>
      <c r="D1843" s="21" t="n">
        <v>0</v>
      </c>
      <c r="E1843" s="21" t="n">
        <v>0</v>
      </c>
      <c r="F1843" s="21" t="n">
        <v>0</v>
      </c>
      <c r="G1843" s="30" t="s">
        <v>3432</v>
      </c>
    </row>
    <row r="1844" customFormat="false" ht="15" hidden="false" customHeight="false" outlineLevel="0" collapsed="false">
      <c r="A1844" s="28" t="n">
        <v>41470</v>
      </c>
      <c r="B1844" s="28" t="n">
        <v>41476</v>
      </c>
      <c r="C1844" s="21" t="n">
        <v>0</v>
      </c>
      <c r="D1844" s="21" t="n">
        <v>0</v>
      </c>
      <c r="E1844" s="21" t="n">
        <v>0</v>
      </c>
      <c r="F1844" s="21" t="n">
        <v>0</v>
      </c>
      <c r="G1844" s="30" t="s">
        <v>3432</v>
      </c>
    </row>
    <row r="1845" customFormat="false" ht="15" hidden="false" customHeight="false" outlineLevel="0" collapsed="false">
      <c r="A1845" s="28" t="n">
        <v>41477</v>
      </c>
      <c r="B1845" s="28" t="n">
        <v>41483</v>
      </c>
      <c r="C1845" s="21" t="n">
        <v>0</v>
      </c>
      <c r="D1845" s="21" t="n">
        <v>0</v>
      </c>
      <c r="E1845" s="21" t="n">
        <v>0</v>
      </c>
      <c r="F1845" s="21" t="n">
        <v>0</v>
      </c>
      <c r="G1845" s="30" t="s">
        <v>3432</v>
      </c>
    </row>
    <row r="1846" customFormat="false" ht="15" hidden="false" customHeight="false" outlineLevel="0" collapsed="false">
      <c r="A1846" s="28" t="n">
        <v>41484</v>
      </c>
      <c r="B1846" s="28" t="n">
        <v>41490</v>
      </c>
      <c r="C1846" s="21" t="n">
        <v>0</v>
      </c>
      <c r="D1846" s="21" t="n">
        <v>0</v>
      </c>
      <c r="E1846" s="21" t="n">
        <v>0</v>
      </c>
      <c r="F1846" s="21" t="n">
        <v>0</v>
      </c>
      <c r="G1846" s="30" t="s">
        <v>3432</v>
      </c>
    </row>
    <row r="1847" customFormat="false" ht="15" hidden="false" customHeight="false" outlineLevel="0" collapsed="false">
      <c r="A1847" s="28" t="n">
        <v>41491</v>
      </c>
      <c r="B1847" s="28" t="n">
        <v>41497</v>
      </c>
      <c r="C1847" s="21" t="n">
        <v>0</v>
      </c>
      <c r="D1847" s="21" t="n">
        <v>0</v>
      </c>
      <c r="E1847" s="21" t="n">
        <v>0</v>
      </c>
      <c r="F1847" s="21" t="n">
        <v>0</v>
      </c>
      <c r="G1847" s="30" t="s">
        <v>3432</v>
      </c>
    </row>
    <row r="1848" customFormat="false" ht="15" hidden="false" customHeight="false" outlineLevel="0" collapsed="false">
      <c r="A1848" s="28" t="n">
        <v>41498</v>
      </c>
      <c r="B1848" s="28" t="n">
        <v>41504</v>
      </c>
      <c r="C1848" s="21" t="n">
        <v>0</v>
      </c>
      <c r="D1848" s="21" t="n">
        <v>0</v>
      </c>
      <c r="E1848" s="21" t="n">
        <v>0</v>
      </c>
      <c r="F1848" s="21" t="n">
        <v>0</v>
      </c>
      <c r="G1848" s="30" t="s">
        <v>3432</v>
      </c>
    </row>
    <row r="1849" customFormat="false" ht="15" hidden="false" customHeight="false" outlineLevel="0" collapsed="false">
      <c r="A1849" s="28" t="n">
        <v>41505</v>
      </c>
      <c r="B1849" s="28" t="n">
        <v>41511</v>
      </c>
      <c r="C1849" s="21" t="n">
        <v>0</v>
      </c>
      <c r="D1849" s="21" t="n">
        <v>0</v>
      </c>
      <c r="E1849" s="21" t="n">
        <v>0</v>
      </c>
      <c r="F1849" s="21" t="n">
        <v>0</v>
      </c>
      <c r="G1849" s="30" t="s">
        <v>3432</v>
      </c>
    </row>
    <row r="1850" customFormat="false" ht="15" hidden="false" customHeight="false" outlineLevel="0" collapsed="false">
      <c r="A1850" s="28" t="n">
        <v>41512</v>
      </c>
      <c r="B1850" s="28" t="n">
        <v>41518</v>
      </c>
      <c r="C1850" s="21" t="n">
        <v>0</v>
      </c>
      <c r="D1850" s="21" t="n">
        <v>0</v>
      </c>
      <c r="E1850" s="21" t="n">
        <v>0</v>
      </c>
      <c r="F1850" s="21" t="n">
        <v>0</v>
      </c>
      <c r="G1850" s="30" t="s">
        <v>3432</v>
      </c>
    </row>
    <row r="1851" customFormat="false" ht="15" hidden="false" customHeight="false" outlineLevel="0" collapsed="false">
      <c r="A1851" s="28" t="n">
        <v>41519</v>
      </c>
      <c r="B1851" s="28" t="n">
        <v>41525</v>
      </c>
      <c r="C1851" s="21" t="n">
        <v>0</v>
      </c>
      <c r="D1851" s="21" t="n">
        <v>0</v>
      </c>
      <c r="E1851" s="21" t="n">
        <v>0</v>
      </c>
      <c r="F1851" s="21" t="n">
        <v>0</v>
      </c>
      <c r="G1851" s="30" t="s">
        <v>3432</v>
      </c>
    </row>
    <row r="1852" customFormat="false" ht="15" hidden="false" customHeight="false" outlineLevel="0" collapsed="false">
      <c r="A1852" s="28" t="n">
        <v>41526</v>
      </c>
      <c r="B1852" s="28" t="n">
        <v>41532</v>
      </c>
      <c r="C1852" s="21" t="n">
        <v>0</v>
      </c>
      <c r="D1852" s="21" t="n">
        <v>0</v>
      </c>
      <c r="E1852" s="21" t="n">
        <v>0</v>
      </c>
      <c r="F1852" s="21" t="n">
        <v>0</v>
      </c>
      <c r="G1852" s="30" t="s">
        <v>3432</v>
      </c>
    </row>
    <row r="1853" customFormat="false" ht="15" hidden="false" customHeight="false" outlineLevel="0" collapsed="false">
      <c r="A1853" s="28" t="n">
        <v>41533</v>
      </c>
      <c r="B1853" s="28" t="n">
        <v>41539</v>
      </c>
      <c r="C1853" s="21" t="n">
        <v>0</v>
      </c>
      <c r="D1853" s="21" t="n">
        <v>0</v>
      </c>
      <c r="E1853" s="21" t="n">
        <v>0</v>
      </c>
      <c r="F1853" s="21" t="n">
        <v>0</v>
      </c>
      <c r="G1853" s="30" t="s">
        <v>3432</v>
      </c>
    </row>
    <row r="1854" customFormat="false" ht="15" hidden="false" customHeight="false" outlineLevel="0" collapsed="false">
      <c r="A1854" s="28" t="n">
        <v>41540</v>
      </c>
      <c r="B1854" s="28" t="n">
        <v>41546</v>
      </c>
      <c r="C1854" s="21" t="n">
        <v>0</v>
      </c>
      <c r="D1854" s="21" t="n">
        <v>0</v>
      </c>
      <c r="E1854" s="21" t="n">
        <v>0</v>
      </c>
      <c r="F1854" s="21" t="n">
        <v>0</v>
      </c>
      <c r="G1854" s="30" t="s">
        <v>3432</v>
      </c>
    </row>
    <row r="1855" customFormat="false" ht="15" hidden="false" customHeight="false" outlineLevel="0" collapsed="false">
      <c r="A1855" s="28" t="n">
        <v>41547</v>
      </c>
      <c r="B1855" s="28" t="n">
        <v>41553</v>
      </c>
      <c r="C1855" s="21" t="n">
        <v>0</v>
      </c>
      <c r="D1855" s="21" t="n">
        <v>0</v>
      </c>
      <c r="E1855" s="21" t="n">
        <v>0</v>
      </c>
      <c r="F1855" s="21" t="n">
        <v>0</v>
      </c>
      <c r="G1855" s="30" t="s">
        <v>3432</v>
      </c>
    </row>
    <row r="1856" customFormat="false" ht="15" hidden="false" customHeight="false" outlineLevel="0" collapsed="false">
      <c r="A1856" s="28" t="n">
        <v>41554</v>
      </c>
      <c r="B1856" s="28" t="n">
        <v>41560</v>
      </c>
      <c r="C1856" s="21" t="n">
        <v>0</v>
      </c>
      <c r="D1856" s="21" t="n">
        <v>0</v>
      </c>
      <c r="E1856" s="21" t="n">
        <v>0</v>
      </c>
      <c r="F1856" s="21" t="n">
        <v>0</v>
      </c>
      <c r="G1856" s="30" t="s">
        <v>3432</v>
      </c>
    </row>
    <row r="1857" customFormat="false" ht="15" hidden="false" customHeight="false" outlineLevel="0" collapsed="false">
      <c r="A1857" s="28" t="n">
        <v>41561</v>
      </c>
      <c r="B1857" s="28" t="n">
        <v>41567</v>
      </c>
      <c r="C1857" s="21" t="n">
        <v>0</v>
      </c>
      <c r="D1857" s="21" t="n">
        <v>0</v>
      </c>
      <c r="E1857" s="21" t="n">
        <v>0</v>
      </c>
      <c r="F1857" s="21" t="n">
        <v>0</v>
      </c>
      <c r="G1857" s="30" t="s">
        <v>3432</v>
      </c>
    </row>
    <row r="1858" customFormat="false" ht="15" hidden="false" customHeight="false" outlineLevel="0" collapsed="false">
      <c r="A1858" s="28" t="n">
        <v>41568</v>
      </c>
      <c r="B1858" s="28" t="n">
        <v>41574</v>
      </c>
      <c r="C1858" s="21" t="n">
        <v>0</v>
      </c>
      <c r="D1858" s="21" t="n">
        <v>0</v>
      </c>
      <c r="E1858" s="21" t="n">
        <v>0</v>
      </c>
      <c r="F1858" s="21" t="n">
        <v>0</v>
      </c>
      <c r="G1858" s="30" t="s">
        <v>3432</v>
      </c>
    </row>
    <row r="1859" customFormat="false" ht="15" hidden="false" customHeight="false" outlineLevel="0" collapsed="false">
      <c r="A1859" s="28" t="n">
        <v>41575</v>
      </c>
      <c r="B1859" s="28" t="n">
        <v>41581</v>
      </c>
      <c r="C1859" s="21" t="n">
        <v>0</v>
      </c>
      <c r="D1859" s="21" t="n">
        <v>0</v>
      </c>
      <c r="E1859" s="21" t="n">
        <v>0</v>
      </c>
      <c r="F1859" s="21" t="n">
        <v>0</v>
      </c>
      <c r="G1859" s="30" t="s">
        <v>3432</v>
      </c>
    </row>
    <row r="1860" customFormat="false" ht="15" hidden="false" customHeight="false" outlineLevel="0" collapsed="false">
      <c r="A1860" s="28" t="n">
        <v>41582</v>
      </c>
      <c r="B1860" s="28" t="n">
        <v>41588</v>
      </c>
      <c r="C1860" s="21" t="n">
        <v>0</v>
      </c>
      <c r="D1860" s="21" t="n">
        <v>0</v>
      </c>
      <c r="E1860" s="21" t="n">
        <v>0</v>
      </c>
      <c r="F1860" s="21" t="n">
        <v>0</v>
      </c>
      <c r="G1860" s="30" t="s">
        <v>3432</v>
      </c>
    </row>
    <row r="1861" customFormat="false" ht="15" hidden="false" customHeight="false" outlineLevel="0" collapsed="false">
      <c r="A1861" s="28" t="n">
        <v>41589</v>
      </c>
      <c r="B1861" s="28" t="n">
        <v>41595</v>
      </c>
      <c r="C1861" s="21" t="n">
        <v>0</v>
      </c>
      <c r="D1861" s="21" t="n">
        <v>0</v>
      </c>
      <c r="E1861" s="21" t="n">
        <v>0</v>
      </c>
      <c r="F1861" s="21" t="n">
        <v>0</v>
      </c>
      <c r="G1861" s="30" t="s">
        <v>3432</v>
      </c>
    </row>
    <row r="1862" customFormat="false" ht="15" hidden="false" customHeight="false" outlineLevel="0" collapsed="false">
      <c r="A1862" s="28" t="n">
        <v>41596</v>
      </c>
      <c r="B1862" s="28" t="n">
        <v>41602</v>
      </c>
      <c r="C1862" s="21" t="n">
        <v>0</v>
      </c>
      <c r="D1862" s="21" t="n">
        <v>0</v>
      </c>
      <c r="E1862" s="21" t="n">
        <v>0</v>
      </c>
      <c r="F1862" s="21" t="n">
        <v>0</v>
      </c>
      <c r="G1862" s="30" t="s">
        <v>3432</v>
      </c>
    </row>
    <row r="1863" customFormat="false" ht="15" hidden="false" customHeight="false" outlineLevel="0" collapsed="false">
      <c r="A1863" s="28" t="n">
        <v>41603</v>
      </c>
      <c r="B1863" s="28" t="n">
        <v>41609</v>
      </c>
      <c r="C1863" s="21" t="n">
        <v>0</v>
      </c>
      <c r="D1863" s="21" t="n">
        <v>0</v>
      </c>
      <c r="E1863" s="21" t="n">
        <v>0</v>
      </c>
      <c r="F1863" s="21" t="n">
        <v>0</v>
      </c>
      <c r="G1863" s="30" t="s">
        <v>3432</v>
      </c>
    </row>
    <row r="1864" customFormat="false" ht="15" hidden="false" customHeight="false" outlineLevel="0" collapsed="false">
      <c r="A1864" s="28" t="n">
        <v>41610</v>
      </c>
      <c r="B1864" s="28" t="n">
        <v>41616</v>
      </c>
      <c r="C1864" s="21" t="n">
        <v>0</v>
      </c>
      <c r="D1864" s="21" t="n">
        <v>0</v>
      </c>
      <c r="E1864" s="21" t="n">
        <v>0</v>
      </c>
      <c r="F1864" s="21" t="n">
        <v>0</v>
      </c>
      <c r="G1864" s="30" t="s">
        <v>3432</v>
      </c>
    </row>
    <row r="1865" customFormat="false" ht="15" hidden="false" customHeight="false" outlineLevel="0" collapsed="false">
      <c r="A1865" s="28" t="n">
        <v>41617</v>
      </c>
      <c r="B1865" s="28" t="n">
        <v>41623</v>
      </c>
      <c r="C1865" s="21" t="n">
        <v>0</v>
      </c>
      <c r="D1865" s="21" t="n">
        <v>0</v>
      </c>
      <c r="E1865" s="21" t="n">
        <v>0</v>
      </c>
      <c r="F1865" s="21" t="n">
        <v>0</v>
      </c>
      <c r="G1865" s="30" t="s">
        <v>3432</v>
      </c>
    </row>
    <row r="1866" customFormat="false" ht="15" hidden="false" customHeight="false" outlineLevel="0" collapsed="false">
      <c r="A1866" s="28" t="n">
        <v>41624</v>
      </c>
      <c r="B1866" s="28" t="n">
        <v>41630</v>
      </c>
      <c r="C1866" s="21" t="n">
        <v>0</v>
      </c>
      <c r="D1866" s="21" t="n">
        <v>0</v>
      </c>
      <c r="E1866" s="21" t="n">
        <v>0</v>
      </c>
      <c r="F1866" s="21" t="n">
        <v>0</v>
      </c>
      <c r="G1866" s="30" t="s">
        <v>3432</v>
      </c>
    </row>
    <row r="1867" customFormat="false" ht="15" hidden="false" customHeight="false" outlineLevel="0" collapsed="false">
      <c r="A1867" s="28" t="n">
        <v>41631</v>
      </c>
      <c r="B1867" s="28" t="n">
        <v>41637</v>
      </c>
      <c r="C1867" s="21" t="n">
        <v>0</v>
      </c>
      <c r="D1867" s="21" t="n">
        <v>0</v>
      </c>
      <c r="E1867" s="21" t="n">
        <v>0</v>
      </c>
      <c r="F1867" s="21" t="n">
        <v>0</v>
      </c>
      <c r="G1867" s="30" t="s">
        <v>3432</v>
      </c>
    </row>
    <row r="1868" customFormat="false" ht="15" hidden="false" customHeight="false" outlineLevel="0" collapsed="false">
      <c r="A1868" s="28" t="n">
        <v>41638</v>
      </c>
      <c r="B1868" s="28" t="n">
        <v>41644</v>
      </c>
      <c r="C1868" s="21" t="n">
        <v>0</v>
      </c>
      <c r="D1868" s="21" t="n">
        <v>0</v>
      </c>
      <c r="E1868" s="21" t="n">
        <v>0</v>
      </c>
      <c r="F1868" s="21" t="n">
        <v>0</v>
      </c>
      <c r="G1868" s="30" t="s">
        <v>3432</v>
      </c>
    </row>
    <row r="1869" customFormat="false" ht="15" hidden="false" customHeight="false" outlineLevel="0" collapsed="false">
      <c r="A1869" s="28" t="n">
        <v>41645</v>
      </c>
      <c r="B1869" s="28" t="n">
        <v>41651</v>
      </c>
      <c r="C1869" s="21" t="n">
        <v>0</v>
      </c>
      <c r="D1869" s="21" t="n">
        <v>0</v>
      </c>
      <c r="E1869" s="21" t="n">
        <v>0</v>
      </c>
      <c r="F1869" s="21" t="n">
        <v>0</v>
      </c>
      <c r="G1869" s="30" t="s">
        <v>3432</v>
      </c>
    </row>
    <row r="1870" customFormat="false" ht="15" hidden="false" customHeight="false" outlineLevel="0" collapsed="false">
      <c r="A1870" s="28" t="n">
        <v>41652</v>
      </c>
      <c r="B1870" s="28" t="n">
        <v>41658</v>
      </c>
      <c r="C1870" s="21" t="n">
        <v>0</v>
      </c>
      <c r="D1870" s="21" t="n">
        <v>0</v>
      </c>
      <c r="E1870" s="21" t="n">
        <v>0</v>
      </c>
      <c r="F1870" s="21" t="n">
        <v>0</v>
      </c>
      <c r="G1870" s="30" t="s">
        <v>3432</v>
      </c>
    </row>
    <row r="1871" customFormat="false" ht="15" hidden="false" customHeight="false" outlineLevel="0" collapsed="false">
      <c r="A1871" s="28" t="n">
        <v>41659</v>
      </c>
      <c r="B1871" s="28" t="n">
        <v>41665</v>
      </c>
      <c r="C1871" s="21" t="n">
        <v>0</v>
      </c>
      <c r="D1871" s="21" t="n">
        <v>0</v>
      </c>
      <c r="E1871" s="21" t="n">
        <v>0</v>
      </c>
      <c r="F1871" s="21" t="n">
        <v>0</v>
      </c>
      <c r="G1871" s="30" t="s">
        <v>3432</v>
      </c>
    </row>
    <row r="1872" customFormat="false" ht="15" hidden="false" customHeight="false" outlineLevel="0" collapsed="false">
      <c r="A1872" s="28" t="n">
        <v>41666</v>
      </c>
      <c r="B1872" s="28" t="n">
        <v>41672</v>
      </c>
      <c r="C1872" s="21" t="n">
        <v>0</v>
      </c>
      <c r="D1872" s="21" t="n">
        <v>0</v>
      </c>
      <c r="E1872" s="21" t="n">
        <v>0</v>
      </c>
      <c r="F1872" s="21" t="n">
        <v>0</v>
      </c>
      <c r="G1872" s="30" t="s">
        <v>3432</v>
      </c>
    </row>
    <row r="1873" customFormat="false" ht="15" hidden="false" customHeight="false" outlineLevel="0" collapsed="false">
      <c r="A1873" s="28" t="n">
        <v>41673</v>
      </c>
      <c r="B1873" s="28" t="n">
        <v>41679</v>
      </c>
      <c r="C1873" s="21" t="n">
        <v>0</v>
      </c>
      <c r="D1873" s="21" t="n">
        <v>0</v>
      </c>
      <c r="E1873" s="21" t="n">
        <v>0</v>
      </c>
      <c r="F1873" s="21" t="n">
        <v>0</v>
      </c>
      <c r="G1873" s="30" t="s">
        <v>3432</v>
      </c>
    </row>
    <row r="1874" customFormat="false" ht="15" hidden="false" customHeight="false" outlineLevel="0" collapsed="false">
      <c r="A1874" s="28" t="n">
        <v>41680</v>
      </c>
      <c r="B1874" s="28" t="n">
        <v>41686</v>
      </c>
      <c r="C1874" s="21" t="n">
        <v>0</v>
      </c>
      <c r="D1874" s="21" t="n">
        <v>0</v>
      </c>
      <c r="E1874" s="21" t="n">
        <v>0</v>
      </c>
      <c r="F1874" s="21" t="n">
        <v>0</v>
      </c>
      <c r="G1874" s="30" t="s">
        <v>3432</v>
      </c>
    </row>
    <row r="1875" customFormat="false" ht="15" hidden="false" customHeight="false" outlineLevel="0" collapsed="false">
      <c r="A1875" s="28" t="n">
        <v>41687</v>
      </c>
      <c r="B1875" s="28" t="n">
        <v>41693</v>
      </c>
      <c r="C1875" s="21" t="n">
        <v>0</v>
      </c>
      <c r="D1875" s="21" t="n">
        <v>0</v>
      </c>
      <c r="E1875" s="21" t="n">
        <v>0</v>
      </c>
      <c r="F1875" s="21" t="n">
        <v>0</v>
      </c>
      <c r="G1875" s="30" t="s">
        <v>3432</v>
      </c>
    </row>
    <row r="1876" customFormat="false" ht="15" hidden="false" customHeight="false" outlineLevel="0" collapsed="false">
      <c r="A1876" s="28" t="n">
        <v>41694</v>
      </c>
      <c r="B1876" s="28" t="n">
        <v>41700</v>
      </c>
      <c r="C1876" s="21" t="n">
        <v>0</v>
      </c>
      <c r="D1876" s="21" t="n">
        <v>0</v>
      </c>
      <c r="E1876" s="21" t="n">
        <v>0</v>
      </c>
      <c r="F1876" s="21" t="n">
        <v>0</v>
      </c>
      <c r="G1876" s="30" t="s">
        <v>3432</v>
      </c>
    </row>
    <row r="1877" customFormat="false" ht="15" hidden="false" customHeight="false" outlineLevel="0" collapsed="false">
      <c r="A1877" s="28" t="n">
        <v>41701</v>
      </c>
      <c r="B1877" s="28" t="n">
        <v>41707</v>
      </c>
      <c r="C1877" s="21" t="n">
        <v>0</v>
      </c>
      <c r="D1877" s="21" t="n">
        <v>0</v>
      </c>
      <c r="E1877" s="21" t="n">
        <v>0</v>
      </c>
      <c r="F1877" s="21" t="n">
        <v>0</v>
      </c>
      <c r="G1877" s="30" t="s">
        <v>3432</v>
      </c>
    </row>
    <row r="1878" customFormat="false" ht="15" hidden="false" customHeight="false" outlineLevel="0" collapsed="false">
      <c r="A1878" s="28" t="n">
        <v>41708</v>
      </c>
      <c r="B1878" s="28" t="n">
        <v>41714</v>
      </c>
      <c r="C1878" s="21" t="n">
        <v>0</v>
      </c>
      <c r="D1878" s="21" t="n">
        <v>0</v>
      </c>
      <c r="E1878" s="21" t="n">
        <v>0</v>
      </c>
      <c r="F1878" s="21" t="n">
        <v>0</v>
      </c>
      <c r="G1878" s="30" t="s">
        <v>3432</v>
      </c>
    </row>
    <row r="1879" customFormat="false" ht="15" hidden="false" customHeight="false" outlineLevel="0" collapsed="false">
      <c r="A1879" s="28" t="n">
        <v>41715</v>
      </c>
      <c r="B1879" s="28" t="n">
        <v>41721</v>
      </c>
      <c r="C1879" s="21" t="n">
        <v>0</v>
      </c>
      <c r="D1879" s="21" t="n">
        <v>0</v>
      </c>
      <c r="E1879" s="21" t="n">
        <v>0</v>
      </c>
      <c r="F1879" s="21" t="n">
        <v>0</v>
      </c>
      <c r="G1879" s="30" t="s">
        <v>3432</v>
      </c>
    </row>
    <row r="1880" customFormat="false" ht="15" hidden="false" customHeight="false" outlineLevel="0" collapsed="false">
      <c r="A1880" s="28" t="n">
        <v>41722</v>
      </c>
      <c r="B1880" s="28" t="n">
        <v>41728</v>
      </c>
      <c r="C1880" s="21" t="n">
        <v>0</v>
      </c>
      <c r="D1880" s="21" t="n">
        <v>0</v>
      </c>
      <c r="E1880" s="21" t="n">
        <v>0</v>
      </c>
      <c r="F1880" s="21" t="n">
        <v>0</v>
      </c>
      <c r="G1880" s="30" t="s">
        <v>3432</v>
      </c>
    </row>
    <row r="1881" customFormat="false" ht="15" hidden="false" customHeight="false" outlineLevel="0" collapsed="false">
      <c r="A1881" s="28" t="n">
        <v>41729</v>
      </c>
      <c r="B1881" s="28" t="n">
        <v>41735</v>
      </c>
      <c r="C1881" s="21" t="n">
        <v>0</v>
      </c>
      <c r="D1881" s="21" t="n">
        <v>0</v>
      </c>
      <c r="E1881" s="21" t="n">
        <v>0</v>
      </c>
      <c r="F1881" s="21" t="n">
        <v>0</v>
      </c>
      <c r="G1881" s="30" t="s">
        <v>3432</v>
      </c>
    </row>
    <row r="1882" customFormat="false" ht="15" hidden="false" customHeight="false" outlineLevel="0" collapsed="false">
      <c r="A1882" s="28" t="n">
        <v>41736</v>
      </c>
      <c r="B1882" s="28" t="n">
        <v>41742</v>
      </c>
      <c r="C1882" s="21" t="n">
        <v>0</v>
      </c>
      <c r="D1882" s="21" t="n">
        <v>0</v>
      </c>
      <c r="E1882" s="21" t="n">
        <v>0</v>
      </c>
      <c r="F1882" s="21" t="n">
        <v>0</v>
      </c>
      <c r="G1882" s="30" t="s">
        <v>3432</v>
      </c>
    </row>
    <row r="1883" customFormat="false" ht="15" hidden="false" customHeight="false" outlineLevel="0" collapsed="false">
      <c r="A1883" s="28" t="n">
        <v>41743</v>
      </c>
      <c r="B1883" s="28" t="n">
        <v>41749</v>
      </c>
      <c r="C1883" s="21" t="n">
        <v>0</v>
      </c>
      <c r="D1883" s="21" t="n">
        <v>0</v>
      </c>
      <c r="E1883" s="21" t="n">
        <v>0</v>
      </c>
      <c r="F1883" s="21" t="n">
        <v>0</v>
      </c>
      <c r="G1883" s="30" t="s">
        <v>3432</v>
      </c>
    </row>
    <row r="1884" customFormat="false" ht="15" hidden="false" customHeight="false" outlineLevel="0" collapsed="false">
      <c r="A1884" s="28" t="n">
        <v>41750</v>
      </c>
      <c r="B1884" s="28" t="n">
        <v>41756</v>
      </c>
      <c r="C1884" s="21" t="n">
        <v>0</v>
      </c>
      <c r="D1884" s="21" t="n">
        <v>0</v>
      </c>
      <c r="E1884" s="21" t="n">
        <v>0</v>
      </c>
      <c r="F1884" s="21" t="n">
        <v>0</v>
      </c>
      <c r="G1884" s="30" t="s">
        <v>3432</v>
      </c>
    </row>
    <row r="1885" customFormat="false" ht="15" hidden="false" customHeight="false" outlineLevel="0" collapsed="false">
      <c r="A1885" s="28" t="n">
        <v>41757</v>
      </c>
      <c r="B1885" s="28" t="n">
        <v>41763</v>
      </c>
      <c r="C1885" s="21" t="n">
        <v>0</v>
      </c>
      <c r="D1885" s="21" t="n">
        <v>0</v>
      </c>
      <c r="E1885" s="21" t="n">
        <v>0</v>
      </c>
      <c r="F1885" s="21" t="n">
        <v>0</v>
      </c>
      <c r="G1885" s="30" t="s">
        <v>3432</v>
      </c>
    </row>
    <row r="1886" customFormat="false" ht="15" hidden="false" customHeight="false" outlineLevel="0" collapsed="false">
      <c r="A1886" s="28" t="n">
        <v>41764</v>
      </c>
      <c r="B1886" s="28" t="n">
        <v>41770</v>
      </c>
      <c r="C1886" s="21" t="n">
        <v>0</v>
      </c>
      <c r="D1886" s="21" t="n">
        <v>0</v>
      </c>
      <c r="E1886" s="21" t="n">
        <v>0</v>
      </c>
      <c r="F1886" s="21" t="n">
        <v>0</v>
      </c>
      <c r="G1886" s="30" t="s">
        <v>3432</v>
      </c>
    </row>
    <row r="1887" customFormat="false" ht="15" hidden="false" customHeight="false" outlineLevel="0" collapsed="false">
      <c r="A1887" s="28" t="n">
        <v>41771</v>
      </c>
      <c r="B1887" s="28" t="n">
        <v>41777</v>
      </c>
      <c r="C1887" s="21" t="n">
        <v>0</v>
      </c>
      <c r="D1887" s="21" t="n">
        <v>0</v>
      </c>
      <c r="E1887" s="21" t="n">
        <v>0</v>
      </c>
      <c r="F1887" s="21" t="n">
        <v>0</v>
      </c>
      <c r="G1887" s="30" t="s">
        <v>3432</v>
      </c>
    </row>
    <row r="1888" customFormat="false" ht="15" hidden="false" customHeight="false" outlineLevel="0" collapsed="false">
      <c r="A1888" s="28" t="n">
        <v>41778</v>
      </c>
      <c r="B1888" s="28" t="n">
        <v>41784</v>
      </c>
      <c r="C1888" s="21" t="n">
        <v>0</v>
      </c>
      <c r="D1888" s="21" t="n">
        <v>0</v>
      </c>
      <c r="E1888" s="21" t="n">
        <v>0</v>
      </c>
      <c r="F1888" s="21" t="n">
        <v>0</v>
      </c>
      <c r="G1888" s="30" t="s">
        <v>3432</v>
      </c>
    </row>
    <row r="1889" customFormat="false" ht="15" hidden="false" customHeight="false" outlineLevel="0" collapsed="false">
      <c r="A1889" s="28" t="n">
        <v>41785</v>
      </c>
      <c r="B1889" s="28" t="n">
        <v>41791</v>
      </c>
      <c r="C1889" s="21" t="n">
        <v>0</v>
      </c>
      <c r="D1889" s="21" t="n">
        <v>0</v>
      </c>
      <c r="E1889" s="21" t="n">
        <v>0</v>
      </c>
      <c r="F1889" s="21" t="n">
        <v>0</v>
      </c>
      <c r="G1889" s="30" t="s">
        <v>3432</v>
      </c>
    </row>
    <row r="1890" customFormat="false" ht="15" hidden="false" customHeight="false" outlineLevel="0" collapsed="false">
      <c r="A1890" s="28" t="n">
        <v>41792</v>
      </c>
      <c r="B1890" s="28" t="n">
        <v>41798</v>
      </c>
      <c r="C1890" s="21" t="n">
        <v>0</v>
      </c>
      <c r="D1890" s="21" t="n">
        <v>0</v>
      </c>
      <c r="E1890" s="21" t="n">
        <v>0</v>
      </c>
      <c r="F1890" s="21" t="n">
        <v>0</v>
      </c>
      <c r="G1890" s="30" t="s">
        <v>3432</v>
      </c>
    </row>
    <row r="1891" customFormat="false" ht="15" hidden="false" customHeight="false" outlineLevel="0" collapsed="false">
      <c r="A1891" s="28" t="n">
        <v>41799</v>
      </c>
      <c r="B1891" s="28" t="n">
        <v>41805</v>
      </c>
      <c r="C1891" s="21" t="n">
        <v>0</v>
      </c>
      <c r="D1891" s="21" t="n">
        <v>0</v>
      </c>
      <c r="E1891" s="21" t="n">
        <v>0</v>
      </c>
      <c r="F1891" s="21" t="n">
        <v>0</v>
      </c>
      <c r="G1891" s="30" t="s">
        <v>3432</v>
      </c>
    </row>
    <row r="1892" customFormat="false" ht="15" hidden="false" customHeight="false" outlineLevel="0" collapsed="false">
      <c r="A1892" s="28" t="n">
        <v>41806</v>
      </c>
      <c r="B1892" s="28" t="n">
        <v>41812</v>
      </c>
      <c r="C1892" s="21" t="n">
        <v>0</v>
      </c>
      <c r="D1892" s="21" t="n">
        <v>0</v>
      </c>
      <c r="E1892" s="21" t="n">
        <v>0</v>
      </c>
      <c r="F1892" s="21" t="n">
        <v>0</v>
      </c>
      <c r="G1892" s="30" t="s">
        <v>3432</v>
      </c>
    </row>
    <row r="1893" customFormat="false" ht="15" hidden="false" customHeight="false" outlineLevel="0" collapsed="false">
      <c r="A1893" s="28" t="n">
        <v>41813</v>
      </c>
      <c r="B1893" s="28" t="n">
        <v>41819</v>
      </c>
      <c r="C1893" s="21" t="n">
        <v>0</v>
      </c>
      <c r="D1893" s="21" t="n">
        <v>0</v>
      </c>
      <c r="E1893" s="21" t="n">
        <v>0</v>
      </c>
      <c r="F1893" s="21" t="n">
        <v>0</v>
      </c>
      <c r="G1893" s="30" t="s">
        <v>3432</v>
      </c>
    </row>
    <row r="1894" customFormat="false" ht="15" hidden="false" customHeight="false" outlineLevel="0" collapsed="false">
      <c r="A1894" s="28" t="n">
        <v>41820</v>
      </c>
      <c r="B1894" s="28" t="n">
        <v>41826</v>
      </c>
      <c r="C1894" s="21" t="n">
        <v>0</v>
      </c>
      <c r="D1894" s="21" t="n">
        <v>0</v>
      </c>
      <c r="E1894" s="21" t="n">
        <v>0</v>
      </c>
      <c r="F1894" s="21" t="n">
        <v>0</v>
      </c>
      <c r="G1894" s="30" t="s">
        <v>3432</v>
      </c>
    </row>
    <row r="1895" customFormat="false" ht="15" hidden="false" customHeight="false" outlineLevel="0" collapsed="false">
      <c r="A1895" s="28" t="n">
        <v>41827</v>
      </c>
      <c r="B1895" s="28" t="n">
        <v>41833</v>
      </c>
      <c r="C1895" s="21" t="n">
        <v>0</v>
      </c>
      <c r="D1895" s="21" t="n">
        <v>0</v>
      </c>
      <c r="E1895" s="21" t="n">
        <v>0</v>
      </c>
      <c r="F1895" s="21" t="n">
        <v>0</v>
      </c>
      <c r="G1895" s="30" t="s">
        <v>3432</v>
      </c>
    </row>
    <row r="1896" customFormat="false" ht="15" hidden="false" customHeight="false" outlineLevel="0" collapsed="false">
      <c r="A1896" s="28" t="n">
        <v>41834</v>
      </c>
      <c r="B1896" s="28" t="n">
        <v>41840</v>
      </c>
      <c r="C1896" s="21" t="n">
        <v>0</v>
      </c>
      <c r="D1896" s="21" t="n">
        <v>0</v>
      </c>
      <c r="E1896" s="21" t="n">
        <v>0</v>
      </c>
      <c r="F1896" s="21" t="n">
        <v>0</v>
      </c>
      <c r="G1896" s="30" t="s">
        <v>3432</v>
      </c>
    </row>
    <row r="1897" customFormat="false" ht="15" hidden="false" customHeight="false" outlineLevel="0" collapsed="false">
      <c r="A1897" s="28" t="n">
        <v>41841</v>
      </c>
      <c r="B1897" s="28" t="n">
        <v>41847</v>
      </c>
      <c r="C1897" s="21" t="n">
        <v>0</v>
      </c>
      <c r="D1897" s="21" t="n">
        <v>0</v>
      </c>
      <c r="E1897" s="21" t="n">
        <v>0</v>
      </c>
      <c r="F1897" s="21" t="n">
        <v>0</v>
      </c>
      <c r="G1897" s="30" t="s">
        <v>3432</v>
      </c>
    </row>
    <row r="1898" customFormat="false" ht="15" hidden="false" customHeight="false" outlineLevel="0" collapsed="false">
      <c r="A1898" s="28" t="n">
        <v>41848</v>
      </c>
      <c r="B1898" s="28" t="n">
        <v>41854</v>
      </c>
      <c r="C1898" s="21" t="n">
        <v>0</v>
      </c>
      <c r="D1898" s="21" t="n">
        <v>0</v>
      </c>
      <c r="E1898" s="21" t="n">
        <v>0</v>
      </c>
      <c r="F1898" s="21" t="n">
        <v>0</v>
      </c>
      <c r="G1898" s="30" t="s">
        <v>3432</v>
      </c>
    </row>
    <row r="1899" customFormat="false" ht="15" hidden="false" customHeight="false" outlineLevel="0" collapsed="false">
      <c r="A1899" s="28" t="n">
        <v>41855</v>
      </c>
      <c r="B1899" s="28" t="n">
        <v>41861</v>
      </c>
      <c r="C1899" s="21" t="n">
        <v>0</v>
      </c>
      <c r="D1899" s="21" t="n">
        <v>0</v>
      </c>
      <c r="E1899" s="21" t="n">
        <v>0</v>
      </c>
      <c r="F1899" s="21" t="n">
        <v>0</v>
      </c>
      <c r="G1899" s="30" t="s">
        <v>3432</v>
      </c>
    </row>
    <row r="1900" customFormat="false" ht="15" hidden="false" customHeight="false" outlineLevel="0" collapsed="false">
      <c r="A1900" s="28" t="n">
        <v>41862</v>
      </c>
      <c r="B1900" s="28" t="n">
        <v>41868</v>
      </c>
      <c r="C1900" s="21" t="n">
        <v>0</v>
      </c>
      <c r="D1900" s="21" t="n">
        <v>0</v>
      </c>
      <c r="E1900" s="21" t="n">
        <v>0</v>
      </c>
      <c r="F1900" s="21" t="n">
        <v>0</v>
      </c>
      <c r="G1900" s="30" t="s">
        <v>3432</v>
      </c>
    </row>
    <row r="1901" customFormat="false" ht="15" hidden="false" customHeight="false" outlineLevel="0" collapsed="false">
      <c r="A1901" s="28" t="n">
        <v>41869</v>
      </c>
      <c r="B1901" s="28" t="n">
        <v>41875</v>
      </c>
      <c r="C1901" s="21" t="n">
        <v>0</v>
      </c>
      <c r="D1901" s="21" t="n">
        <v>0</v>
      </c>
      <c r="E1901" s="21" t="n">
        <v>0</v>
      </c>
      <c r="F1901" s="21" t="n">
        <v>0</v>
      </c>
      <c r="G1901" s="30" t="s">
        <v>3432</v>
      </c>
    </row>
    <row r="1902" customFormat="false" ht="15" hidden="false" customHeight="false" outlineLevel="0" collapsed="false">
      <c r="A1902" s="28" t="n">
        <v>41876</v>
      </c>
      <c r="B1902" s="28" t="n">
        <v>41882</v>
      </c>
      <c r="C1902" s="21" t="n">
        <v>0</v>
      </c>
      <c r="D1902" s="21" t="n">
        <v>0</v>
      </c>
      <c r="E1902" s="21" t="n">
        <v>0</v>
      </c>
      <c r="F1902" s="21" t="n">
        <v>0</v>
      </c>
      <c r="G1902" s="30" t="s">
        <v>3432</v>
      </c>
    </row>
    <row r="1903" customFormat="false" ht="15" hidden="false" customHeight="false" outlineLevel="0" collapsed="false">
      <c r="A1903" s="28" t="n">
        <v>41883</v>
      </c>
      <c r="B1903" s="28" t="n">
        <v>41889</v>
      </c>
      <c r="C1903" s="21" t="n">
        <v>0</v>
      </c>
      <c r="D1903" s="21" t="n">
        <v>0</v>
      </c>
      <c r="E1903" s="21" t="n">
        <v>0</v>
      </c>
      <c r="F1903" s="21" t="n">
        <v>0</v>
      </c>
      <c r="G1903" s="30" t="s">
        <v>3432</v>
      </c>
    </row>
    <row r="1904" customFormat="false" ht="15" hidden="false" customHeight="false" outlineLevel="0" collapsed="false">
      <c r="A1904" s="28" t="n">
        <v>41890</v>
      </c>
      <c r="B1904" s="28" t="n">
        <v>41896</v>
      </c>
      <c r="C1904" s="21" t="n">
        <v>0</v>
      </c>
      <c r="D1904" s="21" t="n">
        <v>0</v>
      </c>
      <c r="E1904" s="21" t="n">
        <v>0</v>
      </c>
      <c r="F1904" s="21" t="n">
        <v>0</v>
      </c>
      <c r="G1904" s="30" t="s">
        <v>3432</v>
      </c>
    </row>
    <row r="1905" customFormat="false" ht="15" hidden="false" customHeight="false" outlineLevel="0" collapsed="false">
      <c r="A1905" s="28" t="n">
        <v>41897</v>
      </c>
      <c r="B1905" s="28" t="n">
        <v>41903</v>
      </c>
      <c r="C1905" s="21" t="n">
        <v>0</v>
      </c>
      <c r="D1905" s="21" t="n">
        <v>0</v>
      </c>
      <c r="E1905" s="21" t="n">
        <v>0</v>
      </c>
      <c r="F1905" s="21" t="n">
        <v>0</v>
      </c>
      <c r="G1905" s="30" t="s">
        <v>3432</v>
      </c>
    </row>
    <row r="1906" customFormat="false" ht="15" hidden="false" customHeight="false" outlineLevel="0" collapsed="false">
      <c r="A1906" s="28" t="n">
        <v>41904</v>
      </c>
      <c r="B1906" s="28" t="n">
        <v>41910</v>
      </c>
      <c r="C1906" s="21" t="n">
        <v>0</v>
      </c>
      <c r="D1906" s="21" t="n">
        <v>0</v>
      </c>
      <c r="E1906" s="21" t="n">
        <v>0</v>
      </c>
      <c r="F1906" s="21" t="n">
        <v>0</v>
      </c>
      <c r="G1906" s="30" t="s">
        <v>3432</v>
      </c>
    </row>
    <row r="1907" customFormat="false" ht="15" hidden="false" customHeight="false" outlineLevel="0" collapsed="false">
      <c r="A1907" s="28" t="n">
        <v>41911</v>
      </c>
      <c r="B1907" s="28" t="n">
        <v>41917</v>
      </c>
      <c r="C1907" s="21" t="n">
        <v>0</v>
      </c>
      <c r="D1907" s="21" t="n">
        <v>0</v>
      </c>
      <c r="E1907" s="21" t="n">
        <v>0</v>
      </c>
      <c r="F1907" s="21" t="n">
        <v>0</v>
      </c>
      <c r="G1907" s="30" t="s">
        <v>3432</v>
      </c>
    </row>
    <row r="1908" customFormat="false" ht="15" hidden="false" customHeight="false" outlineLevel="0" collapsed="false">
      <c r="A1908" s="28" t="n">
        <v>41918</v>
      </c>
      <c r="B1908" s="28" t="n">
        <v>41924</v>
      </c>
      <c r="C1908" s="21" t="n">
        <v>0</v>
      </c>
      <c r="D1908" s="21" t="n">
        <v>0</v>
      </c>
      <c r="E1908" s="21" t="n">
        <v>0</v>
      </c>
      <c r="F1908" s="21" t="n">
        <v>0</v>
      </c>
      <c r="G1908" s="30" t="s">
        <v>3432</v>
      </c>
    </row>
    <row r="1909" customFormat="false" ht="15" hidden="false" customHeight="false" outlineLevel="0" collapsed="false">
      <c r="A1909" s="28" t="n">
        <v>41925</v>
      </c>
      <c r="B1909" s="28" t="n">
        <v>41931</v>
      </c>
      <c r="C1909" s="21" t="n">
        <v>0</v>
      </c>
      <c r="D1909" s="21" t="n">
        <v>0</v>
      </c>
      <c r="E1909" s="21" t="n">
        <v>0</v>
      </c>
      <c r="F1909" s="21" t="n">
        <v>0</v>
      </c>
      <c r="G1909" s="30" t="s">
        <v>3432</v>
      </c>
    </row>
    <row r="1910" customFormat="false" ht="15" hidden="false" customHeight="false" outlineLevel="0" collapsed="false">
      <c r="A1910" s="28" t="n">
        <v>41932</v>
      </c>
      <c r="B1910" s="28" t="n">
        <v>41938</v>
      </c>
      <c r="C1910" s="21" t="n">
        <v>0</v>
      </c>
      <c r="D1910" s="21" t="n">
        <v>0</v>
      </c>
      <c r="E1910" s="21" t="n">
        <v>0</v>
      </c>
      <c r="F1910" s="21" t="n">
        <v>0</v>
      </c>
      <c r="G1910" s="30" t="s">
        <v>3432</v>
      </c>
    </row>
    <row r="1911" customFormat="false" ht="15" hidden="false" customHeight="false" outlineLevel="0" collapsed="false">
      <c r="A1911" s="28" t="n">
        <v>41939</v>
      </c>
      <c r="B1911" s="28" t="n">
        <v>41945</v>
      </c>
      <c r="C1911" s="21" t="n">
        <v>0</v>
      </c>
      <c r="D1911" s="21" t="n">
        <v>0</v>
      </c>
      <c r="E1911" s="21" t="n">
        <v>0</v>
      </c>
      <c r="F1911" s="21" t="n">
        <v>0</v>
      </c>
      <c r="G1911" s="30" t="s">
        <v>3432</v>
      </c>
    </row>
    <row r="1912" customFormat="false" ht="15" hidden="false" customHeight="false" outlineLevel="0" collapsed="false">
      <c r="A1912" s="28" t="n">
        <v>41946</v>
      </c>
      <c r="B1912" s="28" t="n">
        <v>41952</v>
      </c>
      <c r="C1912" s="21" t="n">
        <v>0</v>
      </c>
      <c r="D1912" s="21" t="n">
        <v>0</v>
      </c>
      <c r="E1912" s="21" t="n">
        <v>0</v>
      </c>
      <c r="F1912" s="21" t="n">
        <v>0</v>
      </c>
      <c r="G1912" s="30" t="s">
        <v>3432</v>
      </c>
    </row>
    <row r="1913" customFormat="false" ht="15" hidden="false" customHeight="false" outlineLevel="0" collapsed="false">
      <c r="A1913" s="28" t="n">
        <v>41953</v>
      </c>
      <c r="B1913" s="28" t="n">
        <v>41959</v>
      </c>
      <c r="C1913" s="21" t="n">
        <v>0</v>
      </c>
      <c r="D1913" s="21" t="n">
        <v>0</v>
      </c>
      <c r="E1913" s="21" t="n">
        <v>0</v>
      </c>
      <c r="F1913" s="21" t="n">
        <v>0</v>
      </c>
      <c r="G1913" s="30" t="s">
        <v>3432</v>
      </c>
    </row>
    <row r="1914" customFormat="false" ht="15" hidden="false" customHeight="false" outlineLevel="0" collapsed="false">
      <c r="A1914" s="28" t="n">
        <v>41960</v>
      </c>
      <c r="B1914" s="28" t="n">
        <v>41966</v>
      </c>
      <c r="C1914" s="21" t="n">
        <v>0</v>
      </c>
      <c r="D1914" s="21" t="n">
        <v>0</v>
      </c>
      <c r="E1914" s="21" t="n">
        <v>0</v>
      </c>
      <c r="F1914" s="21" t="n">
        <v>0</v>
      </c>
      <c r="G1914" s="30" t="s">
        <v>3432</v>
      </c>
    </row>
    <row r="1915" customFormat="false" ht="15" hidden="false" customHeight="false" outlineLevel="0" collapsed="false">
      <c r="A1915" s="28" t="n">
        <v>41967</v>
      </c>
      <c r="B1915" s="28" t="n">
        <v>41973</v>
      </c>
      <c r="C1915" s="21" t="n">
        <v>0</v>
      </c>
      <c r="D1915" s="21" t="n">
        <v>0</v>
      </c>
      <c r="E1915" s="21" t="n">
        <v>0</v>
      </c>
      <c r="F1915" s="21" t="n">
        <v>0</v>
      </c>
      <c r="G1915" s="30" t="s">
        <v>3432</v>
      </c>
    </row>
    <row r="1916" customFormat="false" ht="15" hidden="false" customHeight="false" outlineLevel="0" collapsed="false">
      <c r="A1916" s="28" t="n">
        <v>41974</v>
      </c>
      <c r="B1916" s="28" t="n">
        <v>41980</v>
      </c>
      <c r="C1916" s="21" t="n">
        <v>0</v>
      </c>
      <c r="D1916" s="21" t="n">
        <v>0</v>
      </c>
      <c r="E1916" s="21" t="n">
        <v>0</v>
      </c>
      <c r="F1916" s="21" t="n">
        <v>0</v>
      </c>
      <c r="G1916" s="30" t="s">
        <v>3432</v>
      </c>
    </row>
    <row r="1917" customFormat="false" ht="15" hidden="false" customHeight="false" outlineLevel="0" collapsed="false">
      <c r="A1917" s="28" t="n">
        <v>41981</v>
      </c>
      <c r="B1917" s="28" t="n">
        <v>41987</v>
      </c>
      <c r="C1917" s="21" t="n">
        <v>0</v>
      </c>
      <c r="D1917" s="21" t="n">
        <v>0</v>
      </c>
      <c r="E1917" s="21" t="n">
        <v>0</v>
      </c>
      <c r="F1917" s="21" t="n">
        <v>0</v>
      </c>
      <c r="G1917" s="30" t="s">
        <v>3432</v>
      </c>
    </row>
    <row r="1918" customFormat="false" ht="15" hidden="false" customHeight="false" outlineLevel="0" collapsed="false">
      <c r="A1918" s="28" t="n">
        <v>41988</v>
      </c>
      <c r="B1918" s="28" t="n">
        <v>41994</v>
      </c>
      <c r="C1918" s="21" t="n">
        <v>0</v>
      </c>
      <c r="D1918" s="21" t="n">
        <v>0</v>
      </c>
      <c r="E1918" s="21" t="n">
        <v>0</v>
      </c>
      <c r="F1918" s="21" t="n">
        <v>0</v>
      </c>
      <c r="G1918" s="30" t="s">
        <v>3432</v>
      </c>
    </row>
    <row r="1919" customFormat="false" ht="15" hidden="false" customHeight="false" outlineLevel="0" collapsed="false">
      <c r="A1919" s="28" t="n">
        <v>41995</v>
      </c>
      <c r="B1919" s="28" t="n">
        <v>42001</v>
      </c>
      <c r="C1919" s="21" t="n">
        <v>0</v>
      </c>
      <c r="D1919" s="21" t="n">
        <v>0</v>
      </c>
      <c r="E1919" s="21" t="n">
        <v>0</v>
      </c>
      <c r="F1919" s="21" t="n">
        <v>0</v>
      </c>
      <c r="G1919" s="30" t="s">
        <v>3432</v>
      </c>
    </row>
    <row r="1920" customFormat="false" ht="15" hidden="false" customHeight="false" outlineLevel="0" collapsed="false">
      <c r="A1920" s="28" t="n">
        <v>42002</v>
      </c>
      <c r="B1920" s="28" t="n">
        <v>42008</v>
      </c>
      <c r="C1920" s="21" t="n">
        <v>0</v>
      </c>
      <c r="D1920" s="21" t="n">
        <v>0</v>
      </c>
      <c r="E1920" s="21" t="n">
        <v>0</v>
      </c>
      <c r="F1920" s="21" t="n">
        <v>0</v>
      </c>
      <c r="G1920" s="30" t="s">
        <v>3432</v>
      </c>
    </row>
    <row r="1921" customFormat="false" ht="15" hidden="false" customHeight="false" outlineLevel="0" collapsed="false">
      <c r="A1921" s="28" t="n">
        <v>42009</v>
      </c>
      <c r="B1921" s="28" t="n">
        <v>42015</v>
      </c>
      <c r="C1921" s="21" t="n">
        <v>0</v>
      </c>
      <c r="D1921" s="21" t="n">
        <v>0</v>
      </c>
      <c r="E1921" s="21" t="n">
        <v>0</v>
      </c>
      <c r="F1921" s="21" t="n">
        <v>0</v>
      </c>
      <c r="G1921" s="30" t="s">
        <v>3432</v>
      </c>
    </row>
    <row r="1922" customFormat="false" ht="15" hidden="false" customHeight="false" outlineLevel="0" collapsed="false">
      <c r="A1922" s="28" t="n">
        <v>42016</v>
      </c>
      <c r="B1922" s="28" t="n">
        <v>42022</v>
      </c>
      <c r="C1922" s="21" t="n">
        <v>0</v>
      </c>
      <c r="D1922" s="21" t="n">
        <v>0</v>
      </c>
      <c r="E1922" s="21" t="n">
        <v>0</v>
      </c>
      <c r="F1922" s="21" t="n">
        <v>0</v>
      </c>
      <c r="G1922" s="30" t="s">
        <v>3432</v>
      </c>
    </row>
    <row r="1923" customFormat="false" ht="15" hidden="false" customHeight="false" outlineLevel="0" collapsed="false">
      <c r="A1923" s="28" t="n">
        <v>42023</v>
      </c>
      <c r="B1923" s="28" t="n">
        <v>42029</v>
      </c>
      <c r="C1923" s="21" t="n">
        <v>0</v>
      </c>
      <c r="D1923" s="21" t="n">
        <v>0</v>
      </c>
      <c r="E1923" s="21" t="n">
        <v>0</v>
      </c>
      <c r="F1923" s="21" t="n">
        <v>0</v>
      </c>
      <c r="G1923" s="30" t="s">
        <v>3432</v>
      </c>
    </row>
    <row r="1924" customFormat="false" ht="15" hidden="false" customHeight="false" outlineLevel="0" collapsed="false">
      <c r="A1924" s="28" t="n">
        <v>42030</v>
      </c>
      <c r="B1924" s="28" t="n">
        <v>42036</v>
      </c>
      <c r="C1924" s="21" t="n">
        <v>0</v>
      </c>
      <c r="D1924" s="21" t="n">
        <v>0</v>
      </c>
      <c r="E1924" s="21" t="n">
        <v>0</v>
      </c>
      <c r="F1924" s="21" t="n">
        <v>0</v>
      </c>
      <c r="G1924" s="30" t="s">
        <v>3432</v>
      </c>
    </row>
    <row r="1925" customFormat="false" ht="15" hidden="false" customHeight="false" outlineLevel="0" collapsed="false">
      <c r="A1925" s="28" t="n">
        <v>42037</v>
      </c>
      <c r="B1925" s="28" t="n">
        <v>42043</v>
      </c>
      <c r="C1925" s="21" t="n">
        <v>0</v>
      </c>
      <c r="D1925" s="21" t="n">
        <v>0</v>
      </c>
      <c r="E1925" s="21" t="n">
        <v>0</v>
      </c>
      <c r="F1925" s="21" t="n">
        <v>0</v>
      </c>
      <c r="G1925" s="30" t="s">
        <v>3432</v>
      </c>
    </row>
    <row r="1926" customFormat="false" ht="15" hidden="false" customHeight="false" outlineLevel="0" collapsed="false">
      <c r="A1926" s="28" t="n">
        <v>42044</v>
      </c>
      <c r="B1926" s="28" t="n">
        <v>42050</v>
      </c>
      <c r="C1926" s="21" t="n">
        <v>0</v>
      </c>
      <c r="D1926" s="21" t="n">
        <v>0</v>
      </c>
      <c r="E1926" s="21" t="n">
        <v>0</v>
      </c>
      <c r="F1926" s="21" t="n">
        <v>0</v>
      </c>
      <c r="G1926" s="30" t="s">
        <v>3432</v>
      </c>
    </row>
    <row r="1927" customFormat="false" ht="15" hidden="false" customHeight="false" outlineLevel="0" collapsed="false">
      <c r="A1927" s="28" t="n">
        <v>42051</v>
      </c>
      <c r="B1927" s="28" t="n">
        <v>42057</v>
      </c>
      <c r="C1927" s="21" t="n">
        <v>0</v>
      </c>
      <c r="D1927" s="21" t="n">
        <v>0</v>
      </c>
      <c r="E1927" s="21" t="n">
        <v>0</v>
      </c>
      <c r="F1927" s="21" t="n">
        <v>0</v>
      </c>
      <c r="G1927" s="30" t="s">
        <v>3432</v>
      </c>
    </row>
    <row r="1928" customFormat="false" ht="15" hidden="false" customHeight="false" outlineLevel="0" collapsed="false">
      <c r="A1928" s="28" t="n">
        <v>42058</v>
      </c>
      <c r="B1928" s="28" t="n">
        <v>42064</v>
      </c>
      <c r="C1928" s="21" t="n">
        <v>0</v>
      </c>
      <c r="D1928" s="21" t="n">
        <v>0</v>
      </c>
      <c r="E1928" s="21" t="n">
        <v>0</v>
      </c>
      <c r="F1928" s="21" t="n">
        <v>0</v>
      </c>
      <c r="G1928" s="30" t="s">
        <v>3432</v>
      </c>
    </row>
    <row r="1929" customFormat="false" ht="15" hidden="false" customHeight="false" outlineLevel="0" collapsed="false">
      <c r="A1929" s="28" t="n">
        <v>42065</v>
      </c>
      <c r="B1929" s="28" t="n">
        <v>42071</v>
      </c>
      <c r="C1929" s="21" t="n">
        <v>0</v>
      </c>
      <c r="D1929" s="21" t="n">
        <v>0</v>
      </c>
      <c r="E1929" s="21" t="n">
        <v>0</v>
      </c>
      <c r="F1929" s="21" t="n">
        <v>0</v>
      </c>
      <c r="G1929" s="30" t="s">
        <v>3432</v>
      </c>
    </row>
    <row r="1930" customFormat="false" ht="15" hidden="false" customHeight="false" outlineLevel="0" collapsed="false">
      <c r="A1930" s="28" t="n">
        <v>42072</v>
      </c>
      <c r="B1930" s="28" t="n">
        <v>42078</v>
      </c>
      <c r="C1930" s="21" t="n">
        <v>0</v>
      </c>
      <c r="D1930" s="21" t="n">
        <v>0</v>
      </c>
      <c r="E1930" s="21" t="n">
        <v>0</v>
      </c>
      <c r="F1930" s="21" t="n">
        <v>0</v>
      </c>
      <c r="G1930" s="30" t="s">
        <v>3432</v>
      </c>
    </row>
    <row r="1931" customFormat="false" ht="15" hidden="false" customHeight="false" outlineLevel="0" collapsed="false">
      <c r="A1931" s="28" t="n">
        <v>42079</v>
      </c>
      <c r="B1931" s="28" t="n">
        <v>42085</v>
      </c>
      <c r="C1931" s="21" t="n">
        <v>0</v>
      </c>
      <c r="D1931" s="21" t="n">
        <v>0</v>
      </c>
      <c r="E1931" s="21" t="n">
        <v>0</v>
      </c>
      <c r="F1931" s="21" t="n">
        <v>0</v>
      </c>
      <c r="G1931" s="30" t="s">
        <v>3432</v>
      </c>
    </row>
    <row r="1932" customFormat="false" ht="15" hidden="false" customHeight="false" outlineLevel="0" collapsed="false">
      <c r="A1932" s="28" t="n">
        <v>42086</v>
      </c>
      <c r="B1932" s="28" t="n">
        <v>42092</v>
      </c>
      <c r="C1932" s="21" t="n">
        <v>0</v>
      </c>
      <c r="D1932" s="21" t="n">
        <v>0</v>
      </c>
      <c r="E1932" s="21" t="n">
        <v>0</v>
      </c>
      <c r="F1932" s="21" t="n">
        <v>0</v>
      </c>
      <c r="G1932" s="30" t="s">
        <v>3432</v>
      </c>
    </row>
    <row r="1933" customFormat="false" ht="15" hidden="false" customHeight="false" outlineLevel="0" collapsed="false">
      <c r="A1933" s="28" t="n">
        <v>42093</v>
      </c>
      <c r="B1933" s="28" t="n">
        <v>42099</v>
      </c>
      <c r="C1933" s="21" t="n">
        <v>0</v>
      </c>
      <c r="D1933" s="21" t="n">
        <v>0</v>
      </c>
      <c r="E1933" s="21" t="n">
        <v>0</v>
      </c>
      <c r="F1933" s="21" t="n">
        <v>0</v>
      </c>
      <c r="G1933" s="30" t="s">
        <v>3432</v>
      </c>
    </row>
    <row r="1934" customFormat="false" ht="15" hidden="false" customHeight="false" outlineLevel="0" collapsed="false">
      <c r="A1934" s="28" t="n">
        <v>42100</v>
      </c>
      <c r="B1934" s="28" t="n">
        <v>42106</v>
      </c>
      <c r="C1934" s="21" t="n">
        <v>0</v>
      </c>
      <c r="D1934" s="21" t="n">
        <v>0</v>
      </c>
      <c r="E1934" s="21" t="n">
        <v>0</v>
      </c>
      <c r="F1934" s="21" t="n">
        <v>0</v>
      </c>
      <c r="G1934" s="30" t="s">
        <v>3432</v>
      </c>
    </row>
    <row r="1935" customFormat="false" ht="15" hidden="false" customHeight="false" outlineLevel="0" collapsed="false">
      <c r="A1935" s="28" t="n">
        <v>42107</v>
      </c>
      <c r="B1935" s="28" t="n">
        <v>42113</v>
      </c>
      <c r="C1935" s="21" t="n">
        <v>0</v>
      </c>
      <c r="D1935" s="21" t="n">
        <v>0</v>
      </c>
      <c r="E1935" s="21" t="n">
        <v>0</v>
      </c>
      <c r="F1935" s="21" t="n">
        <v>0</v>
      </c>
      <c r="G1935" s="30" t="s">
        <v>3432</v>
      </c>
    </row>
    <row r="1936" customFormat="false" ht="15" hidden="false" customHeight="false" outlineLevel="0" collapsed="false">
      <c r="A1936" s="28" t="n">
        <v>42114</v>
      </c>
      <c r="B1936" s="28" t="n">
        <v>42120</v>
      </c>
      <c r="C1936" s="21" t="n">
        <v>0</v>
      </c>
      <c r="D1936" s="21" t="n">
        <v>0</v>
      </c>
      <c r="E1936" s="21" t="n">
        <v>0</v>
      </c>
      <c r="F1936" s="21" t="n">
        <v>0</v>
      </c>
      <c r="G1936" s="30" t="s">
        <v>3432</v>
      </c>
    </row>
    <row r="1937" customFormat="false" ht="15" hidden="false" customHeight="false" outlineLevel="0" collapsed="false">
      <c r="A1937" s="28" t="n">
        <v>42121</v>
      </c>
      <c r="B1937" s="28" t="n">
        <v>42127</v>
      </c>
      <c r="C1937" s="21" t="n">
        <v>0</v>
      </c>
      <c r="D1937" s="21" t="n">
        <v>1</v>
      </c>
      <c r="E1937" s="21" t="n">
        <v>0</v>
      </c>
      <c r="F1937" s="21" t="n">
        <v>1</v>
      </c>
      <c r="G1937" s="29" t="s">
        <v>184</v>
      </c>
    </row>
    <row r="1938" customFormat="false" ht="15" hidden="false" customHeight="false" outlineLevel="0" collapsed="false">
      <c r="A1938" s="28" t="n">
        <v>42128</v>
      </c>
      <c r="B1938" s="28" t="n">
        <v>42134</v>
      </c>
      <c r="C1938" s="21" t="n">
        <v>0</v>
      </c>
      <c r="D1938" s="21" t="n">
        <v>0</v>
      </c>
      <c r="E1938" s="21" t="n">
        <v>0</v>
      </c>
      <c r="F1938" s="21" t="n">
        <v>0</v>
      </c>
      <c r="G1938" s="29" t="s">
        <v>184</v>
      </c>
    </row>
    <row r="1939" customFormat="false" ht="15" hidden="false" customHeight="false" outlineLevel="0" collapsed="false">
      <c r="A1939" s="28" t="n">
        <v>42135</v>
      </c>
      <c r="B1939" s="28" t="n">
        <v>42141</v>
      </c>
      <c r="C1939" s="21" t="n">
        <v>0</v>
      </c>
      <c r="D1939" s="21" t="n">
        <v>0</v>
      </c>
      <c r="E1939" s="21" t="n">
        <v>0</v>
      </c>
      <c r="F1939" s="21" t="n">
        <v>0</v>
      </c>
      <c r="G1939" s="30" t="s">
        <v>3432</v>
      </c>
    </row>
    <row r="1940" customFormat="false" ht="15" hidden="false" customHeight="false" outlineLevel="0" collapsed="false">
      <c r="A1940" s="28" t="n">
        <v>42142</v>
      </c>
      <c r="B1940" s="28" t="n">
        <v>42148</v>
      </c>
      <c r="C1940" s="21" t="n">
        <v>0</v>
      </c>
      <c r="D1940" s="21" t="n">
        <v>0</v>
      </c>
      <c r="E1940" s="21" t="n">
        <v>0</v>
      </c>
      <c r="F1940" s="21" t="n">
        <v>0</v>
      </c>
      <c r="G1940" s="30" t="s">
        <v>3432</v>
      </c>
    </row>
    <row r="1941" customFormat="false" ht="15" hidden="false" customHeight="false" outlineLevel="0" collapsed="false">
      <c r="A1941" s="28" t="n">
        <v>42149</v>
      </c>
      <c r="B1941" s="28" t="n">
        <v>42155</v>
      </c>
      <c r="C1941" s="21" t="n">
        <v>0</v>
      </c>
      <c r="D1941" s="21" t="n">
        <v>0</v>
      </c>
      <c r="E1941" s="21" t="n">
        <v>0</v>
      </c>
      <c r="F1941" s="21" t="n">
        <v>0</v>
      </c>
      <c r="G1941" s="30" t="s">
        <v>3432</v>
      </c>
    </row>
    <row r="1942" customFormat="false" ht="15" hidden="false" customHeight="false" outlineLevel="0" collapsed="false">
      <c r="A1942" s="28" t="n">
        <v>42156</v>
      </c>
      <c r="B1942" s="28" t="n">
        <v>42162</v>
      </c>
      <c r="C1942" s="21" t="n">
        <v>0</v>
      </c>
      <c r="D1942" s="21" t="n">
        <v>0</v>
      </c>
      <c r="E1942" s="21" t="n">
        <v>0</v>
      </c>
      <c r="F1942" s="21" t="n">
        <v>0</v>
      </c>
      <c r="G1942" s="30" t="s">
        <v>3432</v>
      </c>
    </row>
    <row r="1943" customFormat="false" ht="15" hidden="false" customHeight="false" outlineLevel="0" collapsed="false">
      <c r="A1943" s="28" t="n">
        <v>42163</v>
      </c>
      <c r="B1943" s="28" t="n">
        <v>42169</v>
      </c>
      <c r="C1943" s="21" t="n">
        <v>0</v>
      </c>
      <c r="D1943" s="21" t="n">
        <v>0</v>
      </c>
      <c r="E1943" s="21" t="n">
        <v>0</v>
      </c>
      <c r="F1943" s="21" t="n">
        <v>0</v>
      </c>
      <c r="G1943" s="30" t="s">
        <v>3432</v>
      </c>
    </row>
    <row r="1944" customFormat="false" ht="15" hidden="false" customHeight="false" outlineLevel="0" collapsed="false">
      <c r="A1944" s="28" t="n">
        <v>42170</v>
      </c>
      <c r="B1944" s="28" t="n">
        <v>42176</v>
      </c>
      <c r="C1944" s="21" t="n">
        <v>0</v>
      </c>
      <c r="D1944" s="21" t="n">
        <v>0</v>
      </c>
      <c r="E1944" s="21" t="n">
        <v>0</v>
      </c>
      <c r="F1944" s="21" t="n">
        <v>0</v>
      </c>
      <c r="G1944" s="30" t="s">
        <v>3432</v>
      </c>
    </row>
    <row r="1945" customFormat="false" ht="15" hidden="false" customHeight="false" outlineLevel="0" collapsed="false">
      <c r="A1945" s="28" t="n">
        <v>42177</v>
      </c>
      <c r="B1945" s="28" t="n">
        <v>42183</v>
      </c>
      <c r="C1945" s="21" t="n">
        <v>0</v>
      </c>
      <c r="D1945" s="21" t="n">
        <v>0</v>
      </c>
      <c r="E1945" s="21" t="n">
        <v>0</v>
      </c>
      <c r="F1945" s="21" t="n">
        <v>0</v>
      </c>
      <c r="G1945" s="30" t="s">
        <v>3432</v>
      </c>
    </row>
    <row r="1946" customFormat="false" ht="15" hidden="false" customHeight="false" outlineLevel="0" collapsed="false">
      <c r="A1946" s="28" t="n">
        <v>42184</v>
      </c>
      <c r="B1946" s="28" t="n">
        <v>42190</v>
      </c>
      <c r="C1946" s="21" t="n">
        <v>0</v>
      </c>
      <c r="D1946" s="21" t="n">
        <v>0</v>
      </c>
      <c r="E1946" s="21" t="n">
        <v>0</v>
      </c>
      <c r="F1946" s="21" t="n">
        <v>0</v>
      </c>
      <c r="G1946" s="30" t="s">
        <v>3432</v>
      </c>
    </row>
    <row r="1947" customFormat="false" ht="15" hidden="false" customHeight="false" outlineLevel="0" collapsed="false">
      <c r="A1947" s="28" t="n">
        <v>42191</v>
      </c>
      <c r="B1947" s="28" t="n">
        <v>42197</v>
      </c>
      <c r="C1947" s="21" t="n">
        <v>0</v>
      </c>
      <c r="D1947" s="21" t="n">
        <v>0</v>
      </c>
      <c r="E1947" s="21" t="n">
        <v>0</v>
      </c>
      <c r="F1947" s="21" t="n">
        <v>0</v>
      </c>
      <c r="G1947" s="30" t="s">
        <v>3432</v>
      </c>
    </row>
    <row r="1948" customFormat="false" ht="15" hidden="false" customHeight="false" outlineLevel="0" collapsed="false">
      <c r="A1948" s="28" t="n">
        <v>42198</v>
      </c>
      <c r="B1948" s="28" t="n">
        <v>42204</v>
      </c>
      <c r="C1948" s="21" t="n">
        <v>0</v>
      </c>
      <c r="D1948" s="21" t="n">
        <v>0</v>
      </c>
      <c r="E1948" s="21" t="n">
        <v>0</v>
      </c>
      <c r="F1948" s="21" t="n">
        <v>0</v>
      </c>
      <c r="G1948" s="30" t="s">
        <v>3432</v>
      </c>
    </row>
    <row r="1949" customFormat="false" ht="15" hidden="false" customHeight="false" outlineLevel="0" collapsed="false">
      <c r="A1949" s="28" t="n">
        <v>42205</v>
      </c>
      <c r="B1949" s="28" t="n">
        <v>42211</v>
      </c>
      <c r="C1949" s="21" t="n">
        <v>0</v>
      </c>
      <c r="D1949" s="21" t="n">
        <v>0</v>
      </c>
      <c r="E1949" s="21" t="n">
        <v>0</v>
      </c>
      <c r="F1949" s="21" t="n">
        <v>0</v>
      </c>
      <c r="G1949" s="30" t="s">
        <v>3432</v>
      </c>
    </row>
    <row r="1950" customFormat="false" ht="15" hidden="false" customHeight="false" outlineLevel="0" collapsed="false">
      <c r="A1950" s="28" t="n">
        <v>42212</v>
      </c>
      <c r="B1950" s="28" t="n">
        <v>42218</v>
      </c>
      <c r="C1950" s="21" t="n">
        <v>0</v>
      </c>
      <c r="D1950" s="21" t="n">
        <v>0</v>
      </c>
      <c r="E1950" s="21" t="n">
        <v>0</v>
      </c>
      <c r="F1950" s="21" t="n">
        <v>0</v>
      </c>
      <c r="G1950" s="30" t="s">
        <v>3432</v>
      </c>
    </row>
    <row r="1951" customFormat="false" ht="15" hidden="false" customHeight="false" outlineLevel="0" collapsed="false">
      <c r="A1951" s="28" t="n">
        <v>42219</v>
      </c>
      <c r="B1951" s="28" t="n">
        <v>42225</v>
      </c>
      <c r="C1951" s="21" t="n">
        <v>0</v>
      </c>
      <c r="D1951" s="21" t="n">
        <v>0</v>
      </c>
      <c r="E1951" s="21" t="n">
        <v>0</v>
      </c>
      <c r="F1951" s="21" t="n">
        <v>0</v>
      </c>
      <c r="G1951" s="30" t="s">
        <v>3432</v>
      </c>
    </row>
    <row r="1952" customFormat="false" ht="15" hidden="false" customHeight="false" outlineLevel="0" collapsed="false">
      <c r="A1952" s="28" t="n">
        <v>42226</v>
      </c>
      <c r="B1952" s="28" t="n">
        <v>42232</v>
      </c>
      <c r="C1952" s="21" t="n">
        <v>0</v>
      </c>
      <c r="D1952" s="21" t="n">
        <v>0</v>
      </c>
      <c r="E1952" s="21" t="n">
        <v>0</v>
      </c>
      <c r="F1952" s="21" t="n">
        <v>0</v>
      </c>
      <c r="G1952" s="30" t="s">
        <v>3432</v>
      </c>
    </row>
    <row r="1953" customFormat="false" ht="15" hidden="false" customHeight="false" outlineLevel="0" collapsed="false">
      <c r="A1953" s="28" t="n">
        <v>42233</v>
      </c>
      <c r="B1953" s="28" t="n">
        <v>42239</v>
      </c>
      <c r="C1953" s="21" t="n">
        <v>0</v>
      </c>
      <c r="D1953" s="21" t="n">
        <v>0</v>
      </c>
      <c r="E1953" s="21" t="n">
        <v>0</v>
      </c>
      <c r="F1953" s="21" t="n">
        <v>0</v>
      </c>
      <c r="G1953" s="30" t="s">
        <v>3432</v>
      </c>
    </row>
    <row r="1954" customFormat="false" ht="15" hidden="false" customHeight="false" outlineLevel="0" collapsed="false">
      <c r="A1954" s="28" t="n">
        <v>42240</v>
      </c>
      <c r="B1954" s="28" t="n">
        <v>42246</v>
      </c>
      <c r="C1954" s="21" t="n">
        <v>0</v>
      </c>
      <c r="D1954" s="21" t="n">
        <v>0</v>
      </c>
      <c r="E1954" s="21" t="n">
        <v>0</v>
      </c>
      <c r="F1954" s="21" t="n">
        <v>0</v>
      </c>
      <c r="G1954" s="30" t="s">
        <v>3432</v>
      </c>
    </row>
    <row r="1955" customFormat="false" ht="15" hidden="false" customHeight="false" outlineLevel="0" collapsed="false">
      <c r="A1955" s="28" t="n">
        <v>42247</v>
      </c>
      <c r="B1955" s="28" t="n">
        <v>42253</v>
      </c>
      <c r="C1955" s="21" t="n">
        <v>0</v>
      </c>
      <c r="D1955" s="21" t="n">
        <v>0</v>
      </c>
      <c r="E1955" s="21" t="n">
        <v>0</v>
      </c>
      <c r="F1955" s="21" t="n">
        <v>0</v>
      </c>
      <c r="G1955" s="30" t="s">
        <v>3432</v>
      </c>
    </row>
    <row r="1956" customFormat="false" ht="15" hidden="false" customHeight="false" outlineLevel="0" collapsed="false">
      <c r="A1956" s="28" t="n">
        <v>42254</v>
      </c>
      <c r="B1956" s="28" t="n">
        <v>42260</v>
      </c>
      <c r="C1956" s="21" t="n">
        <v>0</v>
      </c>
      <c r="D1956" s="21" t="n">
        <v>0</v>
      </c>
      <c r="E1956" s="21" t="n">
        <v>0</v>
      </c>
      <c r="F1956" s="21" t="n">
        <v>0</v>
      </c>
      <c r="G1956" s="30" t="s">
        <v>3432</v>
      </c>
    </row>
    <row r="1957" customFormat="false" ht="15" hidden="false" customHeight="false" outlineLevel="0" collapsed="false">
      <c r="A1957" s="28" t="n">
        <v>42261</v>
      </c>
      <c r="B1957" s="28" t="n">
        <v>42267</v>
      </c>
      <c r="C1957" s="21" t="n">
        <v>0</v>
      </c>
      <c r="D1957" s="21" t="n">
        <v>0</v>
      </c>
      <c r="E1957" s="21" t="n">
        <v>0</v>
      </c>
      <c r="F1957" s="21" t="n">
        <v>0</v>
      </c>
      <c r="G1957" s="30" t="s">
        <v>3432</v>
      </c>
    </row>
    <row r="1958" customFormat="false" ht="15" hidden="false" customHeight="false" outlineLevel="0" collapsed="false">
      <c r="A1958" s="28" t="n">
        <v>42268</v>
      </c>
      <c r="B1958" s="28" t="n">
        <v>42274</v>
      </c>
      <c r="C1958" s="21" t="n">
        <v>0</v>
      </c>
      <c r="D1958" s="21" t="n">
        <v>0</v>
      </c>
      <c r="E1958" s="21" t="n">
        <v>0</v>
      </c>
      <c r="F1958" s="21" t="n">
        <v>0</v>
      </c>
      <c r="G1958" s="30" t="s">
        <v>3432</v>
      </c>
    </row>
    <row r="1959" customFormat="false" ht="15" hidden="false" customHeight="false" outlineLevel="0" collapsed="false">
      <c r="A1959" s="28" t="n">
        <v>42275</v>
      </c>
      <c r="B1959" s="28" t="n">
        <v>42281</v>
      </c>
      <c r="C1959" s="21" t="n">
        <v>0</v>
      </c>
      <c r="D1959" s="21" t="n">
        <v>0</v>
      </c>
      <c r="E1959" s="21" t="n">
        <v>0</v>
      </c>
      <c r="F1959" s="21" t="n">
        <v>0</v>
      </c>
      <c r="G1959" s="30" t="s">
        <v>3432</v>
      </c>
    </row>
    <row r="1960" customFormat="false" ht="15" hidden="false" customHeight="false" outlineLevel="0" collapsed="false">
      <c r="A1960" s="28" t="n">
        <v>42282</v>
      </c>
      <c r="B1960" s="28" t="n">
        <v>42288</v>
      </c>
      <c r="C1960" s="21" t="n">
        <v>0</v>
      </c>
      <c r="D1960" s="21" t="n">
        <v>0</v>
      </c>
      <c r="E1960" s="21" t="n">
        <v>0</v>
      </c>
      <c r="F1960" s="21" t="n">
        <v>0</v>
      </c>
      <c r="G1960" s="30" t="s">
        <v>3432</v>
      </c>
    </row>
    <row r="1961" customFormat="false" ht="15" hidden="false" customHeight="false" outlineLevel="0" collapsed="false">
      <c r="A1961" s="28" t="n">
        <v>42289</v>
      </c>
      <c r="B1961" s="28" t="n">
        <v>42295</v>
      </c>
      <c r="C1961" s="21" t="n">
        <v>0</v>
      </c>
      <c r="D1961" s="21" t="n">
        <v>0</v>
      </c>
      <c r="E1961" s="21" t="n">
        <v>0</v>
      </c>
      <c r="F1961" s="21" t="n">
        <v>0</v>
      </c>
      <c r="G1961" s="30" t="s">
        <v>3432</v>
      </c>
    </row>
    <row r="1962" customFormat="false" ht="15" hidden="false" customHeight="false" outlineLevel="0" collapsed="false">
      <c r="A1962" s="28" t="n">
        <v>42296</v>
      </c>
      <c r="B1962" s="28" t="n">
        <v>42302</v>
      </c>
      <c r="C1962" s="21" t="n">
        <v>0</v>
      </c>
      <c r="D1962" s="21" t="n">
        <v>0</v>
      </c>
      <c r="E1962" s="21" t="n">
        <v>0</v>
      </c>
      <c r="F1962" s="21" t="n">
        <v>0</v>
      </c>
      <c r="G1962" s="30" t="s">
        <v>3432</v>
      </c>
    </row>
    <row r="1963" customFormat="false" ht="15" hidden="false" customHeight="false" outlineLevel="0" collapsed="false">
      <c r="A1963" s="28" t="n">
        <v>42303</v>
      </c>
      <c r="B1963" s="28" t="n">
        <v>42309</v>
      </c>
      <c r="C1963" s="21" t="n">
        <v>0</v>
      </c>
      <c r="D1963" s="21" t="n">
        <v>0</v>
      </c>
      <c r="E1963" s="21" t="n">
        <v>0</v>
      </c>
      <c r="F1963" s="21" t="n">
        <v>0</v>
      </c>
      <c r="G1963" s="30" t="s">
        <v>3432</v>
      </c>
    </row>
    <row r="1964" customFormat="false" ht="15" hidden="false" customHeight="false" outlineLevel="0" collapsed="false">
      <c r="A1964" s="28" t="n">
        <v>42310</v>
      </c>
      <c r="B1964" s="28" t="n">
        <v>42316</v>
      </c>
      <c r="C1964" s="21" t="n">
        <v>0</v>
      </c>
      <c r="D1964" s="21" t="n">
        <v>0</v>
      </c>
      <c r="E1964" s="21" t="n">
        <v>0</v>
      </c>
      <c r="F1964" s="21" t="n">
        <v>0</v>
      </c>
      <c r="G1964" s="30" t="s">
        <v>3432</v>
      </c>
    </row>
    <row r="1965" customFormat="false" ht="15" hidden="false" customHeight="false" outlineLevel="0" collapsed="false">
      <c r="A1965" s="28" t="n">
        <v>42317</v>
      </c>
      <c r="B1965" s="28" t="n">
        <v>42323</v>
      </c>
      <c r="C1965" s="21" t="n">
        <v>0</v>
      </c>
      <c r="D1965" s="21" t="n">
        <v>0</v>
      </c>
      <c r="E1965" s="21" t="n">
        <v>0</v>
      </c>
      <c r="F1965" s="21" t="n">
        <v>0</v>
      </c>
      <c r="G1965" s="30" t="s">
        <v>3432</v>
      </c>
    </row>
    <row r="1966" customFormat="false" ht="15" hidden="false" customHeight="false" outlineLevel="0" collapsed="false">
      <c r="A1966" s="28" t="n">
        <v>42324</v>
      </c>
      <c r="B1966" s="28" t="n">
        <v>42330</v>
      </c>
      <c r="C1966" s="21" t="n">
        <v>0</v>
      </c>
      <c r="D1966" s="21" t="n">
        <v>0</v>
      </c>
      <c r="E1966" s="21" t="n">
        <v>0</v>
      </c>
      <c r="F1966" s="21" t="n">
        <v>0</v>
      </c>
      <c r="G1966" s="30" t="s">
        <v>3432</v>
      </c>
    </row>
    <row r="1967" customFormat="false" ht="15" hidden="false" customHeight="false" outlineLevel="0" collapsed="false">
      <c r="A1967" s="28" t="n">
        <v>42331</v>
      </c>
      <c r="B1967" s="28" t="n">
        <v>42337</v>
      </c>
      <c r="C1967" s="21" t="n">
        <v>0</v>
      </c>
      <c r="D1967" s="21" t="n">
        <v>0</v>
      </c>
      <c r="E1967" s="21" t="n">
        <v>0</v>
      </c>
      <c r="F1967" s="21" t="n">
        <v>0</v>
      </c>
      <c r="G1967" s="30" t="s">
        <v>3432</v>
      </c>
    </row>
    <row r="1968" customFormat="false" ht="15" hidden="false" customHeight="false" outlineLevel="0" collapsed="false">
      <c r="A1968" s="28" t="n">
        <v>42338</v>
      </c>
      <c r="B1968" s="28" t="n">
        <v>42344</v>
      </c>
      <c r="C1968" s="21" t="n">
        <v>0</v>
      </c>
      <c r="D1968" s="21" t="n">
        <v>0</v>
      </c>
      <c r="E1968" s="21" t="n">
        <v>0</v>
      </c>
      <c r="F1968" s="21" t="n">
        <v>0</v>
      </c>
      <c r="G1968" s="30" t="s">
        <v>3432</v>
      </c>
    </row>
    <row r="1969" customFormat="false" ht="15" hidden="false" customHeight="false" outlineLevel="0" collapsed="false">
      <c r="A1969" s="28" t="n">
        <v>42345</v>
      </c>
      <c r="B1969" s="28" t="n">
        <v>42351</v>
      </c>
      <c r="C1969" s="21" t="n">
        <v>0</v>
      </c>
      <c r="D1969" s="21" t="n">
        <v>0</v>
      </c>
      <c r="E1969" s="21" t="n">
        <v>0</v>
      </c>
      <c r="F1969" s="21" t="n">
        <v>0</v>
      </c>
      <c r="G1969" s="30" t="s">
        <v>3432</v>
      </c>
    </row>
    <row r="1970" customFormat="false" ht="15" hidden="false" customHeight="false" outlineLevel="0" collapsed="false">
      <c r="A1970" s="28" t="n">
        <v>42352</v>
      </c>
      <c r="B1970" s="28" t="n">
        <v>42358</v>
      </c>
      <c r="C1970" s="21" t="n">
        <v>0</v>
      </c>
      <c r="D1970" s="21" t="n">
        <v>0</v>
      </c>
      <c r="E1970" s="21" t="n">
        <v>0</v>
      </c>
      <c r="F1970" s="21" t="n">
        <v>0</v>
      </c>
      <c r="G1970" s="30" t="s">
        <v>3432</v>
      </c>
    </row>
    <row r="1971" customFormat="false" ht="15" hidden="false" customHeight="false" outlineLevel="0" collapsed="false">
      <c r="A1971" s="28" t="n">
        <v>42359</v>
      </c>
      <c r="B1971" s="28" t="n">
        <v>42365</v>
      </c>
      <c r="C1971" s="21" t="n">
        <v>0</v>
      </c>
      <c r="D1971" s="21" t="n">
        <v>0</v>
      </c>
      <c r="E1971" s="21" t="n">
        <v>0</v>
      </c>
      <c r="F1971" s="21" t="n">
        <v>0</v>
      </c>
      <c r="G1971" s="30" t="s">
        <v>3432</v>
      </c>
    </row>
    <row r="1972" customFormat="false" ht="15" hidden="false" customHeight="false" outlineLevel="0" collapsed="false">
      <c r="A1972" s="28" t="n">
        <v>42366</v>
      </c>
      <c r="B1972" s="28" t="n">
        <v>42372</v>
      </c>
      <c r="C1972" s="21" t="n">
        <v>0</v>
      </c>
      <c r="D1972" s="21" t="n">
        <v>0</v>
      </c>
      <c r="E1972" s="21" t="n">
        <v>0</v>
      </c>
      <c r="F1972" s="21" t="n">
        <v>0</v>
      </c>
      <c r="G1972" s="30" t="s">
        <v>3432</v>
      </c>
    </row>
    <row r="1973" customFormat="false" ht="15" hidden="false" customHeight="false" outlineLevel="0" collapsed="false">
      <c r="A1973" s="28" t="n">
        <v>42373</v>
      </c>
      <c r="B1973" s="28" t="n">
        <v>42379</v>
      </c>
      <c r="C1973" s="21" t="n">
        <v>0</v>
      </c>
      <c r="D1973" s="21" t="n">
        <v>0</v>
      </c>
      <c r="E1973" s="21" t="n">
        <v>0</v>
      </c>
      <c r="F1973" s="21" t="n">
        <v>0</v>
      </c>
      <c r="G1973" s="30" t="s">
        <v>3432</v>
      </c>
    </row>
    <row r="1974" customFormat="false" ht="15" hidden="false" customHeight="false" outlineLevel="0" collapsed="false">
      <c r="A1974" s="28" t="n">
        <v>42380</v>
      </c>
      <c r="B1974" s="28" t="n">
        <v>42386</v>
      </c>
      <c r="C1974" s="21" t="n">
        <v>0</v>
      </c>
      <c r="D1974" s="21" t="n">
        <v>1</v>
      </c>
      <c r="E1974" s="21" t="n">
        <v>0</v>
      </c>
      <c r="F1974" s="21" t="n">
        <v>1</v>
      </c>
      <c r="G1974" s="29" t="s">
        <v>184</v>
      </c>
    </row>
    <row r="1975" customFormat="false" ht="15" hidden="false" customHeight="false" outlineLevel="0" collapsed="false">
      <c r="A1975" s="28" t="n">
        <v>42387</v>
      </c>
      <c r="B1975" s="28" t="n">
        <v>42393</v>
      </c>
      <c r="C1975" s="21" t="n">
        <v>0</v>
      </c>
      <c r="D1975" s="21" t="n">
        <v>0</v>
      </c>
      <c r="E1975" s="21" t="n">
        <v>0</v>
      </c>
      <c r="F1975" s="21" t="n">
        <v>0</v>
      </c>
      <c r="G1975" s="29" t="s">
        <v>184</v>
      </c>
    </row>
    <row r="1976" customFormat="false" ht="15" hidden="false" customHeight="false" outlineLevel="0" collapsed="false">
      <c r="A1976" s="28" t="n">
        <v>42394</v>
      </c>
      <c r="B1976" s="28" t="n">
        <v>42400</v>
      </c>
      <c r="C1976" s="21" t="n">
        <v>0</v>
      </c>
      <c r="D1976" s="21" t="n">
        <v>0</v>
      </c>
      <c r="E1976" s="21" t="n">
        <v>0</v>
      </c>
      <c r="F1976" s="21" t="n">
        <v>0</v>
      </c>
      <c r="G1976" s="30" t="s">
        <v>3432</v>
      </c>
    </row>
    <row r="1977" customFormat="false" ht="15" hidden="false" customHeight="false" outlineLevel="0" collapsed="false">
      <c r="A1977" s="28" t="n">
        <v>42401</v>
      </c>
      <c r="B1977" s="28" t="n">
        <v>42407</v>
      </c>
      <c r="C1977" s="21" t="n">
        <v>0</v>
      </c>
      <c r="D1977" s="21" t="n">
        <v>0</v>
      </c>
      <c r="E1977" s="21" t="n">
        <v>0</v>
      </c>
      <c r="F1977" s="21" t="n">
        <v>0</v>
      </c>
      <c r="G1977" s="30" t="s">
        <v>3432</v>
      </c>
    </row>
    <row r="1978" customFormat="false" ht="15" hidden="false" customHeight="false" outlineLevel="0" collapsed="false">
      <c r="A1978" s="28" t="n">
        <v>42408</v>
      </c>
      <c r="B1978" s="28" t="n">
        <v>42414</v>
      </c>
      <c r="C1978" s="21" t="n">
        <v>0</v>
      </c>
      <c r="D1978" s="21" t="n">
        <v>0</v>
      </c>
      <c r="E1978" s="21" t="n">
        <v>0</v>
      </c>
      <c r="F1978" s="21" t="n">
        <v>0</v>
      </c>
      <c r="G1978" s="30" t="s">
        <v>3432</v>
      </c>
    </row>
    <row r="1979" customFormat="false" ht="15" hidden="false" customHeight="false" outlineLevel="0" collapsed="false">
      <c r="A1979" s="28" t="n">
        <v>42415</v>
      </c>
      <c r="B1979" s="28" t="n">
        <v>42421</v>
      </c>
      <c r="C1979" s="21" t="n">
        <v>0</v>
      </c>
      <c r="D1979" s="21" t="n">
        <v>0</v>
      </c>
      <c r="E1979" s="21" t="n">
        <v>0</v>
      </c>
      <c r="F1979" s="21" t="n">
        <v>0</v>
      </c>
      <c r="G1979" s="30" t="s">
        <v>3432</v>
      </c>
    </row>
    <row r="1980" customFormat="false" ht="15" hidden="false" customHeight="false" outlineLevel="0" collapsed="false">
      <c r="A1980" s="28" t="n">
        <v>42422</v>
      </c>
      <c r="B1980" s="28" t="n">
        <v>42428</v>
      </c>
      <c r="C1980" s="21" t="n">
        <v>0</v>
      </c>
      <c r="D1980" s="21" t="n">
        <v>0</v>
      </c>
      <c r="E1980" s="21" t="n">
        <v>0</v>
      </c>
      <c r="F1980" s="21" t="n">
        <v>0</v>
      </c>
      <c r="G1980" s="30" t="s">
        <v>3432</v>
      </c>
    </row>
    <row r="1981" customFormat="false" ht="15" hidden="false" customHeight="false" outlineLevel="0" collapsed="false">
      <c r="A1981" s="28" t="n">
        <v>42429</v>
      </c>
      <c r="B1981" s="28" t="n">
        <v>42435</v>
      </c>
      <c r="C1981" s="21" t="n">
        <v>0</v>
      </c>
      <c r="D1981" s="21" t="n">
        <v>0</v>
      </c>
      <c r="E1981" s="21" t="n">
        <v>0</v>
      </c>
      <c r="F1981" s="21" t="n">
        <v>0</v>
      </c>
      <c r="G1981" s="30" t="s">
        <v>3432</v>
      </c>
    </row>
    <row r="1982" customFormat="false" ht="15" hidden="false" customHeight="false" outlineLevel="0" collapsed="false">
      <c r="A1982" s="28" t="n">
        <v>42436</v>
      </c>
      <c r="B1982" s="28" t="n">
        <v>42442</v>
      </c>
      <c r="C1982" s="21" t="n">
        <v>0</v>
      </c>
      <c r="D1982" s="21" t="n">
        <v>0</v>
      </c>
      <c r="E1982" s="21" t="n">
        <v>0</v>
      </c>
      <c r="F1982" s="21" t="n">
        <v>0</v>
      </c>
      <c r="G1982" s="30" t="s">
        <v>3432</v>
      </c>
    </row>
    <row r="1983" customFormat="false" ht="15" hidden="false" customHeight="false" outlineLevel="0" collapsed="false">
      <c r="A1983" s="28" t="n">
        <v>42443</v>
      </c>
      <c r="B1983" s="28" t="n">
        <v>42449</v>
      </c>
      <c r="C1983" s="21" t="n">
        <v>0</v>
      </c>
      <c r="D1983" s="21" t="n">
        <v>0</v>
      </c>
      <c r="E1983" s="21" t="n">
        <v>0</v>
      </c>
      <c r="F1983" s="21" t="n">
        <v>0</v>
      </c>
      <c r="G1983" s="30" t="s">
        <v>3432</v>
      </c>
    </row>
    <row r="1984" customFormat="false" ht="15" hidden="false" customHeight="false" outlineLevel="0" collapsed="false">
      <c r="A1984" s="28" t="n">
        <v>42450</v>
      </c>
      <c r="B1984" s="28" t="n">
        <v>42456</v>
      </c>
      <c r="C1984" s="21" t="n">
        <v>0</v>
      </c>
      <c r="D1984" s="21" t="n">
        <v>0</v>
      </c>
      <c r="E1984" s="21" t="n">
        <v>0</v>
      </c>
      <c r="F1984" s="21" t="n">
        <v>0</v>
      </c>
      <c r="G1984" s="30" t="s">
        <v>3432</v>
      </c>
    </row>
    <row r="1985" customFormat="false" ht="15" hidden="false" customHeight="false" outlineLevel="0" collapsed="false">
      <c r="A1985" s="28" t="n">
        <v>42457</v>
      </c>
      <c r="B1985" s="28" t="n">
        <v>42463</v>
      </c>
      <c r="C1985" s="21" t="n">
        <v>0</v>
      </c>
      <c r="D1985" s="21" t="n">
        <v>0</v>
      </c>
      <c r="E1985" s="21" t="n">
        <v>0</v>
      </c>
      <c r="F1985" s="21" t="n">
        <v>0</v>
      </c>
      <c r="G1985" s="30" t="s">
        <v>3432</v>
      </c>
    </row>
    <row r="1986" customFormat="false" ht="15" hidden="false" customHeight="false" outlineLevel="0" collapsed="false">
      <c r="A1986" s="28" t="n">
        <v>42464</v>
      </c>
      <c r="B1986" s="28" t="n">
        <v>42470</v>
      </c>
      <c r="C1986" s="21" t="n">
        <v>0</v>
      </c>
      <c r="D1986" s="21" t="n">
        <v>0</v>
      </c>
      <c r="E1986" s="21" t="n">
        <v>0</v>
      </c>
      <c r="F1986" s="21" t="n">
        <v>0</v>
      </c>
      <c r="G1986" s="30" t="s">
        <v>3432</v>
      </c>
    </row>
    <row r="1987" customFormat="false" ht="15" hidden="false" customHeight="false" outlineLevel="0" collapsed="false">
      <c r="A1987" s="28" t="n">
        <v>42471</v>
      </c>
      <c r="B1987" s="28" t="n">
        <v>42477</v>
      </c>
      <c r="C1987" s="21" t="n">
        <v>0</v>
      </c>
      <c r="D1987" s="21" t="n">
        <v>0</v>
      </c>
      <c r="E1987" s="21" t="n">
        <v>0</v>
      </c>
      <c r="F1987" s="21" t="n">
        <v>0</v>
      </c>
      <c r="G1987" s="30" t="s">
        <v>3432</v>
      </c>
    </row>
    <row r="1988" customFormat="false" ht="15" hidden="false" customHeight="false" outlineLevel="0" collapsed="false">
      <c r="A1988" s="28" t="n">
        <v>42478</v>
      </c>
      <c r="B1988" s="28" t="n">
        <v>42484</v>
      </c>
      <c r="C1988" s="21" t="n">
        <v>0</v>
      </c>
      <c r="D1988" s="21" t="n">
        <v>0</v>
      </c>
      <c r="E1988" s="21" t="n">
        <v>0</v>
      </c>
      <c r="F1988" s="21" t="n">
        <v>0</v>
      </c>
      <c r="G1988" s="30" t="s">
        <v>3432</v>
      </c>
    </row>
    <row r="1989" customFormat="false" ht="15" hidden="false" customHeight="false" outlineLevel="0" collapsed="false">
      <c r="A1989" s="28" t="n">
        <v>42485</v>
      </c>
      <c r="B1989" s="28" t="n">
        <v>42491</v>
      </c>
      <c r="C1989" s="21" t="n">
        <v>0</v>
      </c>
      <c r="D1989" s="21" t="n">
        <v>0</v>
      </c>
      <c r="E1989" s="21" t="n">
        <v>0</v>
      </c>
      <c r="F1989" s="21" t="n">
        <v>0</v>
      </c>
      <c r="G1989" s="30" t="s">
        <v>3432</v>
      </c>
    </row>
    <row r="1990" customFormat="false" ht="15" hidden="false" customHeight="false" outlineLevel="0" collapsed="false">
      <c r="A1990" s="28" t="n">
        <v>42492</v>
      </c>
      <c r="B1990" s="28" t="n">
        <v>42498</v>
      </c>
      <c r="C1990" s="21" t="n">
        <v>0</v>
      </c>
      <c r="D1990" s="21" t="n">
        <v>0</v>
      </c>
      <c r="E1990" s="21" t="n">
        <v>0</v>
      </c>
      <c r="F1990" s="21" t="n">
        <v>0</v>
      </c>
      <c r="G1990" s="30" t="s">
        <v>3432</v>
      </c>
    </row>
    <row r="1991" customFormat="false" ht="15" hidden="false" customHeight="false" outlineLevel="0" collapsed="false">
      <c r="A1991" s="28" t="n">
        <v>42499</v>
      </c>
      <c r="B1991" s="28" t="n">
        <v>42505</v>
      </c>
      <c r="C1991" s="21" t="n">
        <v>0</v>
      </c>
      <c r="D1991" s="21" t="n">
        <v>0</v>
      </c>
      <c r="E1991" s="21" t="n">
        <v>0</v>
      </c>
      <c r="F1991" s="21" t="n">
        <v>0</v>
      </c>
      <c r="G1991" s="30" t="s">
        <v>3432</v>
      </c>
    </row>
    <row r="1992" customFormat="false" ht="15" hidden="false" customHeight="false" outlineLevel="0" collapsed="false">
      <c r="A1992" s="28" t="n">
        <v>42506</v>
      </c>
      <c r="B1992" s="28" t="n">
        <v>42512</v>
      </c>
      <c r="C1992" s="21" t="n">
        <v>0</v>
      </c>
      <c r="D1992" s="21" t="n">
        <v>0</v>
      </c>
      <c r="E1992" s="21" t="n">
        <v>0</v>
      </c>
      <c r="F1992" s="21" t="n">
        <v>0</v>
      </c>
      <c r="G1992" s="30" t="s">
        <v>3432</v>
      </c>
    </row>
    <row r="1993" customFormat="false" ht="15" hidden="false" customHeight="false" outlineLevel="0" collapsed="false">
      <c r="A1993" s="28" t="n">
        <v>42513</v>
      </c>
      <c r="B1993" s="28" t="n">
        <v>42519</v>
      </c>
      <c r="C1993" s="21" t="n">
        <v>0</v>
      </c>
      <c r="D1993" s="21" t="n">
        <v>0</v>
      </c>
      <c r="E1993" s="21" t="n">
        <v>0</v>
      </c>
      <c r="F1993" s="21" t="n">
        <v>0</v>
      </c>
      <c r="G1993" s="30" t="s">
        <v>3432</v>
      </c>
    </row>
    <row r="1994" customFormat="false" ht="15" hidden="false" customHeight="false" outlineLevel="0" collapsed="false">
      <c r="A1994" s="28" t="n">
        <v>42520</v>
      </c>
      <c r="B1994" s="28" t="n">
        <v>42526</v>
      </c>
      <c r="C1994" s="21" t="n">
        <v>0</v>
      </c>
      <c r="D1994" s="21" t="n">
        <v>0</v>
      </c>
      <c r="E1994" s="21" t="n">
        <v>0</v>
      </c>
      <c r="F1994" s="21" t="n">
        <v>0</v>
      </c>
      <c r="G1994" s="30" t="s">
        <v>3432</v>
      </c>
    </row>
    <row r="1995" customFormat="false" ht="15" hidden="false" customHeight="false" outlineLevel="0" collapsed="false">
      <c r="A1995" s="28" t="n">
        <v>42527</v>
      </c>
      <c r="B1995" s="28" t="n">
        <v>42533</v>
      </c>
      <c r="C1995" s="21" t="n">
        <v>0</v>
      </c>
      <c r="D1995" s="21" t="n">
        <v>0</v>
      </c>
      <c r="E1995" s="21" t="n">
        <v>0</v>
      </c>
      <c r="F1995" s="21" t="n">
        <v>0</v>
      </c>
      <c r="G1995" s="30" t="s">
        <v>3432</v>
      </c>
    </row>
    <row r="1996" customFormat="false" ht="15" hidden="false" customHeight="false" outlineLevel="0" collapsed="false">
      <c r="A1996" s="28" t="n">
        <v>42534</v>
      </c>
      <c r="B1996" s="28" t="n">
        <v>42540</v>
      </c>
      <c r="C1996" s="21" t="n">
        <v>0</v>
      </c>
      <c r="D1996" s="21" t="n">
        <v>0</v>
      </c>
      <c r="E1996" s="21" t="n">
        <v>0</v>
      </c>
      <c r="F1996" s="21" t="n">
        <v>0</v>
      </c>
      <c r="G1996" s="30" t="s">
        <v>3432</v>
      </c>
    </row>
    <row r="1997" customFormat="false" ht="15" hidden="false" customHeight="false" outlineLevel="0" collapsed="false">
      <c r="A1997" s="28" t="n">
        <v>42541</v>
      </c>
      <c r="B1997" s="28" t="n">
        <v>42547</v>
      </c>
      <c r="C1997" s="21" t="n">
        <v>0</v>
      </c>
      <c r="D1997" s="21" t="n">
        <v>0</v>
      </c>
      <c r="E1997" s="21" t="n">
        <v>0</v>
      </c>
      <c r="F1997" s="21" t="n">
        <v>0</v>
      </c>
      <c r="G1997" s="30" t="s">
        <v>3432</v>
      </c>
    </row>
    <row r="1998" customFormat="false" ht="15" hidden="false" customHeight="false" outlineLevel="0" collapsed="false">
      <c r="A1998" s="28" t="n">
        <v>42548</v>
      </c>
      <c r="B1998" s="28" t="n">
        <v>42554</v>
      </c>
      <c r="C1998" s="21" t="n">
        <v>0</v>
      </c>
      <c r="D1998" s="21" t="n">
        <v>0</v>
      </c>
      <c r="E1998" s="21" t="n">
        <v>0</v>
      </c>
      <c r="F1998" s="21" t="n">
        <v>0</v>
      </c>
      <c r="G1998" s="30" t="s">
        <v>3432</v>
      </c>
    </row>
    <row r="1999" customFormat="false" ht="15" hidden="false" customHeight="false" outlineLevel="0" collapsed="false">
      <c r="A1999" s="28" t="n">
        <v>42555</v>
      </c>
      <c r="B1999" s="28" t="n">
        <v>42561</v>
      </c>
      <c r="C1999" s="21" t="n">
        <v>0</v>
      </c>
      <c r="D1999" s="21" t="n">
        <v>0</v>
      </c>
      <c r="E1999" s="21" t="n">
        <v>0</v>
      </c>
      <c r="F1999" s="21" t="n">
        <v>0</v>
      </c>
      <c r="G1999" s="30" t="s">
        <v>3432</v>
      </c>
    </row>
    <row r="2000" customFormat="false" ht="15" hidden="false" customHeight="false" outlineLevel="0" collapsed="false">
      <c r="A2000" s="28" t="n">
        <v>42562</v>
      </c>
      <c r="B2000" s="28" t="n">
        <v>42568</v>
      </c>
      <c r="C2000" s="21" t="n">
        <v>0</v>
      </c>
      <c r="D2000" s="21" t="n">
        <v>0</v>
      </c>
      <c r="E2000" s="21" t="n">
        <v>0</v>
      </c>
      <c r="F2000" s="21" t="n">
        <v>0</v>
      </c>
      <c r="G2000" s="30" t="s">
        <v>3432</v>
      </c>
    </row>
    <row r="2001" customFormat="false" ht="15" hidden="false" customHeight="false" outlineLevel="0" collapsed="false">
      <c r="A2001" s="28" t="n">
        <v>42569</v>
      </c>
      <c r="B2001" s="28" t="n">
        <v>42575</v>
      </c>
      <c r="C2001" s="21" t="n">
        <v>0</v>
      </c>
      <c r="D2001" s="21" t="n">
        <v>0</v>
      </c>
      <c r="E2001" s="21" t="n">
        <v>0</v>
      </c>
      <c r="F2001" s="21" t="n">
        <v>0</v>
      </c>
      <c r="G2001" s="30" t="s">
        <v>3432</v>
      </c>
    </row>
    <row r="2002" customFormat="false" ht="15" hidden="false" customHeight="false" outlineLevel="0" collapsed="false">
      <c r="A2002" s="28" t="n">
        <v>42576</v>
      </c>
      <c r="B2002" s="28" t="n">
        <v>42582</v>
      </c>
      <c r="C2002" s="21" t="n">
        <v>0</v>
      </c>
      <c r="D2002" s="21" t="n">
        <v>0</v>
      </c>
      <c r="E2002" s="21" t="n">
        <v>0</v>
      </c>
      <c r="F2002" s="21" t="n">
        <v>0</v>
      </c>
      <c r="G2002" s="30" t="s">
        <v>3432</v>
      </c>
    </row>
    <row r="2003" customFormat="false" ht="15" hidden="false" customHeight="false" outlineLevel="0" collapsed="false">
      <c r="A2003" s="28" t="n">
        <v>42583</v>
      </c>
      <c r="B2003" s="28" t="n">
        <v>42589</v>
      </c>
      <c r="C2003" s="21" t="n">
        <v>0</v>
      </c>
      <c r="D2003" s="21" t="n">
        <v>0</v>
      </c>
      <c r="E2003" s="21" t="n">
        <v>0</v>
      </c>
      <c r="F2003" s="21" t="n">
        <v>0</v>
      </c>
      <c r="G2003" s="30" t="s">
        <v>3432</v>
      </c>
    </row>
    <row r="2004" customFormat="false" ht="15" hidden="false" customHeight="false" outlineLevel="0" collapsed="false">
      <c r="A2004" s="28" t="n">
        <v>42590</v>
      </c>
      <c r="B2004" s="28" t="n">
        <v>42596</v>
      </c>
      <c r="C2004" s="21" t="n">
        <v>0</v>
      </c>
      <c r="D2004" s="21" t="n">
        <v>0</v>
      </c>
      <c r="E2004" s="21" t="n">
        <v>0</v>
      </c>
      <c r="F2004" s="21" t="n">
        <v>0</v>
      </c>
      <c r="G2004" s="30" t="s">
        <v>3432</v>
      </c>
    </row>
    <row r="2005" customFormat="false" ht="15" hidden="false" customHeight="false" outlineLevel="0" collapsed="false">
      <c r="A2005" s="28" t="n">
        <v>42597</v>
      </c>
      <c r="B2005" s="28" t="n">
        <v>42603</v>
      </c>
      <c r="C2005" s="21" t="n">
        <v>0</v>
      </c>
      <c r="D2005" s="21" t="n">
        <v>0</v>
      </c>
      <c r="E2005" s="21" t="n">
        <v>0</v>
      </c>
      <c r="F2005" s="21" t="n">
        <v>0</v>
      </c>
      <c r="G2005" s="30" t="s">
        <v>3432</v>
      </c>
    </row>
    <row r="2006" customFormat="false" ht="15" hidden="false" customHeight="false" outlineLevel="0" collapsed="false">
      <c r="A2006" s="28" t="n">
        <v>42604</v>
      </c>
      <c r="B2006" s="28" t="n">
        <v>42610</v>
      </c>
      <c r="C2006" s="21" t="n">
        <v>0</v>
      </c>
      <c r="D2006" s="21" t="n">
        <v>0</v>
      </c>
      <c r="E2006" s="21" t="n">
        <v>0</v>
      </c>
      <c r="F2006" s="21" t="n">
        <v>0</v>
      </c>
      <c r="G2006" s="30" t="s">
        <v>3432</v>
      </c>
    </row>
    <row r="2007" customFormat="false" ht="15" hidden="false" customHeight="false" outlineLevel="0" collapsed="false">
      <c r="A2007" s="28" t="n">
        <v>42611</v>
      </c>
      <c r="B2007" s="28" t="n">
        <v>42617</v>
      </c>
      <c r="C2007" s="21" t="n">
        <v>0</v>
      </c>
      <c r="D2007" s="21" t="n">
        <v>0</v>
      </c>
      <c r="E2007" s="21" t="n">
        <v>0</v>
      </c>
      <c r="F2007" s="21" t="n">
        <v>0</v>
      </c>
      <c r="G2007" s="30" t="s">
        <v>3432</v>
      </c>
    </row>
    <row r="2008" customFormat="false" ht="15" hidden="false" customHeight="false" outlineLevel="0" collapsed="false">
      <c r="A2008" s="28" t="n">
        <v>42618</v>
      </c>
      <c r="B2008" s="28" t="n">
        <v>42624</v>
      </c>
      <c r="C2008" s="21" t="n">
        <v>0</v>
      </c>
      <c r="D2008" s="21" t="n">
        <v>0</v>
      </c>
      <c r="E2008" s="21" t="n">
        <v>0</v>
      </c>
      <c r="F2008" s="21" t="n">
        <v>0</v>
      </c>
      <c r="G2008" s="30" t="s">
        <v>3432</v>
      </c>
    </row>
    <row r="2009" customFormat="false" ht="15" hidden="false" customHeight="false" outlineLevel="0" collapsed="false">
      <c r="A2009" s="28" t="n">
        <v>42625</v>
      </c>
      <c r="B2009" s="28" t="n">
        <v>42631</v>
      </c>
      <c r="C2009" s="21" t="n">
        <v>0</v>
      </c>
      <c r="D2009" s="21" t="n">
        <v>0</v>
      </c>
      <c r="E2009" s="21" t="n">
        <v>0</v>
      </c>
      <c r="F2009" s="21" t="n">
        <v>0</v>
      </c>
      <c r="G2009" s="30" t="s">
        <v>3432</v>
      </c>
    </row>
    <row r="2010" customFormat="false" ht="15" hidden="false" customHeight="false" outlineLevel="0" collapsed="false">
      <c r="A2010" s="28" t="n">
        <v>42632</v>
      </c>
      <c r="B2010" s="28" t="n">
        <v>42638</v>
      </c>
      <c r="C2010" s="21" t="n">
        <v>0</v>
      </c>
      <c r="D2010" s="21" t="n">
        <v>0</v>
      </c>
      <c r="E2010" s="21" t="n">
        <v>0</v>
      </c>
      <c r="F2010" s="21" t="n">
        <v>0</v>
      </c>
      <c r="G2010" s="30" t="s">
        <v>3432</v>
      </c>
    </row>
    <row r="2011" customFormat="false" ht="15" hidden="false" customHeight="false" outlineLevel="0" collapsed="false">
      <c r="A2011" s="28" t="n">
        <v>42639</v>
      </c>
      <c r="B2011" s="28" t="n">
        <v>42645</v>
      </c>
      <c r="C2011" s="21" t="n">
        <v>0</v>
      </c>
      <c r="D2011" s="21" t="n">
        <v>0</v>
      </c>
      <c r="E2011" s="21" t="n">
        <v>0</v>
      </c>
      <c r="F2011" s="21" t="n">
        <v>0</v>
      </c>
      <c r="G2011" s="30" t="s">
        <v>3432</v>
      </c>
    </row>
    <row r="2012" customFormat="false" ht="15" hidden="false" customHeight="false" outlineLevel="0" collapsed="false">
      <c r="A2012" s="28" t="n">
        <v>42646</v>
      </c>
      <c r="B2012" s="28" t="n">
        <v>42652</v>
      </c>
      <c r="C2012" s="21" t="n">
        <v>0</v>
      </c>
      <c r="D2012" s="21" t="n">
        <v>0</v>
      </c>
      <c r="E2012" s="21" t="n">
        <v>0</v>
      </c>
      <c r="F2012" s="21" t="n">
        <v>0</v>
      </c>
      <c r="G2012" s="30" t="s">
        <v>3432</v>
      </c>
    </row>
    <row r="2013" customFormat="false" ht="15" hidden="false" customHeight="false" outlineLevel="0" collapsed="false">
      <c r="A2013" s="28" t="n">
        <v>42653</v>
      </c>
      <c r="B2013" s="28" t="n">
        <v>42659</v>
      </c>
      <c r="C2013" s="21" t="n">
        <v>0</v>
      </c>
      <c r="D2013" s="21" t="n">
        <v>0</v>
      </c>
      <c r="E2013" s="21" t="n">
        <v>0</v>
      </c>
      <c r="F2013" s="21" t="n">
        <v>0</v>
      </c>
      <c r="G2013" s="30" t="s">
        <v>3432</v>
      </c>
    </row>
    <row r="2014" customFormat="false" ht="15" hidden="false" customHeight="false" outlineLevel="0" collapsed="false">
      <c r="A2014" s="28" t="n">
        <v>42660</v>
      </c>
      <c r="B2014" s="28" t="n">
        <v>42666</v>
      </c>
      <c r="C2014" s="21" t="n">
        <v>0</v>
      </c>
      <c r="D2014" s="21" t="n">
        <v>0</v>
      </c>
      <c r="E2014" s="21" t="n">
        <v>0</v>
      </c>
      <c r="F2014" s="21" t="n">
        <v>0</v>
      </c>
      <c r="G2014" s="30" t="s">
        <v>3432</v>
      </c>
    </row>
    <row r="2015" customFormat="false" ht="15" hidden="false" customHeight="false" outlineLevel="0" collapsed="false">
      <c r="A2015" s="28" t="n">
        <v>42667</v>
      </c>
      <c r="B2015" s="28" t="n">
        <v>42673</v>
      </c>
      <c r="C2015" s="21" t="n">
        <v>0</v>
      </c>
      <c r="D2015" s="21" t="n">
        <v>0</v>
      </c>
      <c r="E2015" s="21" t="n">
        <v>0</v>
      </c>
      <c r="F2015" s="21" t="n">
        <v>0</v>
      </c>
      <c r="G2015" s="30" t="s">
        <v>3432</v>
      </c>
    </row>
    <row r="2016" customFormat="false" ht="15" hidden="false" customHeight="false" outlineLevel="0" collapsed="false">
      <c r="A2016" s="28" t="n">
        <v>42674</v>
      </c>
      <c r="B2016" s="28" t="n">
        <v>42680</v>
      </c>
      <c r="C2016" s="21" t="n">
        <v>0</v>
      </c>
      <c r="D2016" s="21" t="n">
        <v>0</v>
      </c>
      <c r="E2016" s="21" t="n">
        <v>0</v>
      </c>
      <c r="F2016" s="21" t="n">
        <v>0</v>
      </c>
      <c r="G2016" s="30" t="s">
        <v>3432</v>
      </c>
    </row>
    <row r="2017" customFormat="false" ht="15" hidden="false" customHeight="false" outlineLevel="0" collapsed="false">
      <c r="A2017" s="28" t="n">
        <v>42681</v>
      </c>
      <c r="B2017" s="28" t="n">
        <v>42687</v>
      </c>
      <c r="C2017" s="21" t="n">
        <v>0</v>
      </c>
      <c r="D2017" s="21" t="n">
        <v>0</v>
      </c>
      <c r="E2017" s="21" t="n">
        <v>0</v>
      </c>
      <c r="F2017" s="21" t="n">
        <v>0</v>
      </c>
      <c r="G2017" s="30" t="s">
        <v>3432</v>
      </c>
    </row>
    <row r="2018" customFormat="false" ht="15" hidden="false" customHeight="false" outlineLevel="0" collapsed="false">
      <c r="A2018" s="28" t="n">
        <v>42688</v>
      </c>
      <c r="B2018" s="28" t="n">
        <v>42694</v>
      </c>
      <c r="C2018" s="21" t="n">
        <v>0</v>
      </c>
      <c r="D2018" s="21" t="n">
        <v>0</v>
      </c>
      <c r="E2018" s="21" t="n">
        <v>0</v>
      </c>
      <c r="F2018" s="21" t="n">
        <v>0</v>
      </c>
      <c r="G2018" s="30" t="s">
        <v>3432</v>
      </c>
    </row>
    <row r="2019" customFormat="false" ht="15" hidden="false" customHeight="false" outlineLevel="0" collapsed="false">
      <c r="A2019" s="28" t="n">
        <v>42695</v>
      </c>
      <c r="B2019" s="28" t="n">
        <v>42701</v>
      </c>
      <c r="C2019" s="21" t="n">
        <v>0</v>
      </c>
      <c r="D2019" s="21" t="n">
        <v>0</v>
      </c>
      <c r="E2019" s="21" t="n">
        <v>0</v>
      </c>
      <c r="F2019" s="21" t="n">
        <v>0</v>
      </c>
      <c r="G2019" s="30" t="s">
        <v>3432</v>
      </c>
    </row>
    <row r="2020" customFormat="false" ht="15" hidden="false" customHeight="false" outlineLevel="0" collapsed="false">
      <c r="A2020" s="28" t="n">
        <v>42702</v>
      </c>
      <c r="B2020" s="28" t="n">
        <v>42708</v>
      </c>
      <c r="C2020" s="21" t="n">
        <v>0</v>
      </c>
      <c r="D2020" s="21" t="n">
        <v>0</v>
      </c>
      <c r="E2020" s="21" t="n">
        <v>0</v>
      </c>
      <c r="F2020" s="21" t="n">
        <v>0</v>
      </c>
      <c r="G2020" s="30" t="s">
        <v>3432</v>
      </c>
    </row>
    <row r="2021" customFormat="false" ht="15" hidden="false" customHeight="false" outlineLevel="0" collapsed="false">
      <c r="A2021" s="28" t="n">
        <v>42709</v>
      </c>
      <c r="B2021" s="28" t="n">
        <v>42715</v>
      </c>
      <c r="C2021" s="21" t="n">
        <v>0</v>
      </c>
      <c r="D2021" s="21" t="n">
        <v>0</v>
      </c>
      <c r="E2021" s="21" t="n">
        <v>0</v>
      </c>
      <c r="F2021" s="21" t="n">
        <v>0</v>
      </c>
      <c r="G2021" s="30" t="s">
        <v>3432</v>
      </c>
    </row>
    <row r="2022" customFormat="false" ht="15" hidden="false" customHeight="false" outlineLevel="0" collapsed="false">
      <c r="A2022" s="28" t="n">
        <v>42716</v>
      </c>
      <c r="B2022" s="28" t="n">
        <v>42722</v>
      </c>
      <c r="C2022" s="21" t="n">
        <v>0</v>
      </c>
      <c r="D2022" s="21" t="n">
        <v>0</v>
      </c>
      <c r="E2022" s="21" t="n">
        <v>0</v>
      </c>
      <c r="F2022" s="21" t="n">
        <v>0</v>
      </c>
      <c r="G2022" s="30" t="s">
        <v>3432</v>
      </c>
    </row>
    <row r="2023" customFormat="false" ht="15" hidden="false" customHeight="false" outlineLevel="0" collapsed="false">
      <c r="A2023" s="28" t="n">
        <v>42723</v>
      </c>
      <c r="B2023" s="28" t="n">
        <v>42729</v>
      </c>
      <c r="C2023" s="21" t="n">
        <v>0</v>
      </c>
      <c r="D2023" s="21" t="n">
        <v>0</v>
      </c>
      <c r="E2023" s="21" t="n">
        <v>0</v>
      </c>
      <c r="F2023" s="21" t="n">
        <v>0</v>
      </c>
      <c r="G2023" s="30" t="s">
        <v>3432</v>
      </c>
    </row>
    <row r="2024" customFormat="false" ht="15" hidden="false" customHeight="false" outlineLevel="0" collapsed="false">
      <c r="A2024" s="28" t="n">
        <v>42730</v>
      </c>
      <c r="B2024" s="28" t="n">
        <v>42736</v>
      </c>
      <c r="C2024" s="21" t="n">
        <v>0</v>
      </c>
      <c r="D2024" s="21" t="n">
        <v>0</v>
      </c>
      <c r="E2024" s="21" t="n">
        <v>0</v>
      </c>
      <c r="F2024" s="21" t="n">
        <v>0</v>
      </c>
      <c r="G2024" s="30" t="s">
        <v>3432</v>
      </c>
    </row>
    <row r="2025" customFormat="false" ht="15" hidden="false" customHeight="false" outlineLevel="0" collapsed="false">
      <c r="A2025" s="28" t="n">
        <v>42737</v>
      </c>
      <c r="B2025" s="28" t="n">
        <v>42743</v>
      </c>
      <c r="C2025" s="21" t="n">
        <v>0</v>
      </c>
      <c r="D2025" s="21" t="n">
        <v>0</v>
      </c>
      <c r="E2025" s="21" t="n">
        <v>0</v>
      </c>
      <c r="F2025" s="21" t="n">
        <v>0</v>
      </c>
      <c r="G2025" s="30" t="s">
        <v>3432</v>
      </c>
    </row>
    <row r="2026" customFormat="false" ht="15" hidden="false" customHeight="false" outlineLevel="0" collapsed="false">
      <c r="A2026" s="28" t="n">
        <v>42744</v>
      </c>
      <c r="B2026" s="28" t="n">
        <v>42750</v>
      </c>
      <c r="C2026" s="21" t="n">
        <v>0</v>
      </c>
      <c r="D2026" s="21" t="n">
        <v>0</v>
      </c>
      <c r="E2026" s="21" t="n">
        <v>0</v>
      </c>
      <c r="F2026" s="21" t="n">
        <v>0</v>
      </c>
      <c r="G2026" s="30" t="s">
        <v>3432</v>
      </c>
    </row>
    <row r="2027" customFormat="false" ht="15" hidden="false" customHeight="false" outlineLevel="0" collapsed="false">
      <c r="A2027" s="28" t="n">
        <v>42751</v>
      </c>
      <c r="B2027" s="28" t="n">
        <v>42757</v>
      </c>
      <c r="C2027" s="21" t="n">
        <v>0</v>
      </c>
      <c r="D2027" s="21" t="n">
        <v>0</v>
      </c>
      <c r="E2027" s="21" t="n">
        <v>0</v>
      </c>
      <c r="F2027" s="21" t="n">
        <v>0</v>
      </c>
      <c r="G2027" s="30" t="s">
        <v>3432</v>
      </c>
    </row>
    <row r="2028" customFormat="false" ht="15" hidden="false" customHeight="false" outlineLevel="0" collapsed="false">
      <c r="A2028" s="28" t="n">
        <v>42758</v>
      </c>
      <c r="B2028" s="28" t="n">
        <v>42764</v>
      </c>
      <c r="C2028" s="21" t="n">
        <v>0</v>
      </c>
      <c r="D2028" s="21" t="n">
        <v>0</v>
      </c>
      <c r="E2028" s="21" t="n">
        <v>0</v>
      </c>
      <c r="F2028" s="21" t="n">
        <v>0</v>
      </c>
      <c r="G2028" s="30" t="s">
        <v>3432</v>
      </c>
    </row>
    <row r="2029" customFormat="false" ht="15" hidden="false" customHeight="false" outlineLevel="0" collapsed="false">
      <c r="A2029" s="28" t="n">
        <v>42765</v>
      </c>
      <c r="B2029" s="28" t="n">
        <v>42771</v>
      </c>
      <c r="C2029" s="21" t="n">
        <v>0</v>
      </c>
      <c r="D2029" s="21" t="n">
        <v>0</v>
      </c>
      <c r="E2029" s="21" t="n">
        <v>0</v>
      </c>
      <c r="F2029" s="21" t="n">
        <v>0</v>
      </c>
      <c r="G2029" s="30" t="s">
        <v>3432</v>
      </c>
    </row>
    <row r="2030" customFormat="false" ht="15" hidden="false" customHeight="false" outlineLevel="0" collapsed="false">
      <c r="A2030" s="28" t="n">
        <v>42772</v>
      </c>
      <c r="B2030" s="28" t="n">
        <v>42778</v>
      </c>
      <c r="C2030" s="21" t="n">
        <v>0</v>
      </c>
      <c r="D2030" s="21" t="n">
        <v>0</v>
      </c>
      <c r="E2030" s="21" t="n">
        <v>0</v>
      </c>
      <c r="F2030" s="21" t="n">
        <v>0</v>
      </c>
      <c r="G2030" s="30" t="s">
        <v>3432</v>
      </c>
    </row>
    <row r="2031" customFormat="false" ht="15" hidden="false" customHeight="false" outlineLevel="0" collapsed="false">
      <c r="A2031" s="28" t="n">
        <v>42779</v>
      </c>
      <c r="B2031" s="28" t="n">
        <v>42785</v>
      </c>
      <c r="C2031" s="21" t="n">
        <v>0</v>
      </c>
      <c r="D2031" s="21" t="n">
        <v>0</v>
      </c>
      <c r="E2031" s="21" t="n">
        <v>0</v>
      </c>
      <c r="F2031" s="21" t="n">
        <v>0</v>
      </c>
      <c r="G2031" s="30" t="s">
        <v>3432</v>
      </c>
    </row>
    <row r="2032" customFormat="false" ht="15" hidden="false" customHeight="false" outlineLevel="0" collapsed="false">
      <c r="A2032" s="28" t="n">
        <v>42786</v>
      </c>
      <c r="B2032" s="28" t="n">
        <v>42792</v>
      </c>
      <c r="C2032" s="21" t="n">
        <v>0</v>
      </c>
      <c r="D2032" s="21" t="n">
        <v>0</v>
      </c>
      <c r="E2032" s="21" t="n">
        <v>0</v>
      </c>
      <c r="F2032" s="21" t="n">
        <v>0</v>
      </c>
      <c r="G2032" s="30" t="s">
        <v>3432</v>
      </c>
    </row>
    <row r="2033" customFormat="false" ht="15" hidden="false" customHeight="false" outlineLevel="0" collapsed="false">
      <c r="A2033" s="28" t="n">
        <v>42793</v>
      </c>
      <c r="B2033" s="28" t="n">
        <v>42799</v>
      </c>
      <c r="C2033" s="21" t="n">
        <v>0</v>
      </c>
      <c r="D2033" s="21" t="n">
        <v>0</v>
      </c>
      <c r="E2033" s="21" t="n">
        <v>0</v>
      </c>
      <c r="F2033" s="21" t="n">
        <v>0</v>
      </c>
      <c r="G2033" s="30" t="s">
        <v>3432</v>
      </c>
    </row>
    <row r="2034" customFormat="false" ht="15" hidden="false" customHeight="false" outlineLevel="0" collapsed="false">
      <c r="A2034" s="28" t="n">
        <v>42800</v>
      </c>
      <c r="B2034" s="28" t="n">
        <v>42806</v>
      </c>
      <c r="C2034" s="21" t="n">
        <v>0</v>
      </c>
      <c r="D2034" s="21" t="n">
        <v>0</v>
      </c>
      <c r="E2034" s="21" t="n">
        <v>0</v>
      </c>
      <c r="F2034" s="21" t="n">
        <v>0</v>
      </c>
      <c r="G2034" s="30" t="s">
        <v>3432</v>
      </c>
    </row>
    <row r="2035" customFormat="false" ht="15" hidden="false" customHeight="false" outlineLevel="0" collapsed="false">
      <c r="A2035" s="28" t="n">
        <v>42807</v>
      </c>
      <c r="B2035" s="28" t="n">
        <v>42813</v>
      </c>
      <c r="C2035" s="21" t="n">
        <v>0</v>
      </c>
      <c r="D2035" s="21" t="n">
        <v>0</v>
      </c>
      <c r="E2035" s="21" t="n">
        <v>0</v>
      </c>
      <c r="F2035" s="21" t="n">
        <v>0</v>
      </c>
      <c r="G2035" s="30" t="s">
        <v>3432</v>
      </c>
    </row>
    <row r="2036" customFormat="false" ht="15" hidden="false" customHeight="false" outlineLevel="0" collapsed="false">
      <c r="A2036" s="28" t="n">
        <v>42814</v>
      </c>
      <c r="B2036" s="28" t="n">
        <v>42820</v>
      </c>
      <c r="C2036" s="21" t="n">
        <v>0</v>
      </c>
      <c r="D2036" s="21" t="n">
        <v>0</v>
      </c>
      <c r="E2036" s="21" t="n">
        <v>0</v>
      </c>
      <c r="F2036" s="21" t="n">
        <v>0</v>
      </c>
      <c r="G2036" s="30" t="s">
        <v>3432</v>
      </c>
    </row>
    <row r="2037" customFormat="false" ht="15" hidden="false" customHeight="false" outlineLevel="0" collapsed="false">
      <c r="A2037" s="28" t="n">
        <v>42821</v>
      </c>
      <c r="B2037" s="28" t="n">
        <v>42827</v>
      </c>
      <c r="C2037" s="21" t="n">
        <v>0</v>
      </c>
      <c r="D2037" s="21" t="n">
        <v>0</v>
      </c>
      <c r="E2037" s="21" t="n">
        <v>0</v>
      </c>
      <c r="F2037" s="21" t="n">
        <v>0</v>
      </c>
      <c r="G2037" s="30" t="s">
        <v>3432</v>
      </c>
    </row>
    <row r="2038" customFormat="false" ht="15" hidden="false" customHeight="false" outlineLevel="0" collapsed="false">
      <c r="A2038" s="28" t="n">
        <v>42828</v>
      </c>
      <c r="B2038" s="28" t="n">
        <v>42834</v>
      </c>
      <c r="C2038" s="21" t="n">
        <v>0</v>
      </c>
      <c r="D2038" s="21" t="n">
        <v>0</v>
      </c>
      <c r="E2038" s="21" t="n">
        <v>0</v>
      </c>
      <c r="F2038" s="21" t="n">
        <v>0</v>
      </c>
      <c r="G2038" s="30" t="s">
        <v>3432</v>
      </c>
    </row>
    <row r="2039" customFormat="false" ht="15" hidden="false" customHeight="false" outlineLevel="0" collapsed="false">
      <c r="A2039" s="28" t="n">
        <v>42835</v>
      </c>
      <c r="B2039" s="28" t="n">
        <v>42841</v>
      </c>
      <c r="C2039" s="21" t="n">
        <v>0</v>
      </c>
      <c r="D2039" s="21" t="n">
        <v>0</v>
      </c>
      <c r="E2039" s="21" t="n">
        <v>0</v>
      </c>
      <c r="F2039" s="21" t="n">
        <v>0</v>
      </c>
      <c r="G2039" s="30" t="s">
        <v>3432</v>
      </c>
    </row>
    <row r="2040" customFormat="false" ht="15" hidden="false" customHeight="false" outlineLevel="0" collapsed="false">
      <c r="A2040" s="28" t="n">
        <v>42842</v>
      </c>
      <c r="B2040" s="28" t="n">
        <v>42848</v>
      </c>
      <c r="C2040" s="21" t="n">
        <v>0</v>
      </c>
      <c r="D2040" s="21" t="n">
        <v>0</v>
      </c>
      <c r="E2040" s="21" t="n">
        <v>0</v>
      </c>
      <c r="F2040" s="21" t="n">
        <v>0</v>
      </c>
      <c r="G2040" s="30" t="s">
        <v>3432</v>
      </c>
    </row>
    <row r="2041" customFormat="false" ht="15" hidden="false" customHeight="false" outlineLevel="0" collapsed="false">
      <c r="A2041" s="28" t="n">
        <v>42849</v>
      </c>
      <c r="B2041" s="28" t="n">
        <v>42855</v>
      </c>
      <c r="C2041" s="21" t="n">
        <v>0</v>
      </c>
      <c r="D2041" s="21" t="n">
        <v>0</v>
      </c>
      <c r="E2041" s="21" t="n">
        <v>0</v>
      </c>
      <c r="F2041" s="21" t="n">
        <v>0</v>
      </c>
      <c r="G2041" s="30" t="s">
        <v>3432</v>
      </c>
    </row>
    <row r="2042" customFormat="false" ht="15" hidden="false" customHeight="false" outlineLevel="0" collapsed="false">
      <c r="A2042" s="28" t="n">
        <v>42856</v>
      </c>
      <c r="B2042" s="28" t="n">
        <v>42862</v>
      </c>
      <c r="C2042" s="21" t="n">
        <v>0</v>
      </c>
      <c r="D2042" s="21" t="n">
        <v>0</v>
      </c>
      <c r="E2042" s="21" t="n">
        <v>0</v>
      </c>
      <c r="F2042" s="21" t="n">
        <v>0</v>
      </c>
      <c r="G2042" s="30" t="s">
        <v>3432</v>
      </c>
    </row>
    <row r="2043" customFormat="false" ht="15" hidden="false" customHeight="false" outlineLevel="0" collapsed="false">
      <c r="A2043" s="28" t="n">
        <v>42863</v>
      </c>
      <c r="B2043" s="28" t="n">
        <v>42869</v>
      </c>
      <c r="C2043" s="21" t="n">
        <v>0</v>
      </c>
      <c r="D2043" s="21" t="n">
        <v>0</v>
      </c>
      <c r="E2043" s="21" t="n">
        <v>0</v>
      </c>
      <c r="F2043" s="21" t="n">
        <v>0</v>
      </c>
      <c r="G2043" s="30" t="s">
        <v>3432</v>
      </c>
    </row>
    <row r="2044" customFormat="false" ht="15" hidden="false" customHeight="false" outlineLevel="0" collapsed="false">
      <c r="A2044" s="28" t="n">
        <v>42870</v>
      </c>
      <c r="B2044" s="28" t="n">
        <v>42876</v>
      </c>
      <c r="C2044" s="21" t="n">
        <v>0</v>
      </c>
      <c r="D2044" s="21" t="n">
        <v>0</v>
      </c>
      <c r="E2044" s="21" t="n">
        <v>0</v>
      </c>
      <c r="F2044" s="21" t="n">
        <v>0</v>
      </c>
      <c r="G2044" s="30" t="s">
        <v>3432</v>
      </c>
    </row>
    <row r="2045" customFormat="false" ht="15" hidden="false" customHeight="false" outlineLevel="0" collapsed="false">
      <c r="A2045" s="28" t="n">
        <v>42877</v>
      </c>
      <c r="B2045" s="28" t="n">
        <v>42883</v>
      </c>
      <c r="C2045" s="21" t="n">
        <v>0</v>
      </c>
      <c r="D2045" s="21" t="n">
        <v>0</v>
      </c>
      <c r="E2045" s="21" t="n">
        <v>0</v>
      </c>
      <c r="F2045" s="21" t="n">
        <v>0</v>
      </c>
      <c r="G2045" s="30" t="s">
        <v>3432</v>
      </c>
    </row>
    <row r="2046" customFormat="false" ht="15" hidden="false" customHeight="false" outlineLevel="0" collapsed="false">
      <c r="A2046" s="28" t="n">
        <v>42884</v>
      </c>
      <c r="B2046" s="28" t="n">
        <v>42890</v>
      </c>
      <c r="C2046" s="21" t="n">
        <v>0</v>
      </c>
      <c r="D2046" s="21" t="n">
        <v>0</v>
      </c>
      <c r="E2046" s="21" t="n">
        <v>0</v>
      </c>
      <c r="F2046" s="21" t="n">
        <v>0</v>
      </c>
      <c r="G2046" s="30" t="s">
        <v>3432</v>
      </c>
    </row>
    <row r="2047" customFormat="false" ht="15" hidden="false" customHeight="false" outlineLevel="0" collapsed="false">
      <c r="A2047" s="28" t="n">
        <v>42891</v>
      </c>
      <c r="B2047" s="28" t="n">
        <v>42897</v>
      </c>
      <c r="C2047" s="21" t="n">
        <v>0</v>
      </c>
      <c r="D2047" s="21" t="n">
        <v>0</v>
      </c>
      <c r="E2047" s="21" t="n">
        <v>0</v>
      </c>
      <c r="F2047" s="21" t="n">
        <v>0</v>
      </c>
      <c r="G2047" s="30" t="s">
        <v>3432</v>
      </c>
    </row>
    <row r="2048" customFormat="false" ht="15" hidden="false" customHeight="false" outlineLevel="0" collapsed="false">
      <c r="A2048" s="28" t="n">
        <v>42898</v>
      </c>
      <c r="B2048" s="28" t="n">
        <v>42904</v>
      </c>
      <c r="C2048" s="21" t="n">
        <v>0</v>
      </c>
      <c r="D2048" s="21" t="n">
        <v>0</v>
      </c>
      <c r="E2048" s="21" t="n">
        <v>0</v>
      </c>
      <c r="F2048" s="21" t="n">
        <v>0</v>
      </c>
      <c r="G2048" s="30" t="s">
        <v>3432</v>
      </c>
    </row>
    <row r="2049" customFormat="false" ht="15" hidden="false" customHeight="false" outlineLevel="0" collapsed="false">
      <c r="A2049" s="28" t="n">
        <v>42905</v>
      </c>
      <c r="B2049" s="28" t="n">
        <v>42911</v>
      </c>
      <c r="C2049" s="21" t="n">
        <v>0</v>
      </c>
      <c r="D2049" s="21" t="n">
        <v>0</v>
      </c>
      <c r="E2049" s="21" t="n">
        <v>0</v>
      </c>
      <c r="F2049" s="21" t="n">
        <v>0</v>
      </c>
      <c r="G2049" s="30" t="s">
        <v>3432</v>
      </c>
    </row>
    <row r="2050" customFormat="false" ht="15" hidden="false" customHeight="false" outlineLevel="0" collapsed="false">
      <c r="A2050" s="28" t="n">
        <v>42912</v>
      </c>
      <c r="B2050" s="28" t="n">
        <v>42918</v>
      </c>
      <c r="C2050" s="21" t="n">
        <v>0</v>
      </c>
      <c r="D2050" s="21" t="n">
        <v>0</v>
      </c>
      <c r="E2050" s="21" t="n">
        <v>0</v>
      </c>
      <c r="F2050" s="21" t="n">
        <v>0</v>
      </c>
      <c r="G2050" s="30" t="s">
        <v>3432</v>
      </c>
    </row>
    <row r="2051" customFormat="false" ht="15" hidden="false" customHeight="false" outlineLevel="0" collapsed="false">
      <c r="A2051" s="28" t="n">
        <v>42919</v>
      </c>
      <c r="B2051" s="28" t="n">
        <v>42925</v>
      </c>
      <c r="C2051" s="21" t="n">
        <v>0</v>
      </c>
      <c r="D2051" s="21" t="n">
        <v>0</v>
      </c>
      <c r="E2051" s="21" t="n">
        <v>0</v>
      </c>
      <c r="F2051" s="21" t="n">
        <v>0</v>
      </c>
      <c r="G2051" s="30" t="s">
        <v>3432</v>
      </c>
    </row>
    <row r="2052" customFormat="false" ht="15" hidden="false" customHeight="false" outlineLevel="0" collapsed="false">
      <c r="A2052" s="28" t="n">
        <v>42926</v>
      </c>
      <c r="B2052" s="28" t="n">
        <v>42932</v>
      </c>
      <c r="C2052" s="21" t="n">
        <v>0</v>
      </c>
      <c r="D2052" s="21" t="n">
        <v>0</v>
      </c>
      <c r="E2052" s="21" t="n">
        <v>0</v>
      </c>
      <c r="F2052" s="21" t="n">
        <v>0</v>
      </c>
      <c r="G2052" s="30" t="s">
        <v>3432</v>
      </c>
    </row>
    <row r="2053" customFormat="false" ht="15" hidden="false" customHeight="false" outlineLevel="0" collapsed="false">
      <c r="A2053" s="28" t="n">
        <v>42933</v>
      </c>
      <c r="B2053" s="28" t="n">
        <v>42939</v>
      </c>
      <c r="C2053" s="21" t="n">
        <v>0</v>
      </c>
      <c r="D2053" s="21" t="n">
        <v>0</v>
      </c>
      <c r="E2053" s="21" t="n">
        <v>0</v>
      </c>
      <c r="F2053" s="21" t="n">
        <v>0</v>
      </c>
      <c r="G2053" s="30" t="s">
        <v>3432</v>
      </c>
    </row>
    <row r="2054" customFormat="false" ht="15" hidden="false" customHeight="false" outlineLevel="0" collapsed="false">
      <c r="A2054" s="28" t="n">
        <v>42940</v>
      </c>
      <c r="B2054" s="28" t="n">
        <v>42946</v>
      </c>
      <c r="C2054" s="21" t="n">
        <v>0</v>
      </c>
      <c r="D2054" s="21" t="n">
        <v>0</v>
      </c>
      <c r="E2054" s="21" t="n">
        <v>0</v>
      </c>
      <c r="F2054" s="21" t="n">
        <v>0</v>
      </c>
      <c r="G2054" s="30" t="s">
        <v>3432</v>
      </c>
    </row>
    <row r="2055" customFormat="false" ht="15" hidden="false" customHeight="false" outlineLevel="0" collapsed="false">
      <c r="A2055" s="28" t="n">
        <v>42947</v>
      </c>
      <c r="B2055" s="28" t="n">
        <v>42953</v>
      </c>
      <c r="C2055" s="21" t="n">
        <v>0</v>
      </c>
      <c r="D2055" s="21" t="n">
        <v>0</v>
      </c>
      <c r="E2055" s="21" t="n">
        <v>0</v>
      </c>
      <c r="F2055" s="21" t="n">
        <v>0</v>
      </c>
      <c r="G2055" s="30" t="s">
        <v>3432</v>
      </c>
    </row>
    <row r="2056" customFormat="false" ht="15" hidden="false" customHeight="false" outlineLevel="0" collapsed="false">
      <c r="A2056" s="28" t="n">
        <v>42954</v>
      </c>
      <c r="B2056" s="28" t="n">
        <v>42960</v>
      </c>
      <c r="C2056" s="21" t="n">
        <v>0</v>
      </c>
      <c r="D2056" s="21" t="n">
        <v>0</v>
      </c>
      <c r="E2056" s="21" t="n">
        <v>0</v>
      </c>
      <c r="F2056" s="21" t="n">
        <v>0</v>
      </c>
      <c r="G2056" s="30" t="s">
        <v>3432</v>
      </c>
    </row>
    <row r="2057" customFormat="false" ht="15" hidden="false" customHeight="false" outlineLevel="0" collapsed="false">
      <c r="A2057" s="28" t="n">
        <v>42961</v>
      </c>
      <c r="B2057" s="28" t="n">
        <v>42967</v>
      </c>
      <c r="C2057" s="21" t="n">
        <v>0</v>
      </c>
      <c r="D2057" s="21" t="n">
        <v>0</v>
      </c>
      <c r="E2057" s="21" t="n">
        <v>0</v>
      </c>
      <c r="F2057" s="21" t="n">
        <v>0</v>
      </c>
      <c r="G2057" s="30" t="s">
        <v>3432</v>
      </c>
    </row>
    <row r="2058" customFormat="false" ht="15" hidden="false" customHeight="false" outlineLevel="0" collapsed="false">
      <c r="A2058" s="28" t="n">
        <v>42968</v>
      </c>
      <c r="B2058" s="28" t="n">
        <v>42974</v>
      </c>
      <c r="C2058" s="21" t="n">
        <v>0</v>
      </c>
      <c r="D2058" s="21" t="n">
        <v>0</v>
      </c>
      <c r="E2058" s="21" t="n">
        <v>0</v>
      </c>
      <c r="F2058" s="21" t="n">
        <v>0</v>
      </c>
      <c r="G2058" s="30" t="s">
        <v>3432</v>
      </c>
    </row>
    <row r="2059" customFormat="false" ht="15" hidden="false" customHeight="false" outlineLevel="0" collapsed="false">
      <c r="A2059" s="28" t="n">
        <v>42975</v>
      </c>
      <c r="B2059" s="28" t="n">
        <v>42981</v>
      </c>
      <c r="C2059" s="21" t="n">
        <v>0</v>
      </c>
      <c r="D2059" s="21" t="n">
        <v>0</v>
      </c>
      <c r="E2059" s="21" t="n">
        <v>0</v>
      </c>
      <c r="F2059" s="21" t="n">
        <v>0</v>
      </c>
      <c r="G2059" s="30" t="s">
        <v>3432</v>
      </c>
    </row>
    <row r="2060" customFormat="false" ht="15" hidden="false" customHeight="false" outlineLevel="0" collapsed="false">
      <c r="A2060" s="28" t="n">
        <v>42982</v>
      </c>
      <c r="B2060" s="28" t="n">
        <v>42988</v>
      </c>
      <c r="C2060" s="21" t="n">
        <v>0</v>
      </c>
      <c r="D2060" s="21" t="n">
        <v>0</v>
      </c>
      <c r="E2060" s="21" t="n">
        <v>0</v>
      </c>
      <c r="F2060" s="21" t="n">
        <v>0</v>
      </c>
      <c r="G2060" s="30" t="s">
        <v>3432</v>
      </c>
    </row>
    <row r="2061" customFormat="false" ht="15" hidden="false" customHeight="false" outlineLevel="0" collapsed="false">
      <c r="A2061" s="28" t="n">
        <v>42989</v>
      </c>
      <c r="B2061" s="28" t="n">
        <v>42995</v>
      </c>
      <c r="C2061" s="21" t="n">
        <v>0</v>
      </c>
      <c r="D2061" s="21" t="n">
        <v>0</v>
      </c>
      <c r="E2061" s="21" t="n">
        <v>0</v>
      </c>
      <c r="F2061" s="21" t="n">
        <v>0</v>
      </c>
      <c r="G2061" s="30" t="s">
        <v>3432</v>
      </c>
    </row>
    <row r="2062" customFormat="false" ht="15" hidden="false" customHeight="false" outlineLevel="0" collapsed="false">
      <c r="A2062" s="28" t="n">
        <v>42996</v>
      </c>
      <c r="B2062" s="28" t="n">
        <v>43002</v>
      </c>
      <c r="C2062" s="21" t="n">
        <v>0</v>
      </c>
      <c r="D2062" s="21" t="n">
        <v>0</v>
      </c>
      <c r="E2062" s="21" t="n">
        <v>0</v>
      </c>
      <c r="F2062" s="21" t="n">
        <v>0</v>
      </c>
      <c r="G2062" s="30" t="s">
        <v>3432</v>
      </c>
    </row>
    <row r="2063" customFormat="false" ht="15" hidden="false" customHeight="false" outlineLevel="0" collapsed="false">
      <c r="A2063" s="28" t="n">
        <v>43003</v>
      </c>
      <c r="B2063" s="28" t="n">
        <v>43009</v>
      </c>
      <c r="C2063" s="21" t="n">
        <v>0</v>
      </c>
      <c r="D2063" s="21" t="n">
        <v>0</v>
      </c>
      <c r="E2063" s="21" t="n">
        <v>0</v>
      </c>
      <c r="F2063" s="21" t="n">
        <v>0</v>
      </c>
      <c r="G2063" s="30" t="s">
        <v>3432</v>
      </c>
    </row>
    <row r="2064" customFormat="false" ht="15" hidden="false" customHeight="false" outlineLevel="0" collapsed="false">
      <c r="A2064" s="28" t="n">
        <v>43010</v>
      </c>
      <c r="B2064" s="28" t="n">
        <v>43016</v>
      </c>
      <c r="C2064" s="21" t="n">
        <v>0</v>
      </c>
      <c r="D2064" s="21" t="n">
        <v>0</v>
      </c>
      <c r="E2064" s="21" t="n">
        <v>0</v>
      </c>
      <c r="F2064" s="21" t="n">
        <v>0</v>
      </c>
      <c r="G2064" s="30" t="s">
        <v>3432</v>
      </c>
    </row>
    <row r="2065" customFormat="false" ht="15" hidden="false" customHeight="false" outlineLevel="0" collapsed="false">
      <c r="A2065" s="28" t="n">
        <v>43017</v>
      </c>
      <c r="B2065" s="28" t="n">
        <v>43023</v>
      </c>
      <c r="C2065" s="21" t="n">
        <v>0</v>
      </c>
      <c r="D2065" s="21" t="n">
        <v>0</v>
      </c>
      <c r="E2065" s="21" t="n">
        <v>0</v>
      </c>
      <c r="F2065" s="21" t="n">
        <v>0</v>
      </c>
      <c r="G2065" s="30" t="s">
        <v>3432</v>
      </c>
    </row>
    <row r="2066" customFormat="false" ht="15" hidden="false" customHeight="false" outlineLevel="0" collapsed="false">
      <c r="A2066" s="28" t="n">
        <v>43024</v>
      </c>
      <c r="B2066" s="28" t="n">
        <v>43030</v>
      </c>
      <c r="C2066" s="21" t="n">
        <v>0</v>
      </c>
      <c r="D2066" s="21" t="n">
        <v>0</v>
      </c>
      <c r="E2066" s="21" t="n">
        <v>0</v>
      </c>
      <c r="F2066" s="21" t="n">
        <v>0</v>
      </c>
      <c r="G2066" s="30" t="s">
        <v>3432</v>
      </c>
    </row>
    <row r="2067" customFormat="false" ht="15" hidden="false" customHeight="false" outlineLevel="0" collapsed="false">
      <c r="A2067" s="28" t="n">
        <v>43031</v>
      </c>
      <c r="B2067" s="28" t="n">
        <v>43037</v>
      </c>
      <c r="C2067" s="21" t="n">
        <v>0</v>
      </c>
      <c r="D2067" s="21" t="n">
        <v>0</v>
      </c>
      <c r="E2067" s="21" t="n">
        <v>0</v>
      </c>
      <c r="F2067" s="21" t="n">
        <v>0</v>
      </c>
      <c r="G2067" s="30" t="s">
        <v>3432</v>
      </c>
    </row>
    <row r="2068" customFormat="false" ht="15" hidden="false" customHeight="false" outlineLevel="0" collapsed="false">
      <c r="A2068" s="28" t="n">
        <v>43038</v>
      </c>
      <c r="B2068" s="28" t="n">
        <v>43044</v>
      </c>
      <c r="C2068" s="21" t="n">
        <v>0</v>
      </c>
      <c r="D2068" s="21" t="n">
        <v>0</v>
      </c>
      <c r="E2068" s="21" t="n">
        <v>0</v>
      </c>
      <c r="F2068" s="21" t="n">
        <v>0</v>
      </c>
      <c r="G2068" s="30" t="s">
        <v>3432</v>
      </c>
    </row>
    <row r="2069" customFormat="false" ht="15" hidden="false" customHeight="false" outlineLevel="0" collapsed="false">
      <c r="A2069" s="28" t="n">
        <v>43045</v>
      </c>
      <c r="B2069" s="28" t="n">
        <v>43051</v>
      </c>
      <c r="C2069" s="21" t="n">
        <v>0</v>
      </c>
      <c r="D2069" s="21" t="n">
        <v>0</v>
      </c>
      <c r="E2069" s="21" t="n">
        <v>0</v>
      </c>
      <c r="F2069" s="21" t="n">
        <v>0</v>
      </c>
      <c r="G2069" s="30" t="s">
        <v>3432</v>
      </c>
    </row>
    <row r="2070" customFormat="false" ht="15" hidden="false" customHeight="false" outlineLevel="0" collapsed="false">
      <c r="A2070" s="28" t="n">
        <v>43052</v>
      </c>
      <c r="B2070" s="28" t="n">
        <v>43058</v>
      </c>
      <c r="C2070" s="21" t="n">
        <v>0</v>
      </c>
      <c r="D2070" s="21" t="n">
        <v>0</v>
      </c>
      <c r="E2070" s="21" t="n">
        <v>0</v>
      </c>
      <c r="F2070" s="21" t="n">
        <v>0</v>
      </c>
      <c r="G2070" s="30" t="s">
        <v>3432</v>
      </c>
    </row>
    <row r="2071" customFormat="false" ht="15" hidden="false" customHeight="false" outlineLevel="0" collapsed="false">
      <c r="A2071" s="28" t="n">
        <v>43059</v>
      </c>
      <c r="B2071" s="28" t="n">
        <v>43065</v>
      </c>
      <c r="C2071" s="21" t="n">
        <v>0</v>
      </c>
      <c r="D2071" s="21" t="n">
        <v>0</v>
      </c>
      <c r="E2071" s="21" t="n">
        <v>0</v>
      </c>
      <c r="F2071" s="21" t="n">
        <v>0</v>
      </c>
      <c r="G2071" s="30" t="s">
        <v>3432</v>
      </c>
    </row>
    <row r="2072" customFormat="false" ht="15" hidden="false" customHeight="false" outlineLevel="0" collapsed="false">
      <c r="A2072" s="28" t="n">
        <v>43066</v>
      </c>
      <c r="B2072" s="28" t="n">
        <v>43072</v>
      </c>
      <c r="C2072" s="21" t="n">
        <v>0</v>
      </c>
      <c r="D2072" s="21" t="n">
        <v>0</v>
      </c>
      <c r="E2072" s="21" t="n">
        <v>0</v>
      </c>
      <c r="F2072" s="21" t="n">
        <v>0</v>
      </c>
      <c r="G2072" s="30" t="s">
        <v>3432</v>
      </c>
    </row>
    <row r="2073" customFormat="false" ht="15" hidden="false" customHeight="false" outlineLevel="0" collapsed="false">
      <c r="A2073" s="28" t="n">
        <v>43073</v>
      </c>
      <c r="B2073" s="28" t="n">
        <v>43079</v>
      </c>
      <c r="C2073" s="21" t="n">
        <v>0</v>
      </c>
      <c r="D2073" s="21" t="n">
        <v>0</v>
      </c>
      <c r="E2073" s="21" t="n">
        <v>0</v>
      </c>
      <c r="F2073" s="21" t="n">
        <v>0</v>
      </c>
      <c r="G2073" s="30" t="s">
        <v>3432</v>
      </c>
    </row>
    <row r="2074" customFormat="false" ht="15" hidden="false" customHeight="false" outlineLevel="0" collapsed="false">
      <c r="A2074" s="28" t="n">
        <v>43080</v>
      </c>
      <c r="B2074" s="28" t="n">
        <v>43086</v>
      </c>
      <c r="C2074" s="21" t="n">
        <v>0</v>
      </c>
      <c r="D2074" s="21" t="n">
        <v>0</v>
      </c>
      <c r="E2074" s="21" t="n">
        <v>0</v>
      </c>
      <c r="F2074" s="21" t="n">
        <v>0</v>
      </c>
      <c r="G2074" s="30" t="s">
        <v>3432</v>
      </c>
    </row>
    <row r="2075" customFormat="false" ht="15" hidden="false" customHeight="false" outlineLevel="0" collapsed="false">
      <c r="A2075" s="28" t="n">
        <v>43087</v>
      </c>
      <c r="B2075" s="28" t="n">
        <v>43093</v>
      </c>
      <c r="C2075" s="21" t="n">
        <v>0</v>
      </c>
      <c r="D2075" s="21" t="n">
        <v>0</v>
      </c>
      <c r="E2075" s="21" t="n">
        <v>0</v>
      </c>
      <c r="F2075" s="21" t="n">
        <v>0</v>
      </c>
      <c r="G2075" s="30" t="s">
        <v>3432</v>
      </c>
    </row>
    <row r="2076" customFormat="false" ht="15" hidden="false" customHeight="false" outlineLevel="0" collapsed="false">
      <c r="A2076" s="28" t="n">
        <v>43094</v>
      </c>
      <c r="B2076" s="28" t="n">
        <v>43100</v>
      </c>
      <c r="C2076" s="21" t="n">
        <v>0</v>
      </c>
      <c r="D2076" s="21" t="n">
        <v>0</v>
      </c>
      <c r="E2076" s="21" t="n">
        <v>0</v>
      </c>
      <c r="F2076" s="21" t="n">
        <v>0</v>
      </c>
      <c r="G2076" s="30" t="s">
        <v>3432</v>
      </c>
    </row>
    <row r="2077" customFormat="false" ht="15" hidden="false" customHeight="false" outlineLevel="0" collapsed="false">
      <c r="A2077" s="28" t="n">
        <v>43101</v>
      </c>
      <c r="B2077" s="28" t="n">
        <v>43107</v>
      </c>
      <c r="C2077" s="21" t="n">
        <v>0</v>
      </c>
      <c r="D2077" s="21" t="n">
        <v>0</v>
      </c>
      <c r="E2077" s="21" t="n">
        <v>0</v>
      </c>
      <c r="F2077" s="21" t="n">
        <v>0</v>
      </c>
      <c r="G2077" s="30" t="s">
        <v>3432</v>
      </c>
    </row>
    <row r="2078" customFormat="false" ht="15" hidden="false" customHeight="false" outlineLevel="0" collapsed="false">
      <c r="A2078" s="28" t="n">
        <v>43108</v>
      </c>
      <c r="B2078" s="28" t="n">
        <v>43114</v>
      </c>
      <c r="C2078" s="21" t="n">
        <v>0</v>
      </c>
      <c r="D2078" s="21" t="n">
        <v>0</v>
      </c>
      <c r="E2078" s="21" t="n">
        <v>0</v>
      </c>
      <c r="F2078" s="21" t="n">
        <v>0</v>
      </c>
      <c r="G2078" s="30" t="s">
        <v>3432</v>
      </c>
    </row>
    <row r="2079" customFormat="false" ht="15" hidden="false" customHeight="false" outlineLevel="0" collapsed="false">
      <c r="A2079" s="28" t="n">
        <v>43115</v>
      </c>
      <c r="B2079" s="28" t="n">
        <v>43121</v>
      </c>
      <c r="C2079" s="21" t="n">
        <v>0</v>
      </c>
      <c r="D2079" s="21" t="n">
        <v>0</v>
      </c>
      <c r="E2079" s="21" t="n">
        <v>0</v>
      </c>
      <c r="F2079" s="21" t="n">
        <v>0</v>
      </c>
      <c r="G2079" s="30" t="s">
        <v>3432</v>
      </c>
    </row>
    <row r="2080" customFormat="false" ht="15" hidden="false" customHeight="false" outlineLevel="0" collapsed="false">
      <c r="A2080" s="28" t="n">
        <v>43122</v>
      </c>
      <c r="B2080" s="28" t="n">
        <v>43128</v>
      </c>
      <c r="C2080" s="21" t="n">
        <v>0</v>
      </c>
      <c r="D2080" s="21" t="n">
        <v>0</v>
      </c>
      <c r="E2080" s="21" t="n">
        <v>0</v>
      </c>
      <c r="F2080" s="21" t="n">
        <v>0</v>
      </c>
      <c r="G2080" s="30" t="s">
        <v>3432</v>
      </c>
    </row>
    <row r="2081" customFormat="false" ht="15" hidden="false" customHeight="false" outlineLevel="0" collapsed="false">
      <c r="A2081" s="28" t="n">
        <v>43129</v>
      </c>
      <c r="B2081" s="28" t="n">
        <v>43135</v>
      </c>
      <c r="C2081" s="21" t="n">
        <v>0</v>
      </c>
      <c r="D2081" s="21" t="n">
        <v>0</v>
      </c>
      <c r="E2081" s="21" t="n">
        <v>0</v>
      </c>
      <c r="F2081" s="21" t="n">
        <v>0</v>
      </c>
      <c r="G2081" s="30" t="s">
        <v>3432</v>
      </c>
    </row>
    <row r="2082" customFormat="false" ht="15" hidden="false" customHeight="false" outlineLevel="0" collapsed="false">
      <c r="A2082" s="28" t="n">
        <v>43136</v>
      </c>
      <c r="B2082" s="28" t="n">
        <v>43142</v>
      </c>
      <c r="C2082" s="21" t="n">
        <v>0</v>
      </c>
      <c r="D2082" s="21" t="n">
        <v>0</v>
      </c>
      <c r="E2082" s="21" t="n">
        <v>0</v>
      </c>
      <c r="F2082" s="21" t="n">
        <v>0</v>
      </c>
      <c r="G2082" s="30" t="s">
        <v>3432</v>
      </c>
    </row>
    <row r="2083" customFormat="false" ht="15" hidden="false" customHeight="false" outlineLevel="0" collapsed="false">
      <c r="A2083" s="28" t="n">
        <v>43143</v>
      </c>
      <c r="B2083" s="28" t="n">
        <v>43149</v>
      </c>
      <c r="C2083" s="21" t="n">
        <v>0</v>
      </c>
      <c r="D2083" s="21" t="n">
        <v>0</v>
      </c>
      <c r="E2083" s="21" t="n">
        <v>0</v>
      </c>
      <c r="F2083" s="21" t="n">
        <v>0</v>
      </c>
      <c r="G2083" s="30" t="s">
        <v>3432</v>
      </c>
    </row>
    <row r="2084" customFormat="false" ht="15" hidden="false" customHeight="false" outlineLevel="0" collapsed="false">
      <c r="A2084" s="28" t="n">
        <v>43150</v>
      </c>
      <c r="B2084" s="28" t="n">
        <v>43156</v>
      </c>
      <c r="C2084" s="21" t="n">
        <v>0</v>
      </c>
      <c r="D2084" s="21" t="n">
        <v>0</v>
      </c>
      <c r="E2084" s="21" t="n">
        <v>0</v>
      </c>
      <c r="F2084" s="21" t="n">
        <v>0</v>
      </c>
      <c r="G2084" s="30" t="s">
        <v>3432</v>
      </c>
    </row>
    <row r="2085" customFormat="false" ht="15" hidden="false" customHeight="false" outlineLevel="0" collapsed="false">
      <c r="A2085" s="28" t="n">
        <v>43157</v>
      </c>
      <c r="B2085" s="28" t="n">
        <v>43163</v>
      </c>
      <c r="C2085" s="21" t="n">
        <v>0</v>
      </c>
      <c r="D2085" s="21" t="n">
        <v>0</v>
      </c>
      <c r="E2085" s="21" t="n">
        <v>0</v>
      </c>
      <c r="F2085" s="21" t="n">
        <v>0</v>
      </c>
      <c r="G2085" s="30" t="s">
        <v>3432</v>
      </c>
    </row>
    <row r="2086" customFormat="false" ht="15" hidden="false" customHeight="false" outlineLevel="0" collapsed="false">
      <c r="A2086" s="28" t="n">
        <v>43164</v>
      </c>
      <c r="B2086" s="28" t="n">
        <v>43170</v>
      </c>
      <c r="C2086" s="21" t="n">
        <v>0</v>
      </c>
      <c r="D2086" s="21" t="n">
        <v>0</v>
      </c>
      <c r="E2086" s="21" t="n">
        <v>0</v>
      </c>
      <c r="F2086" s="21" t="n">
        <v>0</v>
      </c>
      <c r="G2086" s="30" t="s">
        <v>3432</v>
      </c>
    </row>
    <row r="2087" customFormat="false" ht="15" hidden="false" customHeight="false" outlineLevel="0" collapsed="false">
      <c r="A2087" s="28" t="n">
        <v>43171</v>
      </c>
      <c r="B2087" s="28" t="n">
        <v>43177</v>
      </c>
      <c r="C2087" s="21" t="n">
        <v>0</v>
      </c>
      <c r="D2087" s="21" t="n">
        <v>0</v>
      </c>
      <c r="E2087" s="21" t="n">
        <v>0</v>
      </c>
      <c r="F2087" s="21" t="n">
        <v>0</v>
      </c>
      <c r="G2087" s="30" t="s">
        <v>3432</v>
      </c>
    </row>
    <row r="2088" customFormat="false" ht="15" hidden="false" customHeight="false" outlineLevel="0" collapsed="false">
      <c r="A2088" s="28" t="n">
        <v>43178</v>
      </c>
      <c r="B2088" s="28" t="n">
        <v>43184</v>
      </c>
      <c r="C2088" s="21" t="n">
        <v>0</v>
      </c>
      <c r="D2088" s="21" t="n">
        <v>0</v>
      </c>
      <c r="E2088" s="21" t="n">
        <v>0</v>
      </c>
      <c r="F2088" s="21" t="n">
        <v>0</v>
      </c>
      <c r="G2088" s="30" t="s">
        <v>3432</v>
      </c>
    </row>
    <row r="2089" customFormat="false" ht="15" hidden="false" customHeight="false" outlineLevel="0" collapsed="false">
      <c r="A2089" s="28" t="n">
        <v>43185</v>
      </c>
      <c r="B2089" s="28" t="n">
        <v>43191</v>
      </c>
      <c r="C2089" s="21" t="n">
        <v>0</v>
      </c>
      <c r="D2089" s="21" t="n">
        <v>0</v>
      </c>
      <c r="E2089" s="21" t="n">
        <v>0</v>
      </c>
      <c r="F2089" s="21" t="n">
        <v>0</v>
      </c>
      <c r="G2089" s="30" t="s">
        <v>3432</v>
      </c>
    </row>
    <row r="2090" customFormat="false" ht="15" hidden="false" customHeight="false" outlineLevel="0" collapsed="false">
      <c r="A2090" s="28" t="n">
        <v>43192</v>
      </c>
      <c r="B2090" s="28" t="n">
        <v>43198</v>
      </c>
      <c r="C2090" s="21" t="n">
        <v>0</v>
      </c>
      <c r="D2090" s="21" t="n">
        <v>0</v>
      </c>
      <c r="E2090" s="21" t="n">
        <v>0</v>
      </c>
      <c r="F2090" s="21" t="n">
        <v>0</v>
      </c>
      <c r="G2090" s="30" t="s">
        <v>3432</v>
      </c>
    </row>
    <row r="2091" customFormat="false" ht="15" hidden="false" customHeight="false" outlineLevel="0" collapsed="false">
      <c r="A2091" s="28" t="n">
        <v>43199</v>
      </c>
      <c r="B2091" s="28" t="n">
        <v>43205</v>
      </c>
      <c r="C2091" s="21" t="n">
        <v>0</v>
      </c>
      <c r="D2091" s="21" t="n">
        <v>0</v>
      </c>
      <c r="E2091" s="21" t="n">
        <v>0</v>
      </c>
      <c r="F2091" s="21" t="n">
        <v>0</v>
      </c>
      <c r="G2091" s="30" t="s">
        <v>3432</v>
      </c>
    </row>
    <row r="2092" customFormat="false" ht="15" hidden="false" customHeight="false" outlineLevel="0" collapsed="false">
      <c r="A2092" s="28" t="n">
        <v>43206</v>
      </c>
      <c r="B2092" s="28" t="n">
        <v>43212</v>
      </c>
      <c r="C2092" s="21" t="n">
        <v>0</v>
      </c>
      <c r="D2092" s="21" t="n">
        <v>0</v>
      </c>
      <c r="E2092" s="21" t="n">
        <v>0</v>
      </c>
      <c r="F2092" s="21" t="n">
        <v>0</v>
      </c>
      <c r="G2092" s="30" t="s">
        <v>3432</v>
      </c>
    </row>
    <row r="2093" customFormat="false" ht="15" hidden="false" customHeight="false" outlineLevel="0" collapsed="false">
      <c r="A2093" s="28" t="n">
        <v>43213</v>
      </c>
      <c r="B2093" s="28" t="n">
        <v>43219</v>
      </c>
      <c r="C2093" s="21" t="n">
        <v>0</v>
      </c>
      <c r="D2093" s="21" t="n">
        <v>0</v>
      </c>
      <c r="E2093" s="21" t="n">
        <v>0</v>
      </c>
      <c r="F2093" s="21" t="n">
        <v>0</v>
      </c>
      <c r="G2093" s="30" t="s">
        <v>3432</v>
      </c>
    </row>
    <row r="2094" customFormat="false" ht="15" hidden="false" customHeight="false" outlineLevel="0" collapsed="false">
      <c r="A2094" s="28" t="n">
        <v>43220</v>
      </c>
      <c r="B2094" s="28" t="n">
        <v>43226</v>
      </c>
      <c r="C2094" s="21" t="n">
        <v>0</v>
      </c>
      <c r="D2094" s="21" t="n">
        <v>0</v>
      </c>
      <c r="E2094" s="21" t="n">
        <v>0</v>
      </c>
      <c r="F2094" s="21" t="n">
        <v>0</v>
      </c>
      <c r="G2094" s="30" t="s">
        <v>3432</v>
      </c>
    </row>
    <row r="2095" customFormat="false" ht="15" hidden="false" customHeight="false" outlineLevel="0" collapsed="false">
      <c r="A2095" s="28" t="n">
        <v>43227</v>
      </c>
      <c r="B2095" s="28" t="n">
        <v>43233</v>
      </c>
      <c r="C2095" s="21" t="n">
        <v>0</v>
      </c>
      <c r="D2095" s="21" t="n">
        <v>0</v>
      </c>
      <c r="E2095" s="21" t="n">
        <v>0</v>
      </c>
      <c r="F2095" s="21" t="n">
        <v>0</v>
      </c>
      <c r="G2095" s="30" t="s">
        <v>3432</v>
      </c>
    </row>
    <row r="2096" customFormat="false" ht="15" hidden="false" customHeight="false" outlineLevel="0" collapsed="false">
      <c r="A2096" s="28" t="n">
        <v>43234</v>
      </c>
      <c r="B2096" s="28" t="n">
        <v>43240</v>
      </c>
      <c r="C2096" s="21" t="n">
        <v>0</v>
      </c>
      <c r="D2096" s="21" t="n">
        <v>0</v>
      </c>
      <c r="E2096" s="21" t="n">
        <v>0</v>
      </c>
      <c r="F2096" s="21" t="n">
        <v>0</v>
      </c>
      <c r="G2096" s="30" t="s">
        <v>3432</v>
      </c>
    </row>
    <row r="2097" customFormat="false" ht="15" hidden="false" customHeight="false" outlineLevel="0" collapsed="false">
      <c r="A2097" s="28" t="n">
        <v>43241</v>
      </c>
      <c r="B2097" s="28" t="n">
        <v>43247</v>
      </c>
      <c r="C2097" s="21" t="n">
        <v>0</v>
      </c>
      <c r="D2097" s="21" t="n">
        <v>0</v>
      </c>
      <c r="E2097" s="21" t="n">
        <v>0</v>
      </c>
      <c r="F2097" s="21" t="n">
        <v>0</v>
      </c>
      <c r="G2097" s="30" t="s">
        <v>3432</v>
      </c>
    </row>
    <row r="2098" customFormat="false" ht="15" hidden="false" customHeight="false" outlineLevel="0" collapsed="false">
      <c r="A2098" s="28" t="n">
        <v>43248</v>
      </c>
      <c r="B2098" s="28" t="n">
        <v>43254</v>
      </c>
      <c r="C2098" s="21" t="n">
        <v>0</v>
      </c>
      <c r="D2098" s="21" t="n">
        <v>0</v>
      </c>
      <c r="E2098" s="21" t="n">
        <v>0</v>
      </c>
      <c r="F2098" s="21" t="n">
        <v>0</v>
      </c>
      <c r="G2098" s="30" t="s">
        <v>3432</v>
      </c>
    </row>
    <row r="2099" customFormat="false" ht="15" hidden="false" customHeight="false" outlineLevel="0" collapsed="false">
      <c r="A2099" s="28" t="n">
        <v>43255</v>
      </c>
      <c r="B2099" s="28" t="n">
        <v>43261</v>
      </c>
      <c r="C2099" s="21" t="n">
        <v>0</v>
      </c>
      <c r="D2099" s="21" t="n">
        <v>0</v>
      </c>
      <c r="E2099" s="21" t="n">
        <v>0</v>
      </c>
      <c r="F2099" s="21" t="n">
        <v>0</v>
      </c>
      <c r="G2099" s="30" t="s">
        <v>3432</v>
      </c>
    </row>
    <row r="2100" customFormat="false" ht="15" hidden="false" customHeight="false" outlineLevel="0" collapsed="false">
      <c r="A2100" s="28" t="n">
        <v>43262</v>
      </c>
      <c r="B2100" s="28" t="n">
        <v>43268</v>
      </c>
      <c r="C2100" s="21" t="n">
        <v>0</v>
      </c>
      <c r="D2100" s="21" t="n">
        <v>0</v>
      </c>
      <c r="E2100" s="21" t="n">
        <v>0</v>
      </c>
      <c r="F2100" s="21" t="n">
        <v>0</v>
      </c>
      <c r="G2100" s="30" t="s">
        <v>3432</v>
      </c>
    </row>
    <row r="2101" customFormat="false" ht="15" hidden="false" customHeight="false" outlineLevel="0" collapsed="false">
      <c r="A2101" s="28" t="n">
        <v>43269</v>
      </c>
      <c r="B2101" s="28" t="n">
        <v>43275</v>
      </c>
      <c r="C2101" s="21" t="n">
        <v>0</v>
      </c>
      <c r="D2101" s="21" t="n">
        <v>0</v>
      </c>
      <c r="E2101" s="21" t="n">
        <v>0</v>
      </c>
      <c r="F2101" s="21" t="n">
        <v>0</v>
      </c>
      <c r="G2101" s="30" t="s">
        <v>3432</v>
      </c>
    </row>
    <row r="2102" customFormat="false" ht="15" hidden="false" customHeight="false" outlineLevel="0" collapsed="false">
      <c r="A2102" s="28" t="n">
        <v>43276</v>
      </c>
      <c r="B2102" s="28" t="n">
        <v>43282</v>
      </c>
      <c r="C2102" s="21" t="n">
        <v>0</v>
      </c>
      <c r="D2102" s="21" t="n">
        <v>0</v>
      </c>
      <c r="E2102" s="21" t="n">
        <v>0</v>
      </c>
      <c r="F2102" s="21" t="n">
        <v>0</v>
      </c>
      <c r="G2102" s="30" t="s">
        <v>3432</v>
      </c>
    </row>
    <row r="2103" customFormat="false" ht="15" hidden="false" customHeight="false" outlineLevel="0" collapsed="false">
      <c r="A2103" s="28" t="n">
        <v>43283</v>
      </c>
      <c r="B2103" s="28" t="n">
        <v>43289</v>
      </c>
      <c r="C2103" s="21" t="n">
        <v>0</v>
      </c>
      <c r="D2103" s="21" t="n">
        <v>0</v>
      </c>
      <c r="E2103" s="21" t="n">
        <v>0</v>
      </c>
      <c r="F2103" s="21" t="n">
        <v>0</v>
      </c>
      <c r="G2103" s="30" t="s">
        <v>3432</v>
      </c>
    </row>
    <row r="2104" customFormat="false" ht="15" hidden="false" customHeight="false" outlineLevel="0" collapsed="false">
      <c r="A2104" s="28" t="n">
        <v>43290</v>
      </c>
      <c r="B2104" s="28" t="n">
        <v>43296</v>
      </c>
      <c r="C2104" s="21" t="n">
        <v>0</v>
      </c>
      <c r="D2104" s="21" t="n">
        <v>0</v>
      </c>
      <c r="E2104" s="21" t="n">
        <v>0</v>
      </c>
      <c r="F2104" s="21" t="n">
        <v>0</v>
      </c>
      <c r="G2104" s="30" t="s">
        <v>3432</v>
      </c>
    </row>
    <row r="2105" customFormat="false" ht="15" hidden="false" customHeight="false" outlineLevel="0" collapsed="false">
      <c r="A2105" s="28" t="n">
        <v>43297</v>
      </c>
      <c r="B2105" s="28" t="n">
        <v>43303</v>
      </c>
      <c r="C2105" s="21" t="n">
        <v>0</v>
      </c>
      <c r="D2105" s="21" t="n">
        <v>0</v>
      </c>
      <c r="E2105" s="21" t="n">
        <v>0</v>
      </c>
      <c r="F2105" s="21" t="n">
        <v>0</v>
      </c>
      <c r="G2105" s="30" t="s">
        <v>3432</v>
      </c>
    </row>
    <row r="2106" customFormat="false" ht="15" hidden="false" customHeight="false" outlineLevel="0" collapsed="false">
      <c r="A2106" s="28" t="n">
        <v>43304</v>
      </c>
      <c r="B2106" s="28" t="n">
        <v>43310</v>
      </c>
      <c r="C2106" s="21" t="n">
        <v>0</v>
      </c>
      <c r="D2106" s="21" t="n">
        <v>0</v>
      </c>
      <c r="E2106" s="21" t="n">
        <v>0</v>
      </c>
      <c r="F2106" s="21" t="n">
        <v>0</v>
      </c>
      <c r="G2106" s="30" t="s">
        <v>3432</v>
      </c>
    </row>
    <row r="2107" customFormat="false" ht="15" hidden="false" customHeight="false" outlineLevel="0" collapsed="false">
      <c r="A2107" s="28" t="n">
        <v>43311</v>
      </c>
      <c r="B2107" s="28" t="n">
        <v>43317</v>
      </c>
      <c r="C2107" s="21" t="n">
        <v>0</v>
      </c>
      <c r="D2107" s="21" t="n">
        <v>0</v>
      </c>
      <c r="E2107" s="21" t="n">
        <v>0</v>
      </c>
      <c r="F2107" s="21" t="n">
        <v>0</v>
      </c>
      <c r="G2107" s="30" t="s">
        <v>3432</v>
      </c>
    </row>
    <row r="2108" customFormat="false" ht="15" hidden="false" customHeight="false" outlineLevel="0" collapsed="false">
      <c r="A2108" s="28" t="n">
        <v>43318</v>
      </c>
      <c r="B2108" s="28" t="n">
        <v>43324</v>
      </c>
      <c r="C2108" s="21" t="n">
        <v>0</v>
      </c>
      <c r="D2108" s="21" t="n">
        <v>0</v>
      </c>
      <c r="E2108" s="21" t="n">
        <v>0</v>
      </c>
      <c r="F2108" s="21" t="n">
        <v>0</v>
      </c>
      <c r="G2108" s="30" t="s">
        <v>3432</v>
      </c>
    </row>
    <row r="2109" customFormat="false" ht="15" hidden="false" customHeight="false" outlineLevel="0" collapsed="false">
      <c r="A2109" s="28" t="n">
        <v>43325</v>
      </c>
      <c r="B2109" s="28" t="n">
        <v>43331</v>
      </c>
      <c r="C2109" s="21" t="n">
        <v>0</v>
      </c>
      <c r="D2109" s="21" t="n">
        <v>0</v>
      </c>
      <c r="E2109" s="21" t="n">
        <v>0</v>
      </c>
      <c r="F2109" s="21" t="n">
        <v>0</v>
      </c>
      <c r="G2109" s="30" t="s">
        <v>3432</v>
      </c>
    </row>
    <row r="2110" customFormat="false" ht="15" hidden="false" customHeight="false" outlineLevel="0" collapsed="false">
      <c r="A2110" s="28" t="n">
        <v>43332</v>
      </c>
      <c r="B2110" s="28" t="n">
        <v>43338</v>
      </c>
      <c r="C2110" s="21" t="n">
        <v>0</v>
      </c>
      <c r="D2110" s="21" t="n">
        <v>0</v>
      </c>
      <c r="E2110" s="21" t="n">
        <v>0</v>
      </c>
      <c r="F2110" s="21" t="n">
        <v>0</v>
      </c>
      <c r="G2110" s="30" t="s">
        <v>3432</v>
      </c>
    </row>
    <row r="2111" customFormat="false" ht="15" hidden="false" customHeight="false" outlineLevel="0" collapsed="false">
      <c r="A2111" s="28" t="n">
        <v>43339</v>
      </c>
      <c r="B2111" s="28" t="n">
        <v>43345</v>
      </c>
      <c r="C2111" s="21" t="n">
        <v>0</v>
      </c>
      <c r="D2111" s="21" t="n">
        <v>0</v>
      </c>
      <c r="E2111" s="21" t="n">
        <v>0</v>
      </c>
      <c r="F2111" s="21" t="n">
        <v>0</v>
      </c>
      <c r="G2111" s="30" t="s">
        <v>3432</v>
      </c>
    </row>
    <row r="2112" customFormat="false" ht="15" hidden="false" customHeight="false" outlineLevel="0" collapsed="false">
      <c r="A2112" s="28" t="n">
        <v>43346</v>
      </c>
      <c r="B2112" s="28" t="n">
        <v>43352</v>
      </c>
      <c r="C2112" s="21" t="n">
        <v>0</v>
      </c>
      <c r="D2112" s="21" t="n">
        <v>0</v>
      </c>
      <c r="E2112" s="21" t="n">
        <v>0</v>
      </c>
      <c r="F2112" s="21" t="n">
        <v>0</v>
      </c>
      <c r="G2112" s="30" t="s">
        <v>3432</v>
      </c>
    </row>
    <row r="2113" customFormat="false" ht="15" hidden="false" customHeight="false" outlineLevel="0" collapsed="false">
      <c r="A2113" s="28" t="n">
        <v>43353</v>
      </c>
      <c r="B2113" s="28" t="n">
        <v>43359</v>
      </c>
      <c r="C2113" s="21" t="n">
        <v>0</v>
      </c>
      <c r="D2113" s="21" t="n">
        <v>0</v>
      </c>
      <c r="E2113" s="21" t="n">
        <v>0</v>
      </c>
      <c r="F2113" s="21" t="n">
        <v>0</v>
      </c>
      <c r="G2113" s="30" t="s">
        <v>3432</v>
      </c>
    </row>
    <row r="2114" customFormat="false" ht="15" hidden="false" customHeight="false" outlineLevel="0" collapsed="false">
      <c r="A2114" s="28" t="n">
        <v>43360</v>
      </c>
      <c r="B2114" s="28" t="n">
        <v>43366</v>
      </c>
      <c r="C2114" s="21" t="n">
        <v>0</v>
      </c>
      <c r="D2114" s="21" t="n">
        <v>0</v>
      </c>
      <c r="E2114" s="21" t="n">
        <v>0</v>
      </c>
      <c r="F2114" s="21" t="n">
        <v>0</v>
      </c>
      <c r="G2114" s="30" t="s">
        <v>3432</v>
      </c>
    </row>
    <row r="2115" customFormat="false" ht="15" hidden="false" customHeight="false" outlineLevel="0" collapsed="false">
      <c r="A2115" s="28" t="n">
        <v>43367</v>
      </c>
      <c r="B2115" s="28" t="n">
        <v>43373</v>
      </c>
      <c r="C2115" s="21" t="n">
        <v>0</v>
      </c>
      <c r="D2115" s="21" t="n">
        <v>0</v>
      </c>
      <c r="E2115" s="21" t="n">
        <v>0</v>
      </c>
      <c r="F2115" s="21" t="n">
        <v>0</v>
      </c>
      <c r="G2115" s="30" t="s">
        <v>3432</v>
      </c>
    </row>
    <row r="2116" customFormat="false" ht="15" hidden="false" customHeight="false" outlineLevel="0" collapsed="false">
      <c r="A2116" s="28" t="n">
        <v>43374</v>
      </c>
      <c r="B2116" s="28" t="n">
        <v>43380</v>
      </c>
      <c r="C2116" s="21" t="n">
        <v>0</v>
      </c>
      <c r="D2116" s="21" t="n">
        <v>0</v>
      </c>
      <c r="E2116" s="21" t="n">
        <v>0</v>
      </c>
      <c r="F2116" s="21" t="n">
        <v>0</v>
      </c>
      <c r="G2116" s="30" t="s">
        <v>3432</v>
      </c>
    </row>
    <row r="2117" customFormat="false" ht="15" hidden="false" customHeight="false" outlineLevel="0" collapsed="false">
      <c r="A2117" s="28" t="n">
        <v>43381</v>
      </c>
      <c r="B2117" s="28" t="n">
        <v>43387</v>
      </c>
      <c r="C2117" s="21" t="n">
        <v>0</v>
      </c>
      <c r="D2117" s="21" t="n">
        <v>0</v>
      </c>
      <c r="E2117" s="21" t="n">
        <v>0</v>
      </c>
      <c r="F2117" s="21" t="n">
        <v>0</v>
      </c>
      <c r="G2117" s="30" t="s">
        <v>3432</v>
      </c>
    </row>
    <row r="2118" customFormat="false" ht="15" hidden="false" customHeight="false" outlineLevel="0" collapsed="false">
      <c r="A2118" s="28" t="n">
        <v>43388</v>
      </c>
      <c r="B2118" s="28" t="n">
        <v>43394</v>
      </c>
      <c r="C2118" s="21" t="n">
        <v>0</v>
      </c>
      <c r="D2118" s="21" t="n">
        <v>0</v>
      </c>
      <c r="E2118" s="21" t="n">
        <v>0</v>
      </c>
      <c r="F2118" s="21" t="n">
        <v>0</v>
      </c>
      <c r="G2118" s="30" t="s">
        <v>3432</v>
      </c>
    </row>
    <row r="2119" customFormat="false" ht="15" hidden="false" customHeight="false" outlineLevel="0" collapsed="false">
      <c r="A2119" s="28" t="n">
        <v>43395</v>
      </c>
      <c r="B2119" s="28" t="n">
        <v>43401</v>
      </c>
      <c r="C2119" s="21" t="n">
        <v>0</v>
      </c>
      <c r="D2119" s="21" t="n">
        <v>0</v>
      </c>
      <c r="E2119" s="21" t="n">
        <v>0</v>
      </c>
      <c r="F2119" s="21" t="n">
        <v>0</v>
      </c>
      <c r="G2119" s="30" t="s">
        <v>3432</v>
      </c>
    </row>
    <row r="2120" customFormat="false" ht="15" hidden="false" customHeight="false" outlineLevel="0" collapsed="false">
      <c r="A2120" s="28" t="n">
        <v>43402</v>
      </c>
      <c r="B2120" s="28" t="n">
        <v>43408</v>
      </c>
      <c r="C2120" s="21" t="n">
        <v>0</v>
      </c>
      <c r="D2120" s="21" t="n">
        <v>0</v>
      </c>
      <c r="E2120" s="21" t="n">
        <v>0</v>
      </c>
      <c r="F2120" s="21" t="n">
        <v>0</v>
      </c>
      <c r="G2120" s="30" t="s">
        <v>3432</v>
      </c>
    </row>
    <row r="2121" customFormat="false" ht="15" hidden="false" customHeight="false" outlineLevel="0" collapsed="false">
      <c r="A2121" s="28" t="n">
        <v>43409</v>
      </c>
      <c r="B2121" s="28" t="n">
        <v>43415</v>
      </c>
      <c r="C2121" s="21" t="n">
        <v>0</v>
      </c>
      <c r="D2121" s="21" t="n">
        <v>0</v>
      </c>
      <c r="E2121" s="21" t="n">
        <v>0</v>
      </c>
      <c r="F2121" s="21" t="n">
        <v>0</v>
      </c>
      <c r="G2121" s="30" t="s">
        <v>3432</v>
      </c>
    </row>
    <row r="2122" customFormat="false" ht="15" hidden="false" customHeight="false" outlineLevel="0" collapsed="false">
      <c r="A2122" s="28" t="n">
        <v>43416</v>
      </c>
      <c r="B2122" s="28" t="n">
        <v>43422</v>
      </c>
      <c r="C2122" s="21" t="n">
        <v>0</v>
      </c>
      <c r="D2122" s="21" t="n">
        <v>0</v>
      </c>
      <c r="E2122" s="21" t="n">
        <v>0</v>
      </c>
      <c r="F2122" s="21" t="n">
        <v>0</v>
      </c>
      <c r="G2122" s="30" t="s">
        <v>3432</v>
      </c>
    </row>
    <row r="2123" customFormat="false" ht="15" hidden="false" customHeight="false" outlineLevel="0" collapsed="false">
      <c r="A2123" s="28" t="n">
        <v>43423</v>
      </c>
      <c r="B2123" s="28" t="n">
        <v>43429</v>
      </c>
      <c r="C2123" s="21" t="n">
        <v>0</v>
      </c>
      <c r="D2123" s="21" t="n">
        <v>0</v>
      </c>
      <c r="E2123" s="21" t="n">
        <v>0</v>
      </c>
      <c r="F2123" s="21" t="n">
        <v>0</v>
      </c>
      <c r="G2123" s="30" t="s">
        <v>3432</v>
      </c>
    </row>
    <row r="2124" customFormat="false" ht="15" hidden="false" customHeight="false" outlineLevel="0" collapsed="false">
      <c r="A2124" s="28" t="n">
        <v>43430</v>
      </c>
      <c r="B2124" s="28" t="n">
        <v>43436</v>
      </c>
      <c r="C2124" s="21" t="n">
        <v>0</v>
      </c>
      <c r="D2124" s="21" t="n">
        <v>0</v>
      </c>
      <c r="E2124" s="21" t="n">
        <v>0</v>
      </c>
      <c r="F2124" s="21" t="n">
        <v>0</v>
      </c>
      <c r="G2124" s="30" t="s">
        <v>3432</v>
      </c>
    </row>
    <row r="2125" customFormat="false" ht="15" hidden="false" customHeight="false" outlineLevel="0" collapsed="false">
      <c r="A2125" s="28" t="n">
        <v>43437</v>
      </c>
      <c r="B2125" s="28" t="n">
        <v>43443</v>
      </c>
      <c r="C2125" s="21" t="n">
        <v>0</v>
      </c>
      <c r="D2125" s="21" t="n">
        <v>0</v>
      </c>
      <c r="E2125" s="21" t="n">
        <v>0</v>
      </c>
      <c r="F2125" s="21" t="n">
        <v>0</v>
      </c>
      <c r="G2125" s="30" t="s">
        <v>3432</v>
      </c>
    </row>
    <row r="2126" customFormat="false" ht="15" hidden="false" customHeight="false" outlineLevel="0" collapsed="false">
      <c r="A2126" s="28" t="n">
        <v>43444</v>
      </c>
      <c r="B2126" s="28" t="n">
        <v>43450</v>
      </c>
      <c r="C2126" s="21" t="n">
        <v>0</v>
      </c>
      <c r="D2126" s="21" t="n">
        <v>0</v>
      </c>
      <c r="E2126" s="21" t="n">
        <v>0</v>
      </c>
      <c r="F2126" s="21" t="n">
        <v>0</v>
      </c>
      <c r="G2126" s="30" t="s">
        <v>3432</v>
      </c>
    </row>
    <row r="2127" customFormat="false" ht="15" hidden="false" customHeight="false" outlineLevel="0" collapsed="false">
      <c r="A2127" s="28" t="n">
        <v>43451</v>
      </c>
      <c r="B2127" s="28" t="n">
        <v>43457</v>
      </c>
      <c r="C2127" s="21" t="n">
        <v>0</v>
      </c>
      <c r="D2127" s="21" t="n">
        <v>0</v>
      </c>
      <c r="E2127" s="21" t="n">
        <v>0</v>
      </c>
      <c r="F2127" s="21" t="n">
        <v>0</v>
      </c>
      <c r="G2127" s="30" t="s">
        <v>3432</v>
      </c>
    </row>
    <row r="2128" customFormat="false" ht="15" hidden="false" customHeight="false" outlineLevel="0" collapsed="false">
      <c r="A2128" s="28" t="n">
        <v>43458</v>
      </c>
      <c r="B2128" s="28" t="n">
        <v>43464</v>
      </c>
      <c r="C2128" s="21" t="n">
        <v>0</v>
      </c>
      <c r="D2128" s="21" t="n">
        <v>0</v>
      </c>
      <c r="E2128" s="21" t="n">
        <v>0</v>
      </c>
      <c r="F2128" s="21" t="n">
        <v>0</v>
      </c>
      <c r="G2128" s="30" t="s">
        <v>3432</v>
      </c>
    </row>
    <row r="2129" customFormat="false" ht="15" hidden="false" customHeight="false" outlineLevel="0" collapsed="false">
      <c r="A2129" s="28" t="n">
        <v>43465</v>
      </c>
      <c r="B2129" s="28" t="n">
        <v>43471</v>
      </c>
      <c r="C2129" s="21" t="n">
        <v>0</v>
      </c>
      <c r="D2129" s="21" t="n">
        <v>0</v>
      </c>
      <c r="E2129" s="21" t="n">
        <v>0</v>
      </c>
      <c r="F2129" s="21" t="n">
        <v>0</v>
      </c>
      <c r="G2129" s="30" t="s">
        <v>3432</v>
      </c>
    </row>
    <row r="2130" customFormat="false" ht="15" hidden="false" customHeight="false" outlineLevel="0" collapsed="false">
      <c r="A2130" s="28" t="n">
        <v>43472</v>
      </c>
      <c r="B2130" s="28" t="n">
        <v>43478</v>
      </c>
      <c r="C2130" s="21" t="n">
        <v>0</v>
      </c>
      <c r="D2130" s="21" t="n">
        <v>0</v>
      </c>
      <c r="E2130" s="21" t="n">
        <v>0</v>
      </c>
      <c r="F2130" s="21" t="n">
        <v>0</v>
      </c>
      <c r="G2130" s="30" t="s">
        <v>3432</v>
      </c>
    </row>
    <row r="2131" customFormat="false" ht="15" hidden="false" customHeight="false" outlineLevel="0" collapsed="false">
      <c r="A2131" s="28" t="n">
        <v>43479</v>
      </c>
      <c r="B2131" s="28" t="n">
        <v>43485</v>
      </c>
      <c r="C2131" s="21" t="n">
        <v>0</v>
      </c>
      <c r="D2131" s="21" t="n">
        <v>0</v>
      </c>
      <c r="E2131" s="21" t="n">
        <v>0</v>
      </c>
      <c r="F2131" s="21" t="n">
        <v>0</v>
      </c>
      <c r="G2131" s="30" t="s">
        <v>3432</v>
      </c>
    </row>
    <row r="2132" customFormat="false" ht="15" hidden="false" customHeight="false" outlineLevel="0" collapsed="false">
      <c r="A2132" s="28" t="n">
        <v>43486</v>
      </c>
      <c r="B2132" s="28" t="n">
        <v>43492</v>
      </c>
      <c r="C2132" s="21" t="n">
        <v>0</v>
      </c>
      <c r="D2132" s="21" t="n">
        <v>0</v>
      </c>
      <c r="E2132" s="21" t="n">
        <v>0</v>
      </c>
      <c r="F2132" s="21" t="n">
        <v>0</v>
      </c>
      <c r="G2132" s="30" t="s">
        <v>3432</v>
      </c>
    </row>
    <row r="2133" customFormat="false" ht="15" hidden="false" customHeight="false" outlineLevel="0" collapsed="false">
      <c r="A2133" s="28" t="n">
        <v>43493</v>
      </c>
      <c r="B2133" s="28" t="n">
        <v>43499</v>
      </c>
      <c r="C2133" s="21" t="n">
        <v>0</v>
      </c>
      <c r="D2133" s="21" t="n">
        <v>0</v>
      </c>
      <c r="E2133" s="21" t="n">
        <v>0</v>
      </c>
      <c r="F2133" s="21" t="n">
        <v>0</v>
      </c>
      <c r="G2133" s="30" t="s">
        <v>3432</v>
      </c>
    </row>
    <row r="2134" customFormat="false" ht="15" hidden="false" customHeight="false" outlineLevel="0" collapsed="false">
      <c r="A2134" s="28" t="n">
        <v>43500</v>
      </c>
      <c r="B2134" s="28" t="n">
        <v>43506</v>
      </c>
      <c r="C2134" s="21" t="n">
        <v>0</v>
      </c>
      <c r="D2134" s="21" t="n">
        <v>0</v>
      </c>
      <c r="E2134" s="21" t="n">
        <v>0</v>
      </c>
      <c r="F2134" s="21" t="n">
        <v>0</v>
      </c>
      <c r="G2134" s="30" t="s">
        <v>3432</v>
      </c>
    </row>
    <row r="2135" customFormat="false" ht="15" hidden="false" customHeight="false" outlineLevel="0" collapsed="false">
      <c r="A2135" s="28" t="n">
        <v>43507</v>
      </c>
      <c r="B2135" s="28" t="n">
        <v>43513</v>
      </c>
      <c r="C2135" s="21" t="n">
        <v>0</v>
      </c>
      <c r="D2135" s="21" t="n">
        <v>0</v>
      </c>
      <c r="E2135" s="21" t="n">
        <v>0</v>
      </c>
      <c r="F2135" s="21" t="n">
        <v>0</v>
      </c>
      <c r="G2135" s="30" t="s">
        <v>3432</v>
      </c>
    </row>
    <row r="2136" customFormat="false" ht="15" hidden="false" customHeight="false" outlineLevel="0" collapsed="false">
      <c r="A2136" s="28" t="n">
        <v>43514</v>
      </c>
      <c r="B2136" s="28" t="n">
        <v>43520</v>
      </c>
      <c r="C2136" s="21" t="n">
        <v>0</v>
      </c>
      <c r="D2136" s="21" t="n">
        <v>0</v>
      </c>
      <c r="E2136" s="21" t="n">
        <v>0</v>
      </c>
      <c r="F2136" s="21" t="n">
        <v>0</v>
      </c>
      <c r="G2136" s="30" t="s">
        <v>3432</v>
      </c>
    </row>
    <row r="2137" customFormat="false" ht="15" hidden="false" customHeight="false" outlineLevel="0" collapsed="false">
      <c r="A2137" s="28" t="n">
        <v>43521</v>
      </c>
      <c r="B2137" s="28" t="n">
        <v>43527</v>
      </c>
      <c r="C2137" s="21" t="n">
        <v>0</v>
      </c>
      <c r="D2137" s="21" t="n">
        <v>0</v>
      </c>
      <c r="E2137" s="21" t="n">
        <v>0</v>
      </c>
      <c r="F2137" s="21" t="n">
        <v>0</v>
      </c>
      <c r="G2137" s="30" t="s">
        <v>3432</v>
      </c>
    </row>
    <row r="2138" customFormat="false" ht="15" hidden="false" customHeight="false" outlineLevel="0" collapsed="false">
      <c r="A2138" s="28" t="n">
        <v>43528</v>
      </c>
      <c r="B2138" s="28" t="n">
        <v>43534</v>
      </c>
      <c r="C2138" s="21" t="n">
        <v>0</v>
      </c>
      <c r="D2138" s="21" t="n">
        <v>0</v>
      </c>
      <c r="E2138" s="21" t="n">
        <v>0</v>
      </c>
      <c r="F2138" s="21" t="n">
        <v>0</v>
      </c>
      <c r="G2138" s="30" t="s">
        <v>3432</v>
      </c>
    </row>
    <row r="2139" customFormat="false" ht="15" hidden="false" customHeight="false" outlineLevel="0" collapsed="false">
      <c r="A2139" s="28" t="n">
        <v>43535</v>
      </c>
      <c r="B2139" s="28" t="n">
        <v>43541</v>
      </c>
      <c r="C2139" s="21" t="n">
        <v>0</v>
      </c>
      <c r="D2139" s="21" t="n">
        <v>0</v>
      </c>
      <c r="E2139" s="21" t="n">
        <v>0</v>
      </c>
      <c r="F2139" s="21" t="n">
        <v>0</v>
      </c>
      <c r="G2139" s="30" t="s">
        <v>3432</v>
      </c>
    </row>
    <row r="2140" customFormat="false" ht="15" hidden="false" customHeight="false" outlineLevel="0" collapsed="false">
      <c r="A2140" s="28" t="n">
        <v>43542</v>
      </c>
      <c r="B2140" s="28" t="n">
        <v>43548</v>
      </c>
      <c r="C2140" s="21" t="n">
        <v>0</v>
      </c>
      <c r="D2140" s="21" t="n">
        <v>0</v>
      </c>
      <c r="E2140" s="21" t="n">
        <v>0</v>
      </c>
      <c r="F2140" s="21" t="n">
        <v>0</v>
      </c>
      <c r="G2140" s="30" t="s">
        <v>3432</v>
      </c>
    </row>
    <row r="2141" customFormat="false" ht="15" hidden="false" customHeight="false" outlineLevel="0" collapsed="false">
      <c r="A2141" s="28" t="n">
        <v>43549</v>
      </c>
      <c r="B2141" s="28" t="n">
        <v>43555</v>
      </c>
      <c r="C2141" s="21" t="n">
        <v>0</v>
      </c>
      <c r="D2141" s="21" t="n">
        <v>0</v>
      </c>
      <c r="E2141" s="21" t="n">
        <v>0</v>
      </c>
      <c r="F2141" s="21" t="n">
        <v>0</v>
      </c>
      <c r="G2141" s="30" t="s">
        <v>3432</v>
      </c>
    </row>
    <row r="2142" customFormat="false" ht="15" hidden="false" customHeight="false" outlineLevel="0" collapsed="false">
      <c r="A2142" s="28" t="n">
        <v>43556</v>
      </c>
      <c r="B2142" s="28" t="n">
        <v>43562</v>
      </c>
      <c r="C2142" s="21" t="n">
        <v>0</v>
      </c>
      <c r="D2142" s="21" t="n">
        <v>0</v>
      </c>
      <c r="E2142" s="21" t="n">
        <v>0</v>
      </c>
      <c r="F2142" s="21" t="n">
        <v>0</v>
      </c>
      <c r="G2142" s="30" t="s">
        <v>3432</v>
      </c>
    </row>
    <row r="2143" customFormat="false" ht="15" hidden="false" customHeight="false" outlineLevel="0" collapsed="false">
      <c r="A2143" s="28" t="n">
        <v>43563</v>
      </c>
      <c r="B2143" s="28" t="n">
        <v>43569</v>
      </c>
      <c r="C2143" s="21" t="n">
        <v>0</v>
      </c>
      <c r="D2143" s="21" t="n">
        <v>0</v>
      </c>
      <c r="E2143" s="21" t="n">
        <v>0</v>
      </c>
      <c r="F2143" s="21" t="n">
        <v>0</v>
      </c>
      <c r="G2143" s="30" t="s">
        <v>3432</v>
      </c>
    </row>
    <row r="2144" customFormat="false" ht="15" hidden="false" customHeight="false" outlineLevel="0" collapsed="false">
      <c r="A2144" s="28" t="n">
        <v>43570</v>
      </c>
      <c r="B2144" s="28" t="n">
        <v>43576</v>
      </c>
      <c r="C2144" s="21" t="n">
        <v>0</v>
      </c>
      <c r="D2144" s="21" t="n">
        <v>0</v>
      </c>
      <c r="E2144" s="21" t="n">
        <v>0</v>
      </c>
      <c r="F2144" s="21" t="n">
        <v>0</v>
      </c>
      <c r="G2144" s="30" t="s">
        <v>3432</v>
      </c>
    </row>
    <row r="2145" customFormat="false" ht="15" hidden="false" customHeight="false" outlineLevel="0" collapsed="false">
      <c r="A2145" s="28" t="n">
        <v>43577</v>
      </c>
      <c r="B2145" s="28" t="n">
        <v>43583</v>
      </c>
      <c r="C2145" s="21" t="n">
        <v>0</v>
      </c>
      <c r="D2145" s="21" t="n">
        <v>0</v>
      </c>
      <c r="E2145" s="21" t="n">
        <v>0</v>
      </c>
      <c r="F2145" s="21" t="n">
        <v>0</v>
      </c>
      <c r="G2145" s="30" t="s">
        <v>3432</v>
      </c>
    </row>
    <row r="2146" customFormat="false" ht="15" hidden="false" customHeight="false" outlineLevel="0" collapsed="false">
      <c r="A2146" s="28" t="n">
        <v>43584</v>
      </c>
      <c r="B2146" s="28" t="n">
        <v>43590</v>
      </c>
      <c r="C2146" s="21" t="n">
        <v>0</v>
      </c>
      <c r="D2146" s="21" t="n">
        <v>0</v>
      </c>
      <c r="E2146" s="21" t="n">
        <v>0</v>
      </c>
      <c r="F2146" s="21" t="n">
        <v>0</v>
      </c>
      <c r="G2146" s="30" t="s">
        <v>3432</v>
      </c>
    </row>
    <row r="2147" customFormat="false" ht="15" hidden="false" customHeight="false" outlineLevel="0" collapsed="false">
      <c r="A2147" s="28" t="n">
        <v>43591</v>
      </c>
      <c r="B2147" s="28" t="n">
        <v>43597</v>
      </c>
      <c r="C2147" s="21" t="n">
        <v>0</v>
      </c>
      <c r="D2147" s="21" t="n">
        <v>1</v>
      </c>
      <c r="E2147" s="21" t="n">
        <v>0</v>
      </c>
      <c r="F2147" s="21" t="n">
        <v>1</v>
      </c>
      <c r="G2147" s="29" t="s">
        <v>184</v>
      </c>
    </row>
    <row r="2148" customFormat="false" ht="15" hidden="false" customHeight="false" outlineLevel="0" collapsed="false">
      <c r="A2148" s="28" t="n">
        <v>43598</v>
      </c>
      <c r="B2148" s="28" t="n">
        <v>43604</v>
      </c>
      <c r="C2148" s="21" t="n">
        <v>0</v>
      </c>
      <c r="D2148" s="21" t="n">
        <v>0</v>
      </c>
      <c r="E2148" s="21" t="n">
        <v>0</v>
      </c>
      <c r="F2148" s="21" t="n">
        <v>0</v>
      </c>
      <c r="G2148" s="29" t="s">
        <v>184</v>
      </c>
    </row>
    <row r="2149" customFormat="false" ht="15" hidden="false" customHeight="false" outlineLevel="0" collapsed="false">
      <c r="A2149" s="28" t="n">
        <v>43605</v>
      </c>
      <c r="B2149" s="28" t="n">
        <v>43611</v>
      </c>
      <c r="C2149" s="21" t="n">
        <v>0</v>
      </c>
      <c r="D2149" s="21" t="n">
        <v>0</v>
      </c>
      <c r="E2149" s="21" t="n">
        <v>0</v>
      </c>
      <c r="F2149" s="21" t="n">
        <v>0</v>
      </c>
      <c r="G2149" s="30" t="s">
        <v>3432</v>
      </c>
    </row>
    <row r="2150" customFormat="false" ht="15" hidden="false" customHeight="false" outlineLevel="0" collapsed="false">
      <c r="A2150" s="28" t="n">
        <v>43612</v>
      </c>
      <c r="B2150" s="28" t="n">
        <v>43618</v>
      </c>
      <c r="C2150" s="21" t="n">
        <v>0</v>
      </c>
      <c r="D2150" s="21" t="n">
        <v>0</v>
      </c>
      <c r="E2150" s="21" t="n">
        <v>0</v>
      </c>
      <c r="F2150" s="21" t="n">
        <v>0</v>
      </c>
      <c r="G2150" s="30" t="s">
        <v>3432</v>
      </c>
    </row>
    <row r="2151" customFormat="false" ht="15" hidden="false" customHeight="false" outlineLevel="0" collapsed="false">
      <c r="A2151" s="28" t="n">
        <v>43619</v>
      </c>
      <c r="B2151" s="28" t="n">
        <v>43625</v>
      </c>
      <c r="C2151" s="21" t="n">
        <v>0</v>
      </c>
      <c r="D2151" s="21" t="n">
        <v>0</v>
      </c>
      <c r="E2151" s="21" t="n">
        <v>0</v>
      </c>
      <c r="F2151" s="21" t="n">
        <v>0</v>
      </c>
      <c r="G2151" s="30" t="s">
        <v>3432</v>
      </c>
    </row>
    <row r="2152" customFormat="false" ht="15" hidden="false" customHeight="false" outlineLevel="0" collapsed="false">
      <c r="A2152" s="28" t="n">
        <v>43626</v>
      </c>
      <c r="B2152" s="28" t="n">
        <v>43632</v>
      </c>
      <c r="C2152" s="21" t="n">
        <v>0</v>
      </c>
      <c r="D2152" s="21" t="n">
        <v>1</v>
      </c>
      <c r="E2152" s="21" t="n">
        <v>0</v>
      </c>
      <c r="F2152" s="21" t="n">
        <v>1</v>
      </c>
      <c r="G2152" s="29" t="s">
        <v>184</v>
      </c>
    </row>
    <row r="2153" customFormat="false" ht="15" hidden="false" customHeight="false" outlineLevel="0" collapsed="false">
      <c r="A2153" s="28" t="n">
        <v>43633</v>
      </c>
      <c r="B2153" s="28" t="n">
        <v>43639</v>
      </c>
      <c r="C2153" s="21" t="n">
        <v>1</v>
      </c>
      <c r="D2153" s="21" t="n">
        <v>0</v>
      </c>
      <c r="E2153" s="21" t="n">
        <v>0</v>
      </c>
      <c r="F2153" s="21" t="n">
        <v>2</v>
      </c>
      <c r="G2153" s="29" t="s">
        <v>184</v>
      </c>
    </row>
    <row r="2154" customFormat="false" ht="15" hidden="false" customHeight="false" outlineLevel="0" collapsed="false">
      <c r="A2154" s="28" t="n">
        <v>43640</v>
      </c>
      <c r="B2154" s="28" t="n">
        <v>43646</v>
      </c>
      <c r="C2154" s="21" t="n">
        <v>0</v>
      </c>
      <c r="D2154" s="21" t="n">
        <v>0</v>
      </c>
      <c r="E2154" s="21" t="n">
        <v>0</v>
      </c>
      <c r="F2154" s="21" t="n">
        <v>0</v>
      </c>
      <c r="G2154" s="29" t="s">
        <v>184</v>
      </c>
    </row>
    <row r="2155" customFormat="false" ht="15" hidden="false" customHeight="false" outlineLevel="0" collapsed="false">
      <c r="A2155" s="28" t="n">
        <v>43647</v>
      </c>
      <c r="B2155" s="28" t="n">
        <v>43653</v>
      </c>
      <c r="C2155" s="21" t="n">
        <v>0</v>
      </c>
      <c r="D2155" s="21" t="n">
        <v>0</v>
      </c>
      <c r="E2155" s="21" t="n">
        <v>0</v>
      </c>
      <c r="F2155" s="21" t="n">
        <v>0</v>
      </c>
      <c r="G2155" s="30" t="s">
        <v>3432</v>
      </c>
    </row>
    <row r="2156" customFormat="false" ht="15" hidden="false" customHeight="false" outlineLevel="0" collapsed="false">
      <c r="A2156" s="28" t="n">
        <v>43654</v>
      </c>
      <c r="B2156" s="28" t="n">
        <v>43660</v>
      </c>
      <c r="C2156" s="21" t="n">
        <v>0</v>
      </c>
      <c r="D2156" s="21" t="n">
        <v>0</v>
      </c>
      <c r="E2156" s="21" t="n">
        <v>0</v>
      </c>
      <c r="F2156" s="21" t="n">
        <v>0</v>
      </c>
      <c r="G2156" s="30" t="s">
        <v>3432</v>
      </c>
    </row>
    <row r="2157" customFormat="false" ht="15" hidden="false" customHeight="false" outlineLevel="0" collapsed="false">
      <c r="A2157" s="28" t="n">
        <v>43661</v>
      </c>
      <c r="B2157" s="28" t="n">
        <v>43667</v>
      </c>
      <c r="C2157" s="21" t="n">
        <v>1</v>
      </c>
      <c r="D2157" s="21" t="n">
        <v>0</v>
      </c>
      <c r="E2157" s="21" t="n">
        <v>0</v>
      </c>
      <c r="F2157" s="21" t="n">
        <v>2</v>
      </c>
      <c r="G2157" s="29" t="s">
        <v>184</v>
      </c>
    </row>
    <row r="2158" customFormat="false" ht="15" hidden="false" customHeight="false" outlineLevel="0" collapsed="false">
      <c r="A2158" s="28" t="n">
        <v>43668</v>
      </c>
      <c r="B2158" s="28" t="n">
        <v>43674</v>
      </c>
      <c r="C2158" s="21" t="n">
        <v>0</v>
      </c>
      <c r="D2158" s="21" t="n">
        <v>0</v>
      </c>
      <c r="E2158" s="21" t="n">
        <v>0</v>
      </c>
      <c r="F2158" s="21" t="n">
        <v>0</v>
      </c>
      <c r="G2158" s="29" t="s">
        <v>184</v>
      </c>
    </row>
    <row r="2159" customFormat="false" ht="15" hidden="false" customHeight="false" outlineLevel="0" collapsed="false">
      <c r="A2159" s="28" t="n">
        <v>43675</v>
      </c>
      <c r="B2159" s="28" t="n">
        <v>43681</v>
      </c>
      <c r="C2159" s="21" t="n">
        <v>0</v>
      </c>
      <c r="D2159" s="21" t="n">
        <v>0</v>
      </c>
      <c r="E2159" s="21" t="n">
        <v>0</v>
      </c>
      <c r="F2159" s="21" t="n">
        <v>0</v>
      </c>
      <c r="G2159" s="30" t="s">
        <v>3432</v>
      </c>
    </row>
    <row r="2160" customFormat="false" ht="15" hidden="false" customHeight="false" outlineLevel="0" collapsed="false">
      <c r="A2160" s="28" t="n">
        <v>43682</v>
      </c>
      <c r="B2160" s="28" t="n">
        <v>43688</v>
      </c>
      <c r="C2160" s="21" t="n">
        <v>0</v>
      </c>
      <c r="D2160" s="21" t="n">
        <v>0</v>
      </c>
      <c r="E2160" s="21" t="n">
        <v>0</v>
      </c>
      <c r="F2160" s="21" t="n">
        <v>0</v>
      </c>
      <c r="G2160" s="30" t="s">
        <v>3432</v>
      </c>
    </row>
    <row r="2161" customFormat="false" ht="15" hidden="false" customHeight="false" outlineLevel="0" collapsed="false">
      <c r="A2161" s="28" t="n">
        <v>43689</v>
      </c>
      <c r="B2161" s="28" t="n">
        <v>43695</v>
      </c>
      <c r="C2161" s="21" t="n">
        <v>0</v>
      </c>
      <c r="D2161" s="21" t="n">
        <v>0</v>
      </c>
      <c r="E2161" s="21" t="n">
        <v>0</v>
      </c>
      <c r="F2161" s="21" t="n">
        <v>0</v>
      </c>
      <c r="G2161" s="30" t="s">
        <v>3432</v>
      </c>
    </row>
    <row r="2162" customFormat="false" ht="15" hidden="false" customHeight="false" outlineLevel="0" collapsed="false">
      <c r="A2162" s="28" t="n">
        <v>43696</v>
      </c>
      <c r="B2162" s="28" t="n">
        <v>43702</v>
      </c>
      <c r="C2162" s="21" t="n">
        <v>0</v>
      </c>
      <c r="D2162" s="21" t="n">
        <v>0</v>
      </c>
      <c r="E2162" s="21" t="n">
        <v>0</v>
      </c>
      <c r="F2162" s="21" t="n">
        <v>0</v>
      </c>
      <c r="G2162" s="30" t="s">
        <v>3432</v>
      </c>
    </row>
    <row r="2163" customFormat="false" ht="15" hidden="false" customHeight="false" outlineLevel="0" collapsed="false">
      <c r="A2163" s="28" t="n">
        <v>43703</v>
      </c>
      <c r="B2163" s="28" t="n">
        <v>43709</v>
      </c>
      <c r="C2163" s="21" t="n">
        <v>0</v>
      </c>
      <c r="D2163" s="21" t="n">
        <v>0</v>
      </c>
      <c r="E2163" s="21" t="n">
        <v>0</v>
      </c>
      <c r="F2163" s="21" t="n">
        <v>0</v>
      </c>
      <c r="G2163" s="30" t="s">
        <v>3432</v>
      </c>
    </row>
    <row r="2164" customFormat="false" ht="15" hidden="false" customHeight="false" outlineLevel="0" collapsed="false">
      <c r="A2164" s="28" t="n">
        <v>43710</v>
      </c>
      <c r="B2164" s="28" t="n">
        <v>43716</v>
      </c>
      <c r="C2164" s="21" t="n">
        <v>0</v>
      </c>
      <c r="D2164" s="21" t="n">
        <v>0</v>
      </c>
      <c r="E2164" s="21" t="n">
        <v>0</v>
      </c>
      <c r="F2164" s="21" t="n">
        <v>0</v>
      </c>
      <c r="G2164" s="30" t="s">
        <v>3432</v>
      </c>
    </row>
    <row r="2165" customFormat="false" ht="15" hidden="false" customHeight="false" outlineLevel="0" collapsed="false">
      <c r="A2165" s="28" t="n">
        <v>43717</v>
      </c>
      <c r="B2165" s="28" t="n">
        <v>43723</v>
      </c>
      <c r="C2165" s="21" t="n">
        <v>1</v>
      </c>
      <c r="D2165" s="21" t="n">
        <v>0</v>
      </c>
      <c r="E2165" s="21" t="n">
        <v>0</v>
      </c>
      <c r="F2165" s="21" t="n">
        <v>2</v>
      </c>
      <c r="G2165" s="29" t="s">
        <v>184</v>
      </c>
    </row>
    <row r="2166" customFormat="false" ht="15" hidden="false" customHeight="false" outlineLevel="0" collapsed="false">
      <c r="A2166" s="28" t="n">
        <v>43724</v>
      </c>
      <c r="B2166" s="28" t="n">
        <v>43730</v>
      </c>
      <c r="C2166" s="21" t="n">
        <v>0</v>
      </c>
      <c r="D2166" s="21" t="n">
        <v>0</v>
      </c>
      <c r="E2166" s="21" t="n">
        <v>0</v>
      </c>
      <c r="F2166" s="21" t="n">
        <v>0</v>
      </c>
      <c r="G2166" s="29" t="s">
        <v>184</v>
      </c>
    </row>
    <row r="2167" customFormat="false" ht="15" hidden="false" customHeight="false" outlineLevel="0" collapsed="false">
      <c r="A2167" s="28" t="n">
        <v>43731</v>
      </c>
      <c r="B2167" s="28" t="n">
        <v>43737</v>
      </c>
      <c r="C2167" s="21" t="n">
        <v>0</v>
      </c>
      <c r="D2167" s="21" t="n">
        <v>0</v>
      </c>
      <c r="E2167" s="21" t="n">
        <v>0</v>
      </c>
      <c r="F2167" s="21" t="n">
        <v>0</v>
      </c>
      <c r="G2167" s="30" t="s">
        <v>3432</v>
      </c>
    </row>
    <row r="2168" customFormat="false" ht="15" hidden="false" customHeight="false" outlineLevel="0" collapsed="false">
      <c r="A2168" s="28" t="n">
        <v>43738</v>
      </c>
      <c r="B2168" s="28" t="n">
        <v>43744</v>
      </c>
      <c r="C2168" s="21" t="n">
        <v>0</v>
      </c>
      <c r="D2168" s="21" t="n">
        <v>0</v>
      </c>
      <c r="E2168" s="21" t="n">
        <v>0</v>
      </c>
      <c r="F2168" s="21" t="n">
        <v>0</v>
      </c>
      <c r="G2168" s="30" t="s">
        <v>3432</v>
      </c>
    </row>
    <row r="2169" customFormat="false" ht="15" hidden="false" customHeight="false" outlineLevel="0" collapsed="false">
      <c r="A2169" s="28" t="n">
        <v>43745</v>
      </c>
      <c r="B2169" s="28" t="n">
        <v>43751</v>
      </c>
      <c r="C2169" s="21" t="n">
        <v>0</v>
      </c>
      <c r="D2169" s="21" t="n">
        <v>0</v>
      </c>
      <c r="E2169" s="21" t="n">
        <v>0</v>
      </c>
      <c r="F2169" s="21" t="n">
        <v>0</v>
      </c>
      <c r="G2169" s="30" t="s">
        <v>3432</v>
      </c>
    </row>
    <row r="2170" customFormat="false" ht="15" hidden="false" customHeight="false" outlineLevel="0" collapsed="false">
      <c r="A2170" s="28" t="n">
        <v>43752</v>
      </c>
      <c r="B2170" s="28" t="n">
        <v>43758</v>
      </c>
      <c r="C2170" s="21" t="n">
        <v>0</v>
      </c>
      <c r="D2170" s="21" t="n">
        <v>0</v>
      </c>
      <c r="E2170" s="21" t="n">
        <v>0</v>
      </c>
      <c r="F2170" s="21" t="n">
        <v>0</v>
      </c>
      <c r="G2170" s="30" t="s">
        <v>3432</v>
      </c>
    </row>
    <row r="2171" customFormat="false" ht="15" hidden="false" customHeight="false" outlineLevel="0" collapsed="false">
      <c r="A2171" s="28" t="n">
        <v>43759</v>
      </c>
      <c r="B2171" s="28" t="n">
        <v>43765</v>
      </c>
      <c r="C2171" s="21" t="n">
        <v>0</v>
      </c>
      <c r="D2171" s="21" t="n">
        <v>0</v>
      </c>
      <c r="E2171" s="21" t="n">
        <v>0</v>
      </c>
      <c r="F2171" s="21" t="n">
        <v>0</v>
      </c>
      <c r="G2171" s="30" t="s">
        <v>3432</v>
      </c>
    </row>
    <row r="2172" customFormat="false" ht="15" hidden="false" customHeight="false" outlineLevel="0" collapsed="false">
      <c r="A2172" s="28" t="n">
        <v>43766</v>
      </c>
      <c r="B2172" s="28" t="n">
        <v>43772</v>
      </c>
      <c r="C2172" s="21" t="n">
        <v>0</v>
      </c>
      <c r="D2172" s="21" t="n">
        <v>0</v>
      </c>
      <c r="E2172" s="21" t="n">
        <v>0</v>
      </c>
      <c r="F2172" s="21" t="n">
        <v>0</v>
      </c>
      <c r="G2172" s="30" t="s">
        <v>3432</v>
      </c>
    </row>
    <row r="2173" customFormat="false" ht="15" hidden="false" customHeight="false" outlineLevel="0" collapsed="false">
      <c r="A2173" s="28" t="n">
        <v>43773</v>
      </c>
      <c r="B2173" s="28" t="n">
        <v>43779</v>
      </c>
      <c r="C2173" s="21" t="n">
        <v>0</v>
      </c>
      <c r="D2173" s="21" t="n">
        <v>0</v>
      </c>
      <c r="E2173" s="21" t="n">
        <v>0</v>
      </c>
      <c r="F2173" s="21" t="n">
        <v>0</v>
      </c>
      <c r="G2173" s="30" t="s">
        <v>3432</v>
      </c>
    </row>
    <row r="2174" customFormat="false" ht="15" hidden="false" customHeight="false" outlineLevel="0" collapsed="false">
      <c r="A2174" s="28" t="n">
        <v>43780</v>
      </c>
      <c r="B2174" s="28" t="n">
        <v>43786</v>
      </c>
      <c r="C2174" s="21" t="n">
        <v>0</v>
      </c>
      <c r="D2174" s="21" t="n">
        <v>0</v>
      </c>
      <c r="E2174" s="21" t="n">
        <v>0</v>
      </c>
      <c r="F2174" s="21" t="n">
        <v>0</v>
      </c>
      <c r="G2174" s="30" t="s">
        <v>3432</v>
      </c>
    </row>
    <row r="2175" customFormat="false" ht="15" hidden="false" customHeight="false" outlineLevel="0" collapsed="false">
      <c r="A2175" s="28" t="n">
        <v>43787</v>
      </c>
      <c r="B2175" s="28" t="n">
        <v>43793</v>
      </c>
      <c r="C2175" s="21" t="n">
        <v>0</v>
      </c>
      <c r="D2175" s="21" t="n">
        <v>0</v>
      </c>
      <c r="E2175" s="21" t="n">
        <v>0</v>
      </c>
      <c r="F2175" s="21" t="n">
        <v>0</v>
      </c>
      <c r="G2175" s="30" t="s">
        <v>3432</v>
      </c>
    </row>
    <row r="2176" customFormat="false" ht="15" hidden="false" customHeight="false" outlineLevel="0" collapsed="false">
      <c r="A2176" s="28" t="n">
        <v>43794</v>
      </c>
      <c r="B2176" s="28" t="n">
        <v>43800</v>
      </c>
      <c r="C2176" s="21" t="n">
        <v>0</v>
      </c>
      <c r="D2176" s="21" t="n">
        <v>0</v>
      </c>
      <c r="E2176" s="21" t="n">
        <v>0</v>
      </c>
      <c r="F2176" s="21" t="n">
        <v>0</v>
      </c>
      <c r="G2176" s="30" t="s">
        <v>3432</v>
      </c>
    </row>
    <row r="2177" customFormat="false" ht="15" hidden="false" customHeight="false" outlineLevel="0" collapsed="false">
      <c r="A2177" s="28" t="n">
        <v>43801</v>
      </c>
      <c r="B2177" s="28" t="n">
        <v>43807</v>
      </c>
      <c r="C2177" s="21" t="n">
        <v>0</v>
      </c>
      <c r="D2177" s="21" t="n">
        <v>0</v>
      </c>
      <c r="E2177" s="21" t="n">
        <v>0</v>
      </c>
      <c r="F2177" s="21" t="n">
        <v>0</v>
      </c>
      <c r="G2177" s="30" t="s">
        <v>3432</v>
      </c>
    </row>
    <row r="2178" customFormat="false" ht="15" hidden="false" customHeight="false" outlineLevel="0" collapsed="false">
      <c r="A2178" s="28" t="n">
        <v>43808</v>
      </c>
      <c r="B2178" s="28" t="n">
        <v>43814</v>
      </c>
      <c r="C2178" s="21" t="n">
        <v>0</v>
      </c>
      <c r="D2178" s="21" t="n">
        <v>0</v>
      </c>
      <c r="E2178" s="21" t="n">
        <v>0</v>
      </c>
      <c r="F2178" s="21" t="n">
        <v>0</v>
      </c>
      <c r="G2178" s="30" t="s">
        <v>3432</v>
      </c>
    </row>
    <row r="2179" customFormat="false" ht="15" hidden="false" customHeight="false" outlineLevel="0" collapsed="false">
      <c r="A2179" s="28" t="n">
        <v>43815</v>
      </c>
      <c r="B2179" s="28" t="n">
        <v>43821</v>
      </c>
      <c r="C2179" s="21" t="n">
        <v>0</v>
      </c>
      <c r="D2179" s="21" t="n">
        <v>0</v>
      </c>
      <c r="E2179" s="21" t="n">
        <v>0</v>
      </c>
      <c r="F2179" s="21" t="n">
        <v>0</v>
      </c>
      <c r="G2179" s="30" t="s">
        <v>3432</v>
      </c>
    </row>
    <row r="2180" customFormat="false" ht="15" hidden="false" customHeight="false" outlineLevel="0" collapsed="false">
      <c r="A2180" s="28" t="n">
        <v>43822</v>
      </c>
      <c r="B2180" s="28" t="n">
        <v>43828</v>
      </c>
      <c r="C2180" s="21" t="n">
        <v>2</v>
      </c>
      <c r="D2180" s="21" t="n">
        <v>0</v>
      </c>
      <c r="E2180" s="21" t="n">
        <v>2</v>
      </c>
      <c r="F2180" s="21" t="n">
        <v>8</v>
      </c>
      <c r="G2180" s="31" t="s">
        <v>89</v>
      </c>
    </row>
    <row r="2181" customFormat="false" ht="15" hidden="false" customHeight="false" outlineLevel="0" collapsed="false">
      <c r="A2181" s="28" t="n">
        <v>43829</v>
      </c>
      <c r="B2181" s="28" t="n">
        <v>43835</v>
      </c>
      <c r="C2181" s="21" t="n">
        <v>2</v>
      </c>
      <c r="D2181" s="21" t="n">
        <v>0</v>
      </c>
      <c r="E2181" s="21" t="n">
        <v>1</v>
      </c>
      <c r="F2181" s="21" t="n">
        <v>6</v>
      </c>
      <c r="G2181" s="32" t="s">
        <v>56</v>
      </c>
    </row>
    <row r="2182" customFormat="false" ht="15" hidden="false" customHeight="false" outlineLevel="0" collapsed="false">
      <c r="A2182" s="28" t="n">
        <v>43836</v>
      </c>
      <c r="B2182" s="28" t="n">
        <v>43842</v>
      </c>
      <c r="C2182" s="21" t="n">
        <v>1</v>
      </c>
      <c r="D2182" s="21" t="n">
        <v>0</v>
      </c>
      <c r="E2182" s="21" t="n">
        <v>0</v>
      </c>
      <c r="F2182" s="21" t="n">
        <v>2</v>
      </c>
      <c r="G2182" s="31" t="s">
        <v>89</v>
      </c>
    </row>
    <row r="2183" customFormat="false" ht="15" hidden="false" customHeight="false" outlineLevel="0" collapsed="false">
      <c r="A2183" s="28" t="n">
        <v>43843</v>
      </c>
      <c r="B2183" s="28" t="n">
        <v>43849</v>
      </c>
      <c r="C2183" s="21" t="n">
        <v>0</v>
      </c>
      <c r="D2183" s="21" t="n">
        <v>0</v>
      </c>
      <c r="E2183" s="21" t="n">
        <v>0</v>
      </c>
      <c r="F2183" s="21" t="n">
        <v>0</v>
      </c>
      <c r="G2183" s="29" t="s">
        <v>184</v>
      </c>
    </row>
    <row r="2184" customFormat="false" ht="15" hidden="false" customHeight="false" outlineLevel="0" collapsed="false">
      <c r="A2184" s="28" t="n">
        <v>43850</v>
      </c>
      <c r="B2184" s="28" t="n">
        <v>43856</v>
      </c>
      <c r="C2184" s="21" t="n">
        <v>0</v>
      </c>
      <c r="D2184" s="21" t="n">
        <v>0</v>
      </c>
      <c r="E2184" s="21" t="n">
        <v>0</v>
      </c>
      <c r="F2184" s="21" t="n">
        <v>0</v>
      </c>
      <c r="G2184" s="30" t="s">
        <v>3432</v>
      </c>
    </row>
    <row r="2185" customFormat="false" ht="15" hidden="false" customHeight="false" outlineLevel="0" collapsed="false">
      <c r="A2185" s="28" t="n">
        <v>43857</v>
      </c>
      <c r="B2185" s="28" t="n">
        <v>43863</v>
      </c>
      <c r="C2185" s="21" t="n">
        <v>0</v>
      </c>
      <c r="D2185" s="21" t="n">
        <v>0</v>
      </c>
      <c r="E2185" s="21" t="n">
        <v>0</v>
      </c>
      <c r="F2185" s="21" t="n">
        <v>0</v>
      </c>
      <c r="G2185" s="30" t="s">
        <v>3432</v>
      </c>
    </row>
    <row r="2186" customFormat="false" ht="15" hidden="false" customHeight="false" outlineLevel="0" collapsed="false">
      <c r="A2186" s="28" t="n">
        <v>43864</v>
      </c>
      <c r="B2186" s="28" t="n">
        <v>43870</v>
      </c>
      <c r="C2186" s="21" t="n">
        <v>0</v>
      </c>
      <c r="D2186" s="21" t="n">
        <v>0</v>
      </c>
      <c r="E2186" s="21" t="n">
        <v>0</v>
      </c>
      <c r="F2186" s="21" t="n">
        <v>0</v>
      </c>
      <c r="G2186" s="30" t="s">
        <v>3432</v>
      </c>
    </row>
    <row r="2187" customFormat="false" ht="15" hidden="false" customHeight="false" outlineLevel="0" collapsed="false">
      <c r="A2187" s="28" t="n">
        <v>43871</v>
      </c>
      <c r="B2187" s="28" t="n">
        <v>43877</v>
      </c>
      <c r="C2187" s="21" t="n">
        <v>0</v>
      </c>
      <c r="D2187" s="21" t="n">
        <v>1</v>
      </c>
      <c r="E2187" s="21" t="n">
        <v>0</v>
      </c>
      <c r="F2187" s="21" t="n">
        <v>1</v>
      </c>
      <c r="G2187" s="29" t="s">
        <v>184</v>
      </c>
    </row>
    <row r="2188" customFormat="false" ht="15" hidden="false" customHeight="false" outlineLevel="0" collapsed="false">
      <c r="A2188" s="28" t="n">
        <v>43878</v>
      </c>
      <c r="B2188" s="28" t="n">
        <v>43884</v>
      </c>
      <c r="C2188" s="21" t="n">
        <v>0</v>
      </c>
      <c r="D2188" s="21" t="n">
        <v>0</v>
      </c>
      <c r="E2188" s="21" t="n">
        <v>0</v>
      </c>
      <c r="F2188" s="21" t="n">
        <v>0</v>
      </c>
      <c r="G2188" s="29" t="s">
        <v>184</v>
      </c>
    </row>
    <row r="2189" customFormat="false" ht="15" hidden="false" customHeight="false" outlineLevel="0" collapsed="false">
      <c r="A2189" s="28" t="n">
        <v>43885</v>
      </c>
      <c r="B2189" s="28" t="n">
        <v>43891</v>
      </c>
      <c r="C2189" s="21" t="n">
        <v>0</v>
      </c>
      <c r="D2189" s="21" t="n">
        <v>0</v>
      </c>
      <c r="E2189" s="21" t="n">
        <v>0</v>
      </c>
      <c r="F2189" s="21" t="n">
        <v>0</v>
      </c>
      <c r="G2189" s="30" t="s">
        <v>3432</v>
      </c>
    </row>
    <row r="2190" customFormat="false" ht="15" hidden="false" customHeight="false" outlineLevel="0" collapsed="false">
      <c r="A2190" s="28" t="n">
        <v>43892</v>
      </c>
      <c r="B2190" s="28" t="n">
        <v>43898</v>
      </c>
      <c r="C2190" s="21" t="n">
        <v>0</v>
      </c>
      <c r="D2190" s="21" t="n">
        <v>0</v>
      </c>
      <c r="E2190" s="21" t="n">
        <v>0</v>
      </c>
      <c r="F2190" s="21" t="n">
        <v>0</v>
      </c>
      <c r="G2190" s="30" t="s">
        <v>3432</v>
      </c>
    </row>
    <row r="2191" customFormat="false" ht="15" hidden="false" customHeight="false" outlineLevel="0" collapsed="false">
      <c r="A2191" s="28" t="n">
        <v>43899</v>
      </c>
      <c r="B2191" s="28" t="n">
        <v>43905</v>
      </c>
      <c r="C2191" s="21" t="n">
        <v>3</v>
      </c>
      <c r="D2191" s="21" t="n">
        <v>0</v>
      </c>
      <c r="E2191" s="21" t="n">
        <v>1</v>
      </c>
      <c r="F2191" s="21" t="n">
        <v>8</v>
      </c>
      <c r="G2191" s="31" t="s">
        <v>89</v>
      </c>
    </row>
    <row r="2192" customFormat="false" ht="15" hidden="false" customHeight="false" outlineLevel="0" collapsed="false">
      <c r="A2192" s="28" t="n">
        <v>43906</v>
      </c>
      <c r="B2192" s="28" t="n">
        <v>43912</v>
      </c>
      <c r="C2192" s="21" t="n">
        <v>0</v>
      </c>
      <c r="D2192" s="21" t="n">
        <v>0</v>
      </c>
      <c r="E2192" s="21" t="n">
        <v>0</v>
      </c>
      <c r="F2192" s="21" t="n">
        <v>0</v>
      </c>
      <c r="G2192" s="31" t="s">
        <v>89</v>
      </c>
    </row>
    <row r="2193" customFormat="false" ht="15" hidden="false" customHeight="false" outlineLevel="0" collapsed="false">
      <c r="A2193" s="28" t="n">
        <v>43913</v>
      </c>
      <c r="B2193" s="28" t="n">
        <v>43919</v>
      </c>
      <c r="C2193" s="21" t="n">
        <v>0</v>
      </c>
      <c r="D2193" s="21" t="n">
        <v>0</v>
      </c>
      <c r="E2193" s="21" t="n">
        <v>0</v>
      </c>
      <c r="F2193" s="21" t="n">
        <v>0</v>
      </c>
      <c r="G2193" s="30" t="s">
        <v>3432</v>
      </c>
    </row>
    <row r="2194" customFormat="false" ht="15" hidden="false" customHeight="false" outlineLevel="0" collapsed="false">
      <c r="A2194" s="28" t="n">
        <v>43920</v>
      </c>
      <c r="B2194" s="28" t="n">
        <v>43926</v>
      </c>
      <c r="C2194" s="21" t="n">
        <v>0</v>
      </c>
      <c r="D2194" s="21" t="n">
        <v>0</v>
      </c>
      <c r="E2194" s="21" t="n">
        <v>0</v>
      </c>
      <c r="F2194" s="21" t="n">
        <v>0</v>
      </c>
      <c r="G2194" s="30" t="s">
        <v>3432</v>
      </c>
    </row>
    <row r="2195" customFormat="false" ht="15" hidden="false" customHeight="false" outlineLevel="0" collapsed="false">
      <c r="A2195" s="28" t="n">
        <v>43927</v>
      </c>
      <c r="B2195" s="28" t="n">
        <v>43933</v>
      </c>
      <c r="C2195" s="21" t="n">
        <v>0</v>
      </c>
      <c r="D2195" s="21" t="n">
        <v>0</v>
      </c>
      <c r="E2195" s="21" t="n">
        <v>0</v>
      </c>
      <c r="F2195" s="21" t="n">
        <v>0</v>
      </c>
      <c r="G2195" s="30" t="s">
        <v>3432</v>
      </c>
    </row>
    <row r="2196" customFormat="false" ht="15" hidden="false" customHeight="false" outlineLevel="0" collapsed="false">
      <c r="A2196" s="28" t="n">
        <v>43934</v>
      </c>
      <c r="B2196" s="28" t="n">
        <v>43940</v>
      </c>
      <c r="C2196" s="21" t="n">
        <v>0</v>
      </c>
      <c r="D2196" s="21" t="n">
        <v>0</v>
      </c>
      <c r="E2196" s="21" t="n">
        <v>0</v>
      </c>
      <c r="F2196" s="21" t="n">
        <v>0</v>
      </c>
      <c r="G2196" s="30" t="s">
        <v>3432</v>
      </c>
    </row>
    <row r="2197" customFormat="false" ht="15" hidden="false" customHeight="false" outlineLevel="0" collapsed="false">
      <c r="A2197" s="28" t="n">
        <v>43941</v>
      </c>
      <c r="B2197" s="28" t="n">
        <v>43947</v>
      </c>
      <c r="C2197" s="21" t="n">
        <v>0</v>
      </c>
      <c r="D2197" s="21" t="n">
        <v>0</v>
      </c>
      <c r="E2197" s="21" t="n">
        <v>0</v>
      </c>
      <c r="F2197" s="21" t="n">
        <v>0</v>
      </c>
      <c r="G2197" s="30" t="s">
        <v>3432</v>
      </c>
    </row>
    <row r="2198" customFormat="false" ht="15" hidden="false" customHeight="false" outlineLevel="0" collapsed="false">
      <c r="A2198" s="28" t="n">
        <v>43948</v>
      </c>
      <c r="B2198" s="28" t="n">
        <v>43954</v>
      </c>
      <c r="C2198" s="21" t="n">
        <v>0</v>
      </c>
      <c r="D2198" s="21" t="n">
        <v>0</v>
      </c>
      <c r="E2198" s="21" t="n">
        <v>0</v>
      </c>
      <c r="F2198" s="21" t="n">
        <v>0</v>
      </c>
      <c r="G2198" s="30" t="s">
        <v>3432</v>
      </c>
    </row>
    <row r="2199" customFormat="false" ht="15" hidden="false" customHeight="false" outlineLevel="0" collapsed="false">
      <c r="A2199" s="28" t="n">
        <v>43955</v>
      </c>
      <c r="B2199" s="28" t="n">
        <v>43961</v>
      </c>
      <c r="C2199" s="21" t="n">
        <v>0</v>
      </c>
      <c r="D2199" s="21" t="n">
        <v>0</v>
      </c>
      <c r="E2199" s="21" t="n">
        <v>0</v>
      </c>
      <c r="F2199" s="21" t="n">
        <v>0</v>
      </c>
      <c r="G2199" s="30" t="s">
        <v>3432</v>
      </c>
    </row>
    <row r="2200" customFormat="false" ht="15" hidden="false" customHeight="false" outlineLevel="0" collapsed="false">
      <c r="A2200" s="28" t="n">
        <v>43962</v>
      </c>
      <c r="B2200" s="28" t="n">
        <v>43968</v>
      </c>
      <c r="C2200" s="21" t="n">
        <v>0</v>
      </c>
      <c r="D2200" s="21" t="n">
        <v>0</v>
      </c>
      <c r="E2200" s="21" t="n">
        <v>0</v>
      </c>
      <c r="F2200" s="21" t="n">
        <v>0</v>
      </c>
      <c r="G2200" s="30" t="s">
        <v>3432</v>
      </c>
    </row>
    <row r="2201" customFormat="false" ht="15" hidden="false" customHeight="false" outlineLevel="0" collapsed="false">
      <c r="A2201" s="28" t="n">
        <v>43969</v>
      </c>
      <c r="B2201" s="28" t="n">
        <v>43975</v>
      </c>
      <c r="C2201" s="21" t="n">
        <v>0</v>
      </c>
      <c r="D2201" s="21" t="n">
        <v>0</v>
      </c>
      <c r="E2201" s="21" t="n">
        <v>0</v>
      </c>
      <c r="F2201" s="21" t="n">
        <v>0</v>
      </c>
      <c r="G2201" s="30" t="s">
        <v>3432</v>
      </c>
    </row>
    <row r="2202" customFormat="false" ht="15" hidden="false" customHeight="false" outlineLevel="0" collapsed="false">
      <c r="A2202" s="28" t="n">
        <v>43976</v>
      </c>
      <c r="B2202" s="28" t="n">
        <v>43982</v>
      </c>
      <c r="C2202" s="21" t="n">
        <v>0</v>
      </c>
      <c r="D2202" s="21" t="n">
        <v>0</v>
      </c>
      <c r="E2202" s="21" t="n">
        <v>0</v>
      </c>
      <c r="F2202" s="21" t="n">
        <v>0</v>
      </c>
      <c r="G2202" s="30" t="s">
        <v>3432</v>
      </c>
    </row>
    <row r="2203" customFormat="false" ht="15" hidden="false" customHeight="false" outlineLevel="0" collapsed="false">
      <c r="A2203" s="28" t="n">
        <v>43983</v>
      </c>
      <c r="B2203" s="28" t="n">
        <v>43989</v>
      </c>
      <c r="C2203" s="21" t="n">
        <v>0</v>
      </c>
      <c r="D2203" s="21" t="n">
        <v>0</v>
      </c>
      <c r="E2203" s="21" t="n">
        <v>0</v>
      </c>
      <c r="F2203" s="21" t="n">
        <v>0</v>
      </c>
      <c r="G2203" s="30" t="s">
        <v>3432</v>
      </c>
    </row>
    <row r="2204" customFormat="false" ht="15" hidden="false" customHeight="false" outlineLevel="0" collapsed="false">
      <c r="A2204" s="28" t="n">
        <v>43990</v>
      </c>
      <c r="B2204" s="28" t="n">
        <v>43996</v>
      </c>
      <c r="C2204" s="21" t="n">
        <v>0</v>
      </c>
      <c r="D2204" s="21" t="n">
        <v>0</v>
      </c>
      <c r="E2204" s="21" t="n">
        <v>0</v>
      </c>
      <c r="F2204" s="21" t="n">
        <v>0</v>
      </c>
      <c r="G2204" s="30" t="s">
        <v>3432</v>
      </c>
    </row>
    <row r="2205" customFormat="false" ht="15" hidden="false" customHeight="false" outlineLevel="0" collapsed="false">
      <c r="A2205" s="28" t="n">
        <v>43997</v>
      </c>
      <c r="B2205" s="28" t="n">
        <v>44003</v>
      </c>
      <c r="C2205" s="21" t="n">
        <v>0</v>
      </c>
      <c r="D2205" s="21" t="n">
        <v>0</v>
      </c>
      <c r="E2205" s="21" t="n">
        <v>0</v>
      </c>
      <c r="F2205" s="21" t="n">
        <v>0</v>
      </c>
      <c r="G2205" s="30" t="s">
        <v>3432</v>
      </c>
    </row>
    <row r="2206" customFormat="false" ht="15" hidden="false" customHeight="false" outlineLevel="0" collapsed="false">
      <c r="A2206" s="28" t="n">
        <v>44004</v>
      </c>
      <c r="B2206" s="28" t="n">
        <v>44010</v>
      </c>
      <c r="C2206" s="21" t="n">
        <v>0</v>
      </c>
      <c r="D2206" s="21" t="n">
        <v>0</v>
      </c>
      <c r="E2206" s="21" t="n">
        <v>0</v>
      </c>
      <c r="F2206" s="21" t="n">
        <v>0</v>
      </c>
      <c r="G2206" s="30" t="s">
        <v>3432</v>
      </c>
    </row>
    <row r="2207" customFormat="false" ht="15" hidden="false" customHeight="false" outlineLevel="0" collapsed="false">
      <c r="A2207" s="28" t="n">
        <v>44011</v>
      </c>
      <c r="B2207" s="28" t="n">
        <v>44017</v>
      </c>
      <c r="C2207" s="21" t="n">
        <v>0</v>
      </c>
      <c r="D2207" s="21" t="n">
        <v>0</v>
      </c>
      <c r="E2207" s="21" t="n">
        <v>0</v>
      </c>
      <c r="F2207" s="21" t="n">
        <v>0</v>
      </c>
      <c r="G2207" s="30" t="s">
        <v>3432</v>
      </c>
    </row>
    <row r="2208" customFormat="false" ht="15" hidden="false" customHeight="false" outlineLevel="0" collapsed="false">
      <c r="A2208" s="28" t="n">
        <v>44018</v>
      </c>
      <c r="B2208" s="28" t="n">
        <v>44024</v>
      </c>
      <c r="C2208" s="21" t="n">
        <v>0</v>
      </c>
      <c r="D2208" s="21" t="n">
        <v>0</v>
      </c>
      <c r="E2208" s="21" t="n">
        <v>0</v>
      </c>
      <c r="F2208" s="21" t="n">
        <v>0</v>
      </c>
      <c r="G2208" s="30" t="s">
        <v>3432</v>
      </c>
    </row>
    <row r="2209" customFormat="false" ht="15" hidden="false" customHeight="false" outlineLevel="0" collapsed="false">
      <c r="A2209" s="28" t="n">
        <v>44025</v>
      </c>
      <c r="B2209" s="28" t="n">
        <v>44031</v>
      </c>
      <c r="C2209" s="21" t="n">
        <v>0</v>
      </c>
      <c r="D2209" s="21" t="n">
        <v>0</v>
      </c>
      <c r="E2209" s="21" t="n">
        <v>0</v>
      </c>
      <c r="F2209" s="21" t="n">
        <v>0</v>
      </c>
      <c r="G2209" s="30" t="s">
        <v>3432</v>
      </c>
    </row>
    <row r="2210" customFormat="false" ht="15" hidden="false" customHeight="false" outlineLevel="0" collapsed="false">
      <c r="A2210" s="28" t="n">
        <v>44032</v>
      </c>
      <c r="B2210" s="28" t="n">
        <v>44038</v>
      </c>
      <c r="C2210" s="21" t="n">
        <v>0</v>
      </c>
      <c r="D2210" s="21" t="n">
        <v>0</v>
      </c>
      <c r="E2210" s="21" t="n">
        <v>0</v>
      </c>
      <c r="F2210" s="21" t="n">
        <v>0</v>
      </c>
      <c r="G2210" s="30" t="s">
        <v>3432</v>
      </c>
    </row>
    <row r="2211" customFormat="false" ht="15" hidden="false" customHeight="false" outlineLevel="0" collapsed="false">
      <c r="A2211" s="28" t="n">
        <v>44039</v>
      </c>
      <c r="B2211" s="28" t="n">
        <v>44045</v>
      </c>
      <c r="C2211" s="21" t="n">
        <v>0</v>
      </c>
      <c r="D2211" s="21" t="n">
        <v>0</v>
      </c>
      <c r="E2211" s="21" t="n">
        <v>0</v>
      </c>
      <c r="F2211" s="21" t="n">
        <v>0</v>
      </c>
      <c r="G2211" s="30" t="s">
        <v>3432</v>
      </c>
    </row>
    <row r="2212" customFormat="false" ht="15" hidden="false" customHeight="false" outlineLevel="0" collapsed="false">
      <c r="A2212" s="28" t="n">
        <v>44046</v>
      </c>
      <c r="B2212" s="28" t="n">
        <v>44052</v>
      </c>
      <c r="C2212" s="21" t="n">
        <v>0</v>
      </c>
      <c r="D2212" s="21" t="n">
        <v>0</v>
      </c>
      <c r="E2212" s="21" t="n">
        <v>0</v>
      </c>
      <c r="F2212" s="21" t="n">
        <v>0</v>
      </c>
      <c r="G2212" s="30" t="s">
        <v>3432</v>
      </c>
    </row>
    <row r="2213" customFormat="false" ht="15" hidden="false" customHeight="false" outlineLevel="0" collapsed="false">
      <c r="A2213" s="28" t="n">
        <v>44053</v>
      </c>
      <c r="B2213" s="28" t="n">
        <v>44059</v>
      </c>
      <c r="C2213" s="21" t="n">
        <v>0</v>
      </c>
      <c r="D2213" s="21" t="n">
        <v>1</v>
      </c>
      <c r="E2213" s="21" t="n">
        <v>0</v>
      </c>
      <c r="F2213" s="21" t="n">
        <v>1</v>
      </c>
      <c r="G2213" s="29" t="s">
        <v>184</v>
      </c>
    </row>
    <row r="2214" customFormat="false" ht="15" hidden="false" customHeight="false" outlineLevel="0" collapsed="false">
      <c r="A2214" s="28" t="n">
        <v>44060</v>
      </c>
      <c r="B2214" s="28" t="n">
        <v>44066</v>
      </c>
      <c r="C2214" s="21" t="n">
        <v>0</v>
      </c>
      <c r="D2214" s="21" t="n">
        <v>0</v>
      </c>
      <c r="E2214" s="21" t="n">
        <v>0</v>
      </c>
      <c r="F2214" s="21" t="n">
        <v>0</v>
      </c>
      <c r="G2214" s="29" t="s">
        <v>184</v>
      </c>
    </row>
    <row r="2215" customFormat="false" ht="15" hidden="false" customHeight="false" outlineLevel="0" collapsed="false">
      <c r="A2215" s="28" t="n">
        <v>44067</v>
      </c>
      <c r="B2215" s="28" t="n">
        <v>44073</v>
      </c>
      <c r="C2215" s="21" t="n">
        <v>0</v>
      </c>
      <c r="D2215" s="21" t="n">
        <v>0</v>
      </c>
      <c r="E2215" s="21" t="n">
        <v>0</v>
      </c>
      <c r="F2215" s="21" t="n">
        <v>0</v>
      </c>
      <c r="G2215" s="30" t="s">
        <v>3432</v>
      </c>
    </row>
    <row r="2216" customFormat="false" ht="15" hidden="false" customHeight="false" outlineLevel="0" collapsed="false">
      <c r="A2216" s="28" t="n">
        <v>44074</v>
      </c>
      <c r="B2216" s="28" t="n">
        <v>44080</v>
      </c>
      <c r="C2216" s="21" t="n">
        <v>0</v>
      </c>
      <c r="D2216" s="21" t="n">
        <v>0</v>
      </c>
      <c r="E2216" s="21" t="n">
        <v>0</v>
      </c>
      <c r="F2216" s="21" t="n">
        <v>0</v>
      </c>
      <c r="G2216" s="30" t="s">
        <v>3432</v>
      </c>
    </row>
    <row r="2217" customFormat="false" ht="15" hidden="false" customHeight="false" outlineLevel="0" collapsed="false">
      <c r="A2217" s="28" t="n">
        <v>44081</v>
      </c>
      <c r="B2217" s="28" t="n">
        <v>44087</v>
      </c>
      <c r="C2217" s="21" t="n">
        <v>0</v>
      </c>
      <c r="D2217" s="21" t="n">
        <v>0</v>
      </c>
      <c r="E2217" s="21" t="n">
        <v>0</v>
      </c>
      <c r="F2217" s="21" t="n">
        <v>0</v>
      </c>
      <c r="G2217" s="30" t="s">
        <v>3432</v>
      </c>
    </row>
    <row r="2218" customFormat="false" ht="15" hidden="false" customHeight="false" outlineLevel="0" collapsed="false">
      <c r="A2218" s="28" t="n">
        <v>44088</v>
      </c>
      <c r="B2218" s="28" t="n">
        <v>44094</v>
      </c>
      <c r="C2218" s="21" t="n">
        <v>0</v>
      </c>
      <c r="D2218" s="21" t="n">
        <v>0</v>
      </c>
      <c r="E2218" s="21" t="n">
        <v>0</v>
      </c>
      <c r="F2218" s="21" t="n">
        <v>0</v>
      </c>
      <c r="G2218" s="30" t="s">
        <v>3432</v>
      </c>
    </row>
    <row r="2219" customFormat="false" ht="15" hidden="false" customHeight="false" outlineLevel="0" collapsed="false">
      <c r="A2219" s="28" t="n">
        <v>44095</v>
      </c>
      <c r="B2219" s="28" t="n">
        <v>44101</v>
      </c>
      <c r="C2219" s="21" t="n">
        <v>0</v>
      </c>
      <c r="D2219" s="21" t="n">
        <v>0</v>
      </c>
      <c r="E2219" s="21" t="n">
        <v>0</v>
      </c>
      <c r="F2219" s="21" t="n">
        <v>0</v>
      </c>
      <c r="G2219" s="30" t="s">
        <v>3432</v>
      </c>
    </row>
    <row r="2220" customFormat="false" ht="15" hidden="false" customHeight="false" outlineLevel="0" collapsed="false">
      <c r="A2220" s="28" t="n">
        <v>44102</v>
      </c>
      <c r="B2220" s="28" t="n">
        <v>44108</v>
      </c>
      <c r="C2220" s="21" t="n">
        <v>0</v>
      </c>
      <c r="D2220" s="21" t="n">
        <v>0</v>
      </c>
      <c r="E2220" s="21" t="n">
        <v>0</v>
      </c>
      <c r="F2220" s="21" t="n">
        <v>0</v>
      </c>
      <c r="G2220" s="30" t="s">
        <v>3432</v>
      </c>
    </row>
    <row r="2221" customFormat="false" ht="15" hidden="false" customHeight="false" outlineLevel="0" collapsed="false">
      <c r="A2221" s="28" t="n">
        <v>44109</v>
      </c>
      <c r="B2221" s="28" t="n">
        <v>44115</v>
      </c>
      <c r="C2221" s="21" t="n">
        <v>0</v>
      </c>
      <c r="D2221" s="21" t="n">
        <v>0</v>
      </c>
      <c r="E2221" s="21" t="n">
        <v>0</v>
      </c>
      <c r="F2221" s="21" t="n">
        <v>0</v>
      </c>
      <c r="G2221" s="30" t="s">
        <v>3432</v>
      </c>
    </row>
    <row r="2222" customFormat="false" ht="15" hidden="false" customHeight="false" outlineLevel="0" collapsed="false">
      <c r="A2222" s="28" t="n">
        <v>44116</v>
      </c>
      <c r="B2222" s="28" t="n">
        <v>44122</v>
      </c>
      <c r="C2222" s="21" t="n">
        <v>0</v>
      </c>
      <c r="D2222" s="21" t="n">
        <v>0</v>
      </c>
      <c r="E2222" s="21" t="n">
        <v>0</v>
      </c>
      <c r="F2222" s="21" t="n">
        <v>0</v>
      </c>
      <c r="G2222" s="30" t="s">
        <v>3432</v>
      </c>
    </row>
    <row r="2223" customFormat="false" ht="15" hidden="false" customHeight="false" outlineLevel="0" collapsed="false">
      <c r="A2223" s="28" t="n">
        <v>44123</v>
      </c>
      <c r="B2223" s="28" t="n">
        <v>44129</v>
      </c>
      <c r="C2223" s="21" t="n">
        <v>0</v>
      </c>
      <c r="D2223" s="21" t="n">
        <v>0</v>
      </c>
      <c r="E2223" s="21" t="n">
        <v>0</v>
      </c>
      <c r="F2223" s="21" t="n">
        <v>0</v>
      </c>
      <c r="G2223" s="30" t="s">
        <v>3432</v>
      </c>
    </row>
    <row r="2224" customFormat="false" ht="15" hidden="false" customHeight="false" outlineLevel="0" collapsed="false">
      <c r="A2224" s="28" t="n">
        <v>44130</v>
      </c>
      <c r="B2224" s="28" t="n">
        <v>44136</v>
      </c>
      <c r="C2224" s="21" t="n">
        <v>0</v>
      </c>
      <c r="D2224" s="21" t="n">
        <v>0</v>
      </c>
      <c r="E2224" s="21" t="n">
        <v>0</v>
      </c>
      <c r="F2224" s="21" t="n">
        <v>0</v>
      </c>
      <c r="G2224" s="30" t="s">
        <v>3432</v>
      </c>
    </row>
    <row r="2225" customFormat="false" ht="15" hidden="false" customHeight="false" outlineLevel="0" collapsed="false">
      <c r="A2225" s="28" t="n">
        <v>44137</v>
      </c>
      <c r="B2225" s="28" t="n">
        <v>44143</v>
      </c>
      <c r="C2225" s="21" t="n">
        <v>0</v>
      </c>
      <c r="D2225" s="21" t="n">
        <v>0</v>
      </c>
      <c r="E2225" s="21" t="n">
        <v>0</v>
      </c>
      <c r="F2225" s="21" t="n">
        <v>0</v>
      </c>
      <c r="G2225" s="30" t="s">
        <v>3432</v>
      </c>
    </row>
    <row r="2226" customFormat="false" ht="15" hidden="false" customHeight="false" outlineLevel="0" collapsed="false">
      <c r="A2226" s="28" t="n">
        <v>44144</v>
      </c>
      <c r="B2226" s="28" t="n">
        <v>44150</v>
      </c>
      <c r="C2226" s="21" t="n">
        <v>0</v>
      </c>
      <c r="D2226" s="21" t="n">
        <v>0</v>
      </c>
      <c r="E2226" s="21" t="n">
        <v>0</v>
      </c>
      <c r="F2226" s="21" t="n">
        <v>0</v>
      </c>
      <c r="G2226" s="30" t="s">
        <v>3432</v>
      </c>
    </row>
    <row r="2227" customFormat="false" ht="15" hidden="false" customHeight="false" outlineLevel="0" collapsed="false">
      <c r="A2227" s="28" t="n">
        <v>44151</v>
      </c>
      <c r="B2227" s="28" t="n">
        <v>44157</v>
      </c>
      <c r="C2227" s="21" t="n">
        <v>0</v>
      </c>
      <c r="D2227" s="21" t="n">
        <v>0</v>
      </c>
      <c r="E2227" s="21" t="n">
        <v>0</v>
      </c>
      <c r="F2227" s="21" t="n">
        <v>0</v>
      </c>
      <c r="G2227" s="30" t="s">
        <v>3432</v>
      </c>
    </row>
    <row r="2228" customFormat="false" ht="15" hidden="false" customHeight="false" outlineLevel="0" collapsed="false">
      <c r="A2228" s="28" t="n">
        <v>44158</v>
      </c>
      <c r="B2228" s="28" t="n">
        <v>44164</v>
      </c>
      <c r="C2228" s="21" t="n">
        <v>0</v>
      </c>
      <c r="D2228" s="21" t="n">
        <v>0</v>
      </c>
      <c r="E2228" s="21" t="n">
        <v>0</v>
      </c>
      <c r="F2228" s="21" t="n">
        <v>0</v>
      </c>
      <c r="G2228" s="30" t="s">
        <v>3432</v>
      </c>
    </row>
    <row r="2229" customFormat="false" ht="15" hidden="false" customHeight="false" outlineLevel="0" collapsed="false">
      <c r="A2229" s="28" t="n">
        <v>44165</v>
      </c>
      <c r="B2229" s="28" t="n">
        <v>44171</v>
      </c>
      <c r="C2229" s="21" t="n">
        <v>0</v>
      </c>
      <c r="D2229" s="21" t="n">
        <v>0</v>
      </c>
      <c r="E2229" s="21" t="n">
        <v>0</v>
      </c>
      <c r="F2229" s="21" t="n">
        <v>0</v>
      </c>
      <c r="G2229" s="30" t="s">
        <v>3432</v>
      </c>
    </row>
    <row r="2230" customFormat="false" ht="15" hidden="false" customHeight="false" outlineLevel="0" collapsed="false">
      <c r="A2230" s="28" t="n">
        <v>44172</v>
      </c>
      <c r="B2230" s="28" t="n">
        <v>44178</v>
      </c>
      <c r="C2230" s="21" t="n">
        <v>0</v>
      </c>
      <c r="D2230" s="21" t="n">
        <v>0</v>
      </c>
      <c r="E2230" s="21" t="n">
        <v>0</v>
      </c>
      <c r="F2230" s="21" t="n">
        <v>0</v>
      </c>
      <c r="G2230" s="30" t="s">
        <v>3432</v>
      </c>
    </row>
    <row r="2231" customFormat="false" ht="15" hidden="false" customHeight="false" outlineLevel="0" collapsed="false">
      <c r="A2231" s="28" t="n">
        <v>44179</v>
      </c>
      <c r="B2231" s="28" t="n">
        <v>44185</v>
      </c>
      <c r="C2231" s="21" t="n">
        <v>0</v>
      </c>
      <c r="D2231" s="21" t="n">
        <v>0</v>
      </c>
      <c r="E2231" s="21" t="n">
        <v>0</v>
      </c>
      <c r="F2231" s="21" t="n">
        <v>0</v>
      </c>
      <c r="G2231" s="30" t="s">
        <v>3432</v>
      </c>
    </row>
    <row r="2232" customFormat="false" ht="15" hidden="false" customHeight="false" outlineLevel="0" collapsed="false">
      <c r="A2232" s="28" t="n">
        <v>44186</v>
      </c>
      <c r="B2232" s="28" t="n">
        <v>44192</v>
      </c>
      <c r="C2232" s="21" t="n">
        <v>0</v>
      </c>
      <c r="D2232" s="21" t="n">
        <v>0</v>
      </c>
      <c r="E2232" s="21" t="n">
        <v>0</v>
      </c>
      <c r="F2232" s="21" t="n">
        <v>0</v>
      </c>
      <c r="G2232" s="30" t="s">
        <v>3432</v>
      </c>
    </row>
    <row r="2233" customFormat="false" ht="15" hidden="false" customHeight="false" outlineLevel="0" collapsed="false">
      <c r="A2233" s="28" t="n">
        <v>44193</v>
      </c>
      <c r="B2233" s="28" t="n">
        <v>44199</v>
      </c>
      <c r="C2233" s="21" t="n">
        <v>0</v>
      </c>
      <c r="D2233" s="21" t="n">
        <v>0</v>
      </c>
      <c r="E2233" s="21" t="n">
        <v>0</v>
      </c>
      <c r="F2233" s="21" t="n">
        <v>0</v>
      </c>
      <c r="G2233" s="30" t="s">
        <v>3432</v>
      </c>
    </row>
    <row r="2234" customFormat="false" ht="15" hidden="false" customHeight="false" outlineLevel="0" collapsed="false">
      <c r="A2234" s="28" t="n">
        <v>44200</v>
      </c>
      <c r="B2234" s="28" t="n">
        <v>44206</v>
      </c>
      <c r="C2234" s="21" t="n">
        <v>0</v>
      </c>
      <c r="D2234" s="21" t="n">
        <v>0</v>
      </c>
      <c r="E2234" s="21" t="n">
        <v>0</v>
      </c>
      <c r="F2234" s="21" t="n">
        <v>0</v>
      </c>
      <c r="G2234" s="30" t="s">
        <v>3432</v>
      </c>
    </row>
    <row r="2235" customFormat="false" ht="15" hidden="false" customHeight="false" outlineLevel="0" collapsed="false">
      <c r="A2235" s="28" t="n">
        <v>44207</v>
      </c>
      <c r="B2235" s="28" t="n">
        <v>44213</v>
      </c>
      <c r="C2235" s="21" t="n">
        <v>0</v>
      </c>
      <c r="D2235" s="21" t="n">
        <v>0</v>
      </c>
      <c r="E2235" s="21" t="n">
        <v>0</v>
      </c>
      <c r="F2235" s="21" t="n">
        <v>0</v>
      </c>
      <c r="G2235" s="30" t="s">
        <v>3432</v>
      </c>
    </row>
    <row r="2236" customFormat="false" ht="15" hidden="false" customHeight="false" outlineLevel="0" collapsed="false">
      <c r="A2236" s="28" t="n">
        <v>44214</v>
      </c>
      <c r="B2236" s="28" t="n">
        <v>44220</v>
      </c>
      <c r="C2236" s="21" t="n">
        <v>0</v>
      </c>
      <c r="D2236" s="21" t="n">
        <v>0</v>
      </c>
      <c r="E2236" s="21" t="n">
        <v>0</v>
      </c>
      <c r="F2236" s="21" t="n">
        <v>0</v>
      </c>
      <c r="G2236" s="30" t="s">
        <v>3432</v>
      </c>
    </row>
    <row r="2237" customFormat="false" ht="15" hidden="false" customHeight="false" outlineLevel="0" collapsed="false">
      <c r="A2237" s="28" t="n">
        <v>44221</v>
      </c>
      <c r="B2237" s="28" t="n">
        <v>44227</v>
      </c>
      <c r="C2237" s="21" t="n">
        <v>0</v>
      </c>
      <c r="D2237" s="21" t="n">
        <v>0</v>
      </c>
      <c r="E2237" s="21" t="n">
        <v>0</v>
      </c>
      <c r="F2237" s="21" t="n">
        <v>0</v>
      </c>
      <c r="G2237" s="30" t="s">
        <v>3432</v>
      </c>
    </row>
    <row r="2238" customFormat="false" ht="15" hidden="false" customHeight="false" outlineLevel="0" collapsed="false">
      <c r="A2238" s="28" t="n">
        <v>44228</v>
      </c>
      <c r="B2238" s="28" t="n">
        <v>44234</v>
      </c>
      <c r="C2238" s="21" t="n">
        <v>0</v>
      </c>
      <c r="D2238" s="21" t="n">
        <v>0</v>
      </c>
      <c r="E2238" s="21" t="n">
        <v>0</v>
      </c>
      <c r="F2238" s="21" t="n">
        <v>0</v>
      </c>
      <c r="G2238" s="30" t="s">
        <v>3432</v>
      </c>
    </row>
    <row r="2239" customFormat="false" ht="15" hidden="false" customHeight="false" outlineLevel="0" collapsed="false">
      <c r="A2239" s="28" t="n">
        <v>44235</v>
      </c>
      <c r="B2239" s="28" t="n">
        <v>44241</v>
      </c>
      <c r="C2239" s="21" t="n">
        <v>0</v>
      </c>
      <c r="D2239" s="21" t="n">
        <v>0</v>
      </c>
      <c r="E2239" s="21" t="n">
        <v>0</v>
      </c>
      <c r="F2239" s="21" t="n">
        <v>0</v>
      </c>
      <c r="G2239" s="30" t="s">
        <v>3432</v>
      </c>
    </row>
    <row r="2240" customFormat="false" ht="15" hidden="false" customHeight="false" outlineLevel="0" collapsed="false">
      <c r="A2240" s="28" t="n">
        <v>44242</v>
      </c>
      <c r="B2240" s="28" t="n">
        <v>44248</v>
      </c>
      <c r="C2240" s="21" t="n">
        <v>0</v>
      </c>
      <c r="D2240" s="21" t="n">
        <v>0</v>
      </c>
      <c r="E2240" s="21" t="n">
        <v>0</v>
      </c>
      <c r="F2240" s="21" t="n">
        <v>0</v>
      </c>
      <c r="G2240" s="30" t="s">
        <v>3432</v>
      </c>
    </row>
    <row r="2241" customFormat="false" ht="15" hidden="false" customHeight="false" outlineLevel="0" collapsed="false">
      <c r="A2241" s="28" t="n">
        <v>44249</v>
      </c>
      <c r="B2241" s="28" t="n">
        <v>44255</v>
      </c>
      <c r="C2241" s="21" t="n">
        <v>1</v>
      </c>
      <c r="D2241" s="21" t="n">
        <v>0</v>
      </c>
      <c r="E2241" s="21" t="n">
        <v>0</v>
      </c>
      <c r="F2241" s="21" t="n">
        <v>2</v>
      </c>
      <c r="G2241" s="29" t="s">
        <v>184</v>
      </c>
    </row>
    <row r="2242" customFormat="false" ht="15" hidden="false" customHeight="false" outlineLevel="0" collapsed="false">
      <c r="A2242" s="28" t="n">
        <v>44256</v>
      </c>
      <c r="B2242" s="28" t="n">
        <v>44262</v>
      </c>
      <c r="C2242" s="21" t="n">
        <v>1</v>
      </c>
      <c r="D2242" s="21" t="n">
        <v>0</v>
      </c>
      <c r="E2242" s="21" t="n">
        <v>0</v>
      </c>
      <c r="F2242" s="21" t="n">
        <v>2</v>
      </c>
      <c r="G2242" s="29" t="s">
        <v>184</v>
      </c>
    </row>
    <row r="2243" customFormat="false" ht="15" hidden="false" customHeight="false" outlineLevel="0" collapsed="false">
      <c r="A2243" s="28" t="n">
        <v>44263</v>
      </c>
      <c r="B2243" s="28" t="n">
        <v>44269</v>
      </c>
      <c r="C2243" s="21" t="n">
        <v>0</v>
      </c>
      <c r="D2243" s="21" t="n">
        <v>0</v>
      </c>
      <c r="E2243" s="21" t="n">
        <v>0</v>
      </c>
      <c r="F2243" s="21" t="n">
        <v>0</v>
      </c>
      <c r="G2243" s="29" t="s">
        <v>184</v>
      </c>
    </row>
    <row r="2244" customFormat="false" ht="15" hidden="false" customHeight="false" outlineLevel="0" collapsed="false">
      <c r="A2244" s="28" t="n">
        <v>44270</v>
      </c>
      <c r="B2244" s="28" t="n">
        <v>44276</v>
      </c>
      <c r="C2244" s="21" t="n">
        <v>0</v>
      </c>
      <c r="D2244" s="21" t="n">
        <v>0</v>
      </c>
      <c r="E2244" s="21" t="n">
        <v>0</v>
      </c>
      <c r="F2244" s="21" t="n">
        <v>0</v>
      </c>
      <c r="G2244" s="30" t="s">
        <v>3432</v>
      </c>
    </row>
    <row r="2245" customFormat="false" ht="15" hidden="false" customHeight="false" outlineLevel="0" collapsed="false">
      <c r="A2245" s="28" t="n">
        <v>44277</v>
      </c>
      <c r="B2245" s="28" t="n">
        <v>44283</v>
      </c>
      <c r="C2245" s="21" t="n">
        <v>0</v>
      </c>
      <c r="D2245" s="21" t="n">
        <v>0</v>
      </c>
      <c r="E2245" s="21" t="n">
        <v>0</v>
      </c>
      <c r="F2245" s="21" t="n">
        <v>0</v>
      </c>
      <c r="G2245" s="30" t="s">
        <v>3432</v>
      </c>
    </row>
    <row r="2246" customFormat="false" ht="15" hidden="false" customHeight="false" outlineLevel="0" collapsed="false">
      <c r="A2246" s="28" t="n">
        <v>44284</v>
      </c>
      <c r="B2246" s="28" t="n">
        <v>44290</v>
      </c>
      <c r="C2246" s="21" t="n">
        <v>0</v>
      </c>
      <c r="D2246" s="21" t="n">
        <v>0</v>
      </c>
      <c r="E2246" s="21" t="n">
        <v>0</v>
      </c>
      <c r="F2246" s="21" t="n">
        <v>0</v>
      </c>
      <c r="G2246" s="30" t="s">
        <v>3432</v>
      </c>
    </row>
    <row r="2247" customFormat="false" ht="15" hidden="false" customHeight="false" outlineLevel="0" collapsed="false">
      <c r="A2247" s="28" t="n">
        <v>44291</v>
      </c>
      <c r="B2247" s="28" t="n">
        <v>44297</v>
      </c>
      <c r="C2247" s="21" t="n">
        <v>0</v>
      </c>
      <c r="D2247" s="21" t="n">
        <v>0</v>
      </c>
      <c r="E2247" s="21" t="n">
        <v>0</v>
      </c>
      <c r="F2247" s="21" t="n">
        <v>0</v>
      </c>
      <c r="G2247" s="30" t="s">
        <v>3432</v>
      </c>
    </row>
    <row r="2248" customFormat="false" ht="15" hidden="false" customHeight="false" outlineLevel="0" collapsed="false">
      <c r="A2248" s="28" t="n">
        <v>44298</v>
      </c>
      <c r="B2248" s="28" t="n">
        <v>44304</v>
      </c>
      <c r="C2248" s="21" t="n">
        <v>0</v>
      </c>
      <c r="D2248" s="21" t="n">
        <v>0</v>
      </c>
      <c r="E2248" s="21" t="n">
        <v>0</v>
      </c>
      <c r="F2248" s="21" t="n">
        <v>0</v>
      </c>
      <c r="G2248" s="30" t="s">
        <v>3432</v>
      </c>
    </row>
    <row r="2249" customFormat="false" ht="15" hidden="false" customHeight="false" outlineLevel="0" collapsed="false">
      <c r="A2249" s="28" t="n">
        <v>44305</v>
      </c>
      <c r="B2249" s="28" t="n">
        <v>44311</v>
      </c>
      <c r="C2249" s="21" t="n">
        <v>0</v>
      </c>
      <c r="D2249" s="21" t="n">
        <v>0</v>
      </c>
      <c r="E2249" s="21" t="n">
        <v>0</v>
      </c>
      <c r="F2249" s="21" t="n">
        <v>0</v>
      </c>
      <c r="G2249" s="30" t="s">
        <v>3432</v>
      </c>
    </row>
    <row r="2250" customFormat="false" ht="15" hidden="false" customHeight="false" outlineLevel="0" collapsed="false">
      <c r="A2250" s="28" t="n">
        <v>44312</v>
      </c>
      <c r="B2250" s="28" t="n">
        <v>44318</v>
      </c>
      <c r="C2250" s="21" t="n">
        <v>0</v>
      </c>
      <c r="D2250" s="21" t="n">
        <v>0</v>
      </c>
      <c r="E2250" s="21" t="n">
        <v>0</v>
      </c>
      <c r="F2250" s="21" t="n">
        <v>0</v>
      </c>
      <c r="G2250" s="30" t="s">
        <v>3432</v>
      </c>
    </row>
    <row r="2251" customFormat="false" ht="15" hidden="false" customHeight="false" outlineLevel="0" collapsed="false">
      <c r="A2251" s="28" t="n">
        <v>44319</v>
      </c>
      <c r="B2251" s="28" t="n">
        <v>44325</v>
      </c>
      <c r="C2251" s="21" t="n">
        <v>0</v>
      </c>
      <c r="D2251" s="21" t="n">
        <v>0</v>
      </c>
      <c r="E2251" s="21" t="n">
        <v>0</v>
      </c>
      <c r="F2251" s="21" t="n">
        <v>0</v>
      </c>
      <c r="G2251" s="30" t="s">
        <v>3432</v>
      </c>
    </row>
    <row r="2252" customFormat="false" ht="15" hidden="false" customHeight="false" outlineLevel="0" collapsed="false">
      <c r="A2252" s="28" t="n">
        <v>44326</v>
      </c>
      <c r="B2252" s="28" t="n">
        <v>44332</v>
      </c>
      <c r="C2252" s="21" t="n">
        <v>0</v>
      </c>
      <c r="D2252" s="21" t="n">
        <v>0</v>
      </c>
      <c r="E2252" s="21" t="n">
        <v>0</v>
      </c>
      <c r="F2252" s="21" t="n">
        <v>0</v>
      </c>
      <c r="G2252" s="30" t="s">
        <v>3432</v>
      </c>
    </row>
    <row r="2253" customFormat="false" ht="15" hidden="false" customHeight="false" outlineLevel="0" collapsed="false">
      <c r="A2253" s="28" t="n">
        <v>44333</v>
      </c>
      <c r="B2253" s="28" t="n">
        <v>44339</v>
      </c>
      <c r="C2253" s="21" t="n">
        <v>0</v>
      </c>
      <c r="D2253" s="21" t="n">
        <v>0</v>
      </c>
      <c r="E2253" s="21" t="n">
        <v>0</v>
      </c>
      <c r="F2253" s="21" t="n">
        <v>0</v>
      </c>
      <c r="G2253" s="30" t="s">
        <v>3432</v>
      </c>
    </row>
    <row r="2254" customFormat="false" ht="15" hidden="false" customHeight="false" outlineLevel="0" collapsed="false">
      <c r="A2254" s="28" t="n">
        <v>44340</v>
      </c>
      <c r="B2254" s="28" t="n">
        <v>44346</v>
      </c>
      <c r="C2254" s="21" t="n">
        <v>0</v>
      </c>
      <c r="D2254" s="21" t="n">
        <v>0</v>
      </c>
      <c r="E2254" s="21" t="n">
        <v>0</v>
      </c>
      <c r="F2254" s="21" t="n">
        <v>0</v>
      </c>
      <c r="G2254" s="30" t="s">
        <v>3432</v>
      </c>
    </row>
    <row r="2255" customFormat="false" ht="15" hidden="false" customHeight="false" outlineLevel="0" collapsed="false">
      <c r="A2255" s="28" t="n">
        <v>44347</v>
      </c>
      <c r="B2255" s="28" t="n">
        <v>44353</v>
      </c>
      <c r="C2255" s="21" t="n">
        <v>0</v>
      </c>
      <c r="D2255" s="21" t="n">
        <v>0</v>
      </c>
      <c r="E2255" s="21" t="n">
        <v>0</v>
      </c>
      <c r="F2255" s="21" t="n">
        <v>0</v>
      </c>
      <c r="G2255" s="30" t="s">
        <v>3432</v>
      </c>
    </row>
    <row r="2256" customFormat="false" ht="15" hidden="false" customHeight="false" outlineLevel="0" collapsed="false">
      <c r="A2256" s="28" t="n">
        <v>44354</v>
      </c>
      <c r="B2256" s="28" t="n">
        <v>44360</v>
      </c>
      <c r="C2256" s="21" t="n">
        <v>0</v>
      </c>
      <c r="D2256" s="21" t="n">
        <v>0</v>
      </c>
      <c r="E2256" s="21" t="n">
        <v>0</v>
      </c>
      <c r="F2256" s="21" t="n">
        <v>0</v>
      </c>
      <c r="G2256" s="30" t="s">
        <v>3432</v>
      </c>
    </row>
    <row r="2257" customFormat="false" ht="15" hidden="false" customHeight="false" outlineLevel="0" collapsed="false">
      <c r="A2257" s="28" t="n">
        <v>44361</v>
      </c>
      <c r="B2257" s="28" t="n">
        <v>44367</v>
      </c>
      <c r="C2257" s="21" t="n">
        <v>0</v>
      </c>
      <c r="D2257" s="21" t="n">
        <v>0</v>
      </c>
      <c r="E2257" s="21" t="n">
        <v>0</v>
      </c>
      <c r="F2257" s="21" t="n">
        <v>0</v>
      </c>
      <c r="G2257" s="30" t="s">
        <v>3432</v>
      </c>
    </row>
    <row r="2258" customFormat="false" ht="15" hidden="false" customHeight="false" outlineLevel="0" collapsed="false">
      <c r="A2258" s="28" t="n">
        <v>44368</v>
      </c>
      <c r="B2258" s="28" t="n">
        <v>44374</v>
      </c>
      <c r="C2258" s="21" t="n">
        <v>1</v>
      </c>
      <c r="D2258" s="21" t="n">
        <v>0</v>
      </c>
      <c r="E2258" s="21" t="n">
        <v>0</v>
      </c>
      <c r="F2258" s="21" t="n">
        <v>2</v>
      </c>
      <c r="G2258" s="29" t="s">
        <v>184</v>
      </c>
    </row>
    <row r="2259" customFormat="false" ht="15" hidden="false" customHeight="false" outlineLevel="0" collapsed="false">
      <c r="A2259" s="28" t="n">
        <v>44375</v>
      </c>
      <c r="B2259" s="28" t="n">
        <v>44381</v>
      </c>
      <c r="C2259" s="21" t="n">
        <v>1</v>
      </c>
      <c r="D2259" s="21" t="n">
        <v>0</v>
      </c>
      <c r="E2259" s="21" t="n">
        <v>0</v>
      </c>
      <c r="F2259" s="21" t="n">
        <v>2</v>
      </c>
      <c r="G2259" s="29" t="s">
        <v>184</v>
      </c>
    </row>
    <row r="2260" customFormat="false" ht="15" hidden="false" customHeight="false" outlineLevel="0" collapsed="false">
      <c r="A2260" s="28" t="n">
        <v>44382</v>
      </c>
      <c r="B2260" s="28" t="n">
        <v>44388</v>
      </c>
      <c r="C2260" s="21" t="n">
        <v>0</v>
      </c>
      <c r="D2260" s="21" t="n">
        <v>0</v>
      </c>
      <c r="E2260" s="21" t="n">
        <v>0</v>
      </c>
      <c r="F2260" s="21" t="n">
        <v>0</v>
      </c>
      <c r="G2260" s="29" t="s">
        <v>184</v>
      </c>
    </row>
    <row r="2261" customFormat="false" ht="15" hidden="false" customHeight="false" outlineLevel="0" collapsed="false">
      <c r="A2261" s="28" t="n">
        <v>44389</v>
      </c>
      <c r="B2261" s="28" t="n">
        <v>44395</v>
      </c>
      <c r="C2261" s="21" t="n">
        <v>0</v>
      </c>
      <c r="D2261" s="21" t="n">
        <v>0</v>
      </c>
      <c r="E2261" s="21" t="n">
        <v>0</v>
      </c>
      <c r="F2261" s="21" t="n">
        <v>0</v>
      </c>
      <c r="G2261" s="30" t="s">
        <v>3432</v>
      </c>
    </row>
    <row r="2262" customFormat="false" ht="15" hidden="false" customHeight="false" outlineLevel="0" collapsed="false">
      <c r="A2262" s="28" t="n">
        <v>44396</v>
      </c>
      <c r="B2262" s="28" t="n">
        <v>44402</v>
      </c>
      <c r="C2262" s="21" t="n">
        <v>0</v>
      </c>
      <c r="D2262" s="21" t="n">
        <v>0</v>
      </c>
      <c r="E2262" s="21" t="n">
        <v>0</v>
      </c>
      <c r="F2262" s="21" t="n">
        <v>0</v>
      </c>
      <c r="G2262" s="30" t="s">
        <v>3432</v>
      </c>
    </row>
    <row r="2263" customFormat="false" ht="15" hidden="false" customHeight="false" outlineLevel="0" collapsed="false">
      <c r="A2263" s="28" t="n">
        <v>44403</v>
      </c>
      <c r="B2263" s="28" t="n">
        <v>44409</v>
      </c>
      <c r="C2263" s="21" t="n">
        <v>0</v>
      </c>
      <c r="D2263" s="21" t="n">
        <v>0</v>
      </c>
      <c r="E2263" s="21" t="n">
        <v>0</v>
      </c>
      <c r="F2263" s="21" t="n">
        <v>0</v>
      </c>
      <c r="G2263" s="30" t="s">
        <v>3432</v>
      </c>
    </row>
    <row r="2264" customFormat="false" ht="15" hidden="false" customHeight="false" outlineLevel="0" collapsed="false">
      <c r="A2264" s="28" t="n">
        <v>44410</v>
      </c>
      <c r="B2264" s="28" t="n">
        <v>44416</v>
      </c>
      <c r="C2264" s="21" t="n">
        <v>0</v>
      </c>
      <c r="D2264" s="21" t="n">
        <v>0</v>
      </c>
      <c r="E2264" s="21" t="n">
        <v>0</v>
      </c>
      <c r="F2264" s="21" t="n">
        <v>0</v>
      </c>
      <c r="G2264" s="30" t="s">
        <v>3432</v>
      </c>
    </row>
    <row r="2265" customFormat="false" ht="15" hidden="false" customHeight="false" outlineLevel="0" collapsed="false">
      <c r="A2265" s="28" t="n">
        <v>44417</v>
      </c>
      <c r="B2265" s="28" t="n">
        <v>44423</v>
      </c>
      <c r="C2265" s="21" t="n">
        <v>0</v>
      </c>
      <c r="D2265" s="21" t="n">
        <v>0</v>
      </c>
      <c r="E2265" s="21" t="n">
        <v>0</v>
      </c>
      <c r="F2265" s="21" t="n">
        <v>0</v>
      </c>
      <c r="G2265" s="30" t="s">
        <v>3432</v>
      </c>
    </row>
    <row r="2266" customFormat="false" ht="15" hidden="false" customHeight="false" outlineLevel="0" collapsed="false">
      <c r="A2266" s="28" t="n">
        <v>44424</v>
      </c>
      <c r="B2266" s="28" t="n">
        <v>44430</v>
      </c>
      <c r="C2266" s="21" t="n">
        <v>0</v>
      </c>
      <c r="D2266" s="21" t="n">
        <v>0</v>
      </c>
      <c r="E2266" s="21" t="n">
        <v>0</v>
      </c>
      <c r="F2266" s="21" t="n">
        <v>0</v>
      </c>
      <c r="G2266" s="30" t="s">
        <v>3432</v>
      </c>
    </row>
    <row r="2267" customFormat="false" ht="15" hidden="false" customHeight="false" outlineLevel="0" collapsed="false">
      <c r="A2267" s="28" t="n">
        <v>44431</v>
      </c>
      <c r="B2267" s="28" t="n">
        <v>44437</v>
      </c>
      <c r="C2267" s="21" t="n">
        <v>0</v>
      </c>
      <c r="D2267" s="21" t="n">
        <v>0</v>
      </c>
      <c r="E2267" s="21" t="n">
        <v>0</v>
      </c>
      <c r="F2267" s="21" t="n">
        <v>0</v>
      </c>
      <c r="G2267" s="30" t="s">
        <v>3432</v>
      </c>
    </row>
    <row r="2268" customFormat="false" ht="15" hidden="false" customHeight="false" outlineLevel="0" collapsed="false">
      <c r="A2268" s="28" t="n">
        <v>44438</v>
      </c>
      <c r="B2268" s="28" t="n">
        <v>44444</v>
      </c>
      <c r="C2268" s="21" t="n">
        <v>0</v>
      </c>
      <c r="D2268" s="21" t="n">
        <v>0</v>
      </c>
      <c r="E2268" s="21" t="n">
        <v>0</v>
      </c>
      <c r="F2268" s="21" t="n">
        <v>0</v>
      </c>
      <c r="G2268" s="30" t="s">
        <v>3432</v>
      </c>
    </row>
    <row r="2269" customFormat="false" ht="15" hidden="false" customHeight="false" outlineLevel="0" collapsed="false">
      <c r="A2269" s="28" t="n">
        <v>44445</v>
      </c>
      <c r="B2269" s="28" t="n">
        <v>44451</v>
      </c>
      <c r="C2269" s="21" t="n">
        <v>0</v>
      </c>
      <c r="D2269" s="21" t="n">
        <v>0</v>
      </c>
      <c r="E2269" s="21" t="n">
        <v>0</v>
      </c>
      <c r="F2269" s="21" t="n">
        <v>0</v>
      </c>
      <c r="G2269" s="30" t="s">
        <v>3432</v>
      </c>
    </row>
    <row r="2270" customFormat="false" ht="15" hidden="false" customHeight="false" outlineLevel="0" collapsed="false">
      <c r="A2270" s="28" t="n">
        <v>44452</v>
      </c>
      <c r="B2270" s="28" t="n">
        <v>44458</v>
      </c>
      <c r="C2270" s="21" t="n">
        <v>0</v>
      </c>
      <c r="D2270" s="21" t="n">
        <v>0</v>
      </c>
      <c r="E2270" s="21" t="n">
        <v>0</v>
      </c>
      <c r="F2270" s="21" t="n">
        <v>0</v>
      </c>
      <c r="G2270" s="30" t="s">
        <v>3432</v>
      </c>
    </row>
    <row r="2271" customFormat="false" ht="15" hidden="false" customHeight="false" outlineLevel="0" collapsed="false">
      <c r="A2271" s="28" t="n">
        <v>44459</v>
      </c>
      <c r="B2271" s="28" t="n">
        <v>44465</v>
      </c>
      <c r="C2271" s="21" t="n">
        <v>0</v>
      </c>
      <c r="D2271" s="21" t="n">
        <v>0</v>
      </c>
      <c r="E2271" s="21" t="n">
        <v>0</v>
      </c>
      <c r="F2271" s="21" t="n">
        <v>0</v>
      </c>
      <c r="G2271" s="30" t="s">
        <v>3432</v>
      </c>
    </row>
    <row r="2272" customFormat="false" ht="15" hidden="false" customHeight="false" outlineLevel="0" collapsed="false">
      <c r="A2272" s="28" t="n">
        <v>44466</v>
      </c>
      <c r="B2272" s="28" t="n">
        <v>44472</v>
      </c>
      <c r="C2272" s="21" t="n">
        <v>0</v>
      </c>
      <c r="D2272" s="21" t="n">
        <v>0</v>
      </c>
      <c r="E2272" s="21" t="n">
        <v>0</v>
      </c>
      <c r="F2272" s="21" t="n">
        <v>0</v>
      </c>
      <c r="G2272" s="30" t="s">
        <v>3432</v>
      </c>
    </row>
    <row r="2273" customFormat="false" ht="15" hidden="false" customHeight="false" outlineLevel="0" collapsed="false">
      <c r="A2273" s="28" t="n">
        <v>44473</v>
      </c>
      <c r="B2273" s="28" t="n">
        <v>44479</v>
      </c>
      <c r="C2273" s="21" t="n">
        <v>0</v>
      </c>
      <c r="D2273" s="21" t="n">
        <v>0</v>
      </c>
      <c r="E2273" s="21" t="n">
        <v>0</v>
      </c>
      <c r="F2273" s="21" t="n">
        <v>0</v>
      </c>
      <c r="G2273" s="30" t="s">
        <v>3432</v>
      </c>
    </row>
    <row r="2274" customFormat="false" ht="15" hidden="false" customHeight="false" outlineLevel="0" collapsed="false">
      <c r="A2274" s="28" t="n">
        <v>44480</v>
      </c>
      <c r="B2274" s="28" t="n">
        <v>44486</v>
      </c>
      <c r="C2274" s="21" t="n">
        <v>0</v>
      </c>
      <c r="D2274" s="21" t="n">
        <v>0</v>
      </c>
      <c r="E2274" s="21" t="n">
        <v>0</v>
      </c>
      <c r="F2274" s="21" t="n">
        <v>0</v>
      </c>
      <c r="G2274" s="30" t="s">
        <v>3432</v>
      </c>
    </row>
    <row r="2275" customFormat="false" ht="15" hidden="false" customHeight="false" outlineLevel="0" collapsed="false">
      <c r="A2275" s="28" t="n">
        <v>44487</v>
      </c>
      <c r="B2275" s="28" t="n">
        <v>44493</v>
      </c>
      <c r="C2275" s="21" t="n">
        <v>0</v>
      </c>
      <c r="D2275" s="21" t="n">
        <v>0</v>
      </c>
      <c r="E2275" s="21" t="n">
        <v>0</v>
      </c>
      <c r="F2275" s="21" t="n">
        <v>0</v>
      </c>
      <c r="G2275" s="30" t="s">
        <v>3432</v>
      </c>
    </row>
    <row r="2276" customFormat="false" ht="15" hidden="false" customHeight="false" outlineLevel="0" collapsed="false">
      <c r="A2276" s="28" t="n">
        <v>44494</v>
      </c>
      <c r="B2276" s="28" t="n">
        <v>44500</v>
      </c>
      <c r="C2276" s="21" t="n">
        <v>0</v>
      </c>
      <c r="D2276" s="21" t="n">
        <v>0</v>
      </c>
      <c r="E2276" s="21" t="n">
        <v>0</v>
      </c>
      <c r="F2276" s="21" t="n">
        <v>0</v>
      </c>
      <c r="G2276" s="30" t="s">
        <v>3432</v>
      </c>
    </row>
    <row r="2277" customFormat="false" ht="15" hidden="false" customHeight="false" outlineLevel="0" collapsed="false">
      <c r="A2277" s="28" t="n">
        <v>44501</v>
      </c>
      <c r="B2277" s="28" t="n">
        <v>44507</v>
      </c>
      <c r="C2277" s="21" t="n">
        <v>0</v>
      </c>
      <c r="D2277" s="21" t="n">
        <v>0</v>
      </c>
      <c r="E2277" s="21" t="n">
        <v>0</v>
      </c>
      <c r="F2277" s="21" t="n">
        <v>0</v>
      </c>
      <c r="G2277" s="30" t="s">
        <v>3432</v>
      </c>
    </row>
    <row r="2278" customFormat="false" ht="15" hidden="false" customHeight="false" outlineLevel="0" collapsed="false">
      <c r="A2278" s="28" t="n">
        <v>44508</v>
      </c>
      <c r="B2278" s="28" t="n">
        <v>44514</v>
      </c>
      <c r="C2278" s="21" t="n">
        <v>0</v>
      </c>
      <c r="D2278" s="21" t="n">
        <v>0</v>
      </c>
      <c r="E2278" s="21" t="n">
        <v>0</v>
      </c>
      <c r="F2278" s="21" t="n">
        <v>0</v>
      </c>
      <c r="G2278" s="30" t="s">
        <v>3432</v>
      </c>
    </row>
    <row r="2279" customFormat="false" ht="15" hidden="false" customHeight="false" outlineLevel="0" collapsed="false">
      <c r="A2279" s="28" t="n">
        <v>44515</v>
      </c>
      <c r="B2279" s="28" t="n">
        <v>44521</v>
      </c>
      <c r="C2279" s="21" t="n">
        <v>0</v>
      </c>
      <c r="D2279" s="21" t="n">
        <v>0</v>
      </c>
      <c r="E2279" s="21" t="n">
        <v>0</v>
      </c>
      <c r="F2279" s="21" t="n">
        <v>0</v>
      </c>
      <c r="G2279" s="30" t="s">
        <v>3432</v>
      </c>
    </row>
    <row r="2280" customFormat="false" ht="15" hidden="false" customHeight="false" outlineLevel="0" collapsed="false">
      <c r="A2280" s="28" t="n">
        <v>44522</v>
      </c>
      <c r="B2280" s="28" t="n">
        <v>44528</v>
      </c>
      <c r="C2280" s="21" t="n">
        <v>0</v>
      </c>
      <c r="D2280" s="21" t="n">
        <v>0</v>
      </c>
      <c r="E2280" s="21" t="n">
        <v>0</v>
      </c>
      <c r="F2280" s="21" t="n">
        <v>0</v>
      </c>
      <c r="G2280" s="30" t="s">
        <v>3432</v>
      </c>
    </row>
    <row r="2281" customFormat="false" ht="15" hidden="false" customHeight="false" outlineLevel="0" collapsed="false">
      <c r="A2281" s="28" t="n">
        <v>44529</v>
      </c>
      <c r="B2281" s="28" t="n">
        <v>44535</v>
      </c>
      <c r="C2281" s="21" t="n">
        <v>0</v>
      </c>
      <c r="D2281" s="21" t="n">
        <v>0</v>
      </c>
      <c r="E2281" s="21" t="n">
        <v>0</v>
      </c>
      <c r="F2281" s="21" t="n">
        <v>0</v>
      </c>
      <c r="G2281" s="30" t="s">
        <v>3432</v>
      </c>
    </row>
    <row r="2282" customFormat="false" ht="15" hidden="false" customHeight="false" outlineLevel="0" collapsed="false">
      <c r="A2282" s="28" t="n">
        <v>44536</v>
      </c>
      <c r="B2282" s="28" t="n">
        <v>44542</v>
      </c>
      <c r="C2282" s="21" t="n">
        <v>0</v>
      </c>
      <c r="D2282" s="21" t="n">
        <v>0</v>
      </c>
      <c r="E2282" s="21" t="n">
        <v>0</v>
      </c>
      <c r="F2282" s="21" t="n">
        <v>0</v>
      </c>
      <c r="G2282" s="30" t="s">
        <v>3432</v>
      </c>
    </row>
    <row r="2283" customFormat="false" ht="15" hidden="false" customHeight="false" outlineLevel="0" collapsed="false">
      <c r="A2283" s="28" t="n">
        <v>44543</v>
      </c>
      <c r="B2283" s="28" t="n">
        <v>44549</v>
      </c>
      <c r="C2283" s="21" t="n">
        <v>0</v>
      </c>
      <c r="D2283" s="21" t="n">
        <v>0</v>
      </c>
      <c r="E2283" s="21" t="n">
        <v>0</v>
      </c>
      <c r="F2283" s="21" t="n">
        <v>0</v>
      </c>
      <c r="G2283" s="30" t="s">
        <v>3432</v>
      </c>
    </row>
    <row r="2284" customFormat="false" ht="15" hidden="false" customHeight="false" outlineLevel="0" collapsed="false">
      <c r="A2284" s="28" t="n">
        <v>44550</v>
      </c>
      <c r="B2284" s="28" t="n">
        <v>44556</v>
      </c>
      <c r="C2284" s="21" t="n">
        <v>0</v>
      </c>
      <c r="D2284" s="21" t="n">
        <v>0</v>
      </c>
      <c r="E2284" s="21" t="n">
        <v>0</v>
      </c>
      <c r="F2284" s="21" t="n">
        <v>0</v>
      </c>
      <c r="G2284" s="30" t="s">
        <v>3432</v>
      </c>
    </row>
    <row r="2285" customFormat="false" ht="15" hidden="false" customHeight="false" outlineLevel="0" collapsed="false">
      <c r="A2285" s="28" t="n">
        <v>44557</v>
      </c>
      <c r="B2285" s="28" t="n">
        <v>44563</v>
      </c>
      <c r="C2285" s="21" t="n">
        <v>0</v>
      </c>
      <c r="D2285" s="21" t="n">
        <v>0</v>
      </c>
      <c r="E2285" s="21" t="n">
        <v>0</v>
      </c>
      <c r="F2285" s="21" t="n">
        <v>0</v>
      </c>
      <c r="G2285" s="30" t="s">
        <v>3432</v>
      </c>
    </row>
    <row r="2286" customFormat="false" ht="15" hidden="false" customHeight="false" outlineLevel="0" collapsed="false">
      <c r="A2286" s="28" t="n">
        <v>44564</v>
      </c>
      <c r="B2286" s="28" t="n">
        <v>44570</v>
      </c>
      <c r="C2286" s="21" t="n">
        <v>0</v>
      </c>
      <c r="D2286" s="21" t="n">
        <v>0</v>
      </c>
      <c r="E2286" s="21" t="n">
        <v>0</v>
      </c>
      <c r="F2286" s="21" t="n">
        <v>0</v>
      </c>
      <c r="G2286" s="30" t="s">
        <v>3432</v>
      </c>
    </row>
    <row r="2287" customFormat="false" ht="15" hidden="false" customHeight="false" outlineLevel="0" collapsed="false">
      <c r="A2287" s="28" t="n">
        <v>44571</v>
      </c>
      <c r="B2287" s="28" t="n">
        <v>44577</v>
      </c>
      <c r="C2287" s="21" t="n">
        <v>0</v>
      </c>
      <c r="D2287" s="21" t="n">
        <v>0</v>
      </c>
      <c r="E2287" s="21" t="n">
        <v>0</v>
      </c>
      <c r="F2287" s="21" t="n">
        <v>0</v>
      </c>
      <c r="G2287" s="30" t="s">
        <v>3432</v>
      </c>
    </row>
    <row r="2288" customFormat="false" ht="15" hidden="false" customHeight="false" outlineLevel="0" collapsed="false">
      <c r="A2288" s="28" t="n">
        <v>44578</v>
      </c>
      <c r="B2288" s="28" t="n">
        <v>44584</v>
      </c>
      <c r="C2288" s="21" t="n">
        <v>0</v>
      </c>
      <c r="D2288" s="21" t="n">
        <v>0</v>
      </c>
      <c r="E2288" s="21" t="n">
        <v>0</v>
      </c>
      <c r="F2288" s="21" t="n">
        <v>0</v>
      </c>
      <c r="G2288" s="30" t="s">
        <v>3432</v>
      </c>
    </row>
    <row r="2289" customFormat="false" ht="15" hidden="false" customHeight="false" outlineLevel="0" collapsed="false">
      <c r="A2289" s="28" t="n">
        <v>44585</v>
      </c>
      <c r="B2289" s="28" t="n">
        <v>44591</v>
      </c>
      <c r="C2289" s="21" t="n">
        <v>0</v>
      </c>
      <c r="D2289" s="21" t="n">
        <v>0</v>
      </c>
      <c r="E2289" s="21" t="n">
        <v>0</v>
      </c>
      <c r="F2289" s="21" t="n">
        <v>0</v>
      </c>
      <c r="G2289" s="30" t="s">
        <v>3432</v>
      </c>
    </row>
    <row r="2290" customFormat="false" ht="15" hidden="false" customHeight="false" outlineLevel="0" collapsed="false">
      <c r="A2290" s="28" t="n">
        <v>44592</v>
      </c>
      <c r="B2290" s="28" t="n">
        <v>44598</v>
      </c>
      <c r="C2290" s="21" t="n">
        <v>0</v>
      </c>
      <c r="D2290" s="21" t="n">
        <v>0</v>
      </c>
      <c r="E2290" s="21" t="n">
        <v>0</v>
      </c>
      <c r="F2290" s="21" t="n">
        <v>0</v>
      </c>
      <c r="G2290" s="30" t="s">
        <v>3432</v>
      </c>
    </row>
    <row r="2291" customFormat="false" ht="15" hidden="false" customHeight="false" outlineLevel="0" collapsed="false">
      <c r="A2291" s="28" t="n">
        <v>44599</v>
      </c>
      <c r="B2291" s="28" t="n">
        <v>44605</v>
      </c>
      <c r="C2291" s="21" t="n">
        <v>0</v>
      </c>
      <c r="D2291" s="21" t="n">
        <v>0</v>
      </c>
      <c r="E2291" s="21" t="n">
        <v>0</v>
      </c>
      <c r="F2291" s="21" t="n">
        <v>0</v>
      </c>
      <c r="G2291" s="30" t="s">
        <v>3432</v>
      </c>
    </row>
    <row r="2292" customFormat="false" ht="15" hidden="false" customHeight="false" outlineLevel="0" collapsed="false">
      <c r="A2292" s="28" t="n">
        <v>44606</v>
      </c>
      <c r="B2292" s="28" t="n">
        <v>44612</v>
      </c>
      <c r="C2292" s="21" t="n">
        <v>0</v>
      </c>
      <c r="D2292" s="21" t="n">
        <v>0</v>
      </c>
      <c r="E2292" s="21" t="n">
        <v>0</v>
      </c>
      <c r="F2292" s="21" t="n">
        <v>0</v>
      </c>
      <c r="G2292" s="30" t="s">
        <v>3432</v>
      </c>
    </row>
    <row r="2293" customFormat="false" ht="15" hidden="false" customHeight="false" outlineLevel="0" collapsed="false">
      <c r="A2293" s="28" t="n">
        <v>44613</v>
      </c>
      <c r="B2293" s="28" t="n">
        <v>44619</v>
      </c>
      <c r="C2293" s="21" t="n">
        <v>0</v>
      </c>
      <c r="D2293" s="21" t="n">
        <v>0</v>
      </c>
      <c r="E2293" s="21" t="n">
        <v>0</v>
      </c>
      <c r="F2293" s="21" t="n">
        <v>0</v>
      </c>
      <c r="G2293" s="30" t="s">
        <v>3432</v>
      </c>
    </row>
    <row r="2294" customFormat="false" ht="15" hidden="false" customHeight="false" outlineLevel="0" collapsed="false">
      <c r="A2294" s="28" t="n">
        <v>44620</v>
      </c>
      <c r="B2294" s="28" t="n">
        <v>44626</v>
      </c>
      <c r="C2294" s="21" t="n">
        <v>0</v>
      </c>
      <c r="D2294" s="21" t="n">
        <v>0</v>
      </c>
      <c r="E2294" s="21" t="n">
        <v>0</v>
      </c>
      <c r="F2294" s="21" t="n">
        <v>0</v>
      </c>
      <c r="G2294" s="30" t="s">
        <v>3432</v>
      </c>
    </row>
    <row r="2295" customFormat="false" ht="15" hidden="false" customHeight="false" outlineLevel="0" collapsed="false">
      <c r="A2295" s="28" t="n">
        <v>44627</v>
      </c>
      <c r="B2295" s="28" t="n">
        <v>44633</v>
      </c>
      <c r="C2295" s="21" t="n">
        <v>0</v>
      </c>
      <c r="D2295" s="21" t="n">
        <v>0</v>
      </c>
      <c r="E2295" s="21" t="n">
        <v>0</v>
      </c>
      <c r="F2295" s="21" t="n">
        <v>0</v>
      </c>
      <c r="G2295" s="30" t="s">
        <v>3432</v>
      </c>
    </row>
    <row r="2296" customFormat="false" ht="15" hidden="false" customHeight="false" outlineLevel="0" collapsed="false">
      <c r="A2296" s="28" t="n">
        <v>44634</v>
      </c>
      <c r="B2296" s="28" t="n">
        <v>44640</v>
      </c>
      <c r="C2296" s="21" t="n">
        <v>0</v>
      </c>
      <c r="D2296" s="21" t="n">
        <v>0</v>
      </c>
      <c r="E2296" s="21" t="n">
        <v>0</v>
      </c>
      <c r="F2296" s="21" t="n">
        <v>0</v>
      </c>
      <c r="G2296" s="30" t="s">
        <v>3432</v>
      </c>
    </row>
    <row r="2297" customFormat="false" ht="15" hidden="false" customHeight="false" outlineLevel="0" collapsed="false">
      <c r="A2297" s="28" t="n">
        <v>44641</v>
      </c>
      <c r="B2297" s="28" t="n">
        <v>44647</v>
      </c>
      <c r="C2297" s="21" t="n">
        <v>0</v>
      </c>
      <c r="D2297" s="21" t="n">
        <v>0</v>
      </c>
      <c r="E2297" s="21" t="n">
        <v>0</v>
      </c>
      <c r="F2297" s="21" t="n">
        <v>0</v>
      </c>
      <c r="G2297" s="30" t="s">
        <v>3432</v>
      </c>
    </row>
    <row r="2298" customFormat="false" ht="15" hidden="false" customHeight="false" outlineLevel="0" collapsed="false">
      <c r="A2298" s="28" t="n">
        <v>44648</v>
      </c>
      <c r="B2298" s="28" t="n">
        <v>44654</v>
      </c>
      <c r="C2298" s="21" t="n">
        <v>0</v>
      </c>
      <c r="D2298" s="21" t="n">
        <v>0</v>
      </c>
      <c r="E2298" s="21" t="n">
        <v>0</v>
      </c>
      <c r="F2298" s="21" t="n">
        <v>0</v>
      </c>
      <c r="G2298" s="30" t="s">
        <v>3432</v>
      </c>
    </row>
    <row r="2299" customFormat="false" ht="15" hidden="false" customHeight="false" outlineLevel="0" collapsed="false">
      <c r="A2299" s="28" t="n">
        <v>44655</v>
      </c>
      <c r="B2299" s="28" t="n">
        <v>44661</v>
      </c>
      <c r="C2299" s="21" t="n">
        <v>0</v>
      </c>
      <c r="D2299" s="21" t="n">
        <v>0</v>
      </c>
      <c r="E2299" s="21" t="n">
        <v>0</v>
      </c>
      <c r="F2299" s="21" t="n">
        <v>0</v>
      </c>
      <c r="G2299" s="30" t="s">
        <v>3432</v>
      </c>
    </row>
    <row r="2300" customFormat="false" ht="15" hidden="false" customHeight="false" outlineLevel="0" collapsed="false">
      <c r="A2300" s="28" t="n">
        <v>44662</v>
      </c>
      <c r="B2300" s="28" t="n">
        <v>44668</v>
      </c>
      <c r="C2300" s="21" t="n">
        <v>0</v>
      </c>
      <c r="D2300" s="21" t="n">
        <v>0</v>
      </c>
      <c r="E2300" s="21" t="n">
        <v>0</v>
      </c>
      <c r="F2300" s="21" t="n">
        <v>0</v>
      </c>
      <c r="G2300" s="30" t="s">
        <v>3432</v>
      </c>
    </row>
    <row r="2301" customFormat="false" ht="15" hidden="false" customHeight="false" outlineLevel="0" collapsed="false">
      <c r="A2301" s="28" t="n">
        <v>44669</v>
      </c>
      <c r="B2301" s="28" t="n">
        <v>44675</v>
      </c>
      <c r="C2301" s="21" t="n">
        <v>0</v>
      </c>
      <c r="D2301" s="21" t="n">
        <v>0</v>
      </c>
      <c r="E2301" s="21" t="n">
        <v>0</v>
      </c>
      <c r="F2301" s="21" t="n">
        <v>0</v>
      </c>
      <c r="G2301" s="30" t="s">
        <v>3432</v>
      </c>
    </row>
    <row r="2302" customFormat="false" ht="15" hidden="false" customHeight="false" outlineLevel="0" collapsed="false">
      <c r="A2302" s="28" t="n">
        <v>44676</v>
      </c>
      <c r="B2302" s="28" t="n">
        <v>44682</v>
      </c>
      <c r="C2302" s="21" t="n">
        <v>0</v>
      </c>
      <c r="D2302" s="21" t="n">
        <v>0</v>
      </c>
      <c r="E2302" s="21" t="n">
        <v>0</v>
      </c>
      <c r="F2302" s="21" t="n">
        <v>0</v>
      </c>
      <c r="G2302" s="30" t="s">
        <v>3432</v>
      </c>
    </row>
    <row r="2303" customFormat="false" ht="15" hidden="false" customHeight="false" outlineLevel="0" collapsed="false">
      <c r="A2303" s="28" t="n">
        <v>44683</v>
      </c>
      <c r="B2303" s="28" t="n">
        <v>44689</v>
      </c>
      <c r="C2303" s="21" t="n">
        <v>0</v>
      </c>
      <c r="D2303" s="21" t="n">
        <v>0</v>
      </c>
      <c r="E2303" s="21" t="n">
        <v>0</v>
      </c>
      <c r="F2303" s="21" t="n">
        <v>0</v>
      </c>
      <c r="G2303" s="30" t="s">
        <v>3432</v>
      </c>
    </row>
    <row r="2304" customFormat="false" ht="15" hidden="false" customHeight="false" outlineLevel="0" collapsed="false">
      <c r="A2304" s="28" t="n">
        <v>44690</v>
      </c>
      <c r="B2304" s="28" t="n">
        <v>44696</v>
      </c>
      <c r="C2304" s="21" t="n">
        <v>0</v>
      </c>
      <c r="D2304" s="21" t="n">
        <v>0</v>
      </c>
      <c r="E2304" s="21" t="n">
        <v>0</v>
      </c>
      <c r="F2304" s="21" t="n">
        <v>0</v>
      </c>
      <c r="G2304" s="30" t="s">
        <v>3432</v>
      </c>
    </row>
    <row r="2305" customFormat="false" ht="15" hidden="false" customHeight="false" outlineLevel="0" collapsed="false">
      <c r="A2305" s="28" t="n">
        <v>44697</v>
      </c>
      <c r="B2305" s="28" t="n">
        <v>44703</v>
      </c>
      <c r="C2305" s="21" t="n">
        <v>0</v>
      </c>
      <c r="D2305" s="21" t="n">
        <v>0</v>
      </c>
      <c r="E2305" s="21" t="n">
        <v>0</v>
      </c>
      <c r="F2305" s="21" t="n">
        <v>0</v>
      </c>
      <c r="G2305" s="30" t="s">
        <v>3432</v>
      </c>
    </row>
    <row r="2306" customFormat="false" ht="15" hidden="false" customHeight="false" outlineLevel="0" collapsed="false">
      <c r="A2306" s="28" t="n">
        <v>44704</v>
      </c>
      <c r="B2306" s="28" t="n">
        <v>44710</v>
      </c>
      <c r="C2306" s="21" t="n">
        <v>0</v>
      </c>
      <c r="D2306" s="21" t="n">
        <v>0</v>
      </c>
      <c r="E2306" s="21" t="n">
        <v>0</v>
      </c>
      <c r="F2306" s="21" t="n">
        <v>0</v>
      </c>
      <c r="G2306" s="30" t="s">
        <v>3432</v>
      </c>
    </row>
    <row r="2307" customFormat="false" ht="15" hidden="false" customHeight="false" outlineLevel="0" collapsed="false">
      <c r="A2307" s="28" t="n">
        <v>44711</v>
      </c>
      <c r="B2307" s="28" t="n">
        <v>44717</v>
      </c>
      <c r="C2307" s="21" t="n">
        <v>0</v>
      </c>
      <c r="D2307" s="21" t="n">
        <v>0</v>
      </c>
      <c r="E2307" s="21" t="n">
        <v>0</v>
      </c>
      <c r="F2307" s="21" t="n">
        <v>0</v>
      </c>
      <c r="G2307" s="30" t="s">
        <v>3432</v>
      </c>
    </row>
    <row r="2308" customFormat="false" ht="15" hidden="false" customHeight="false" outlineLevel="0" collapsed="false">
      <c r="A2308" s="28" t="n">
        <v>44718</v>
      </c>
      <c r="B2308" s="28" t="n">
        <v>44724</v>
      </c>
      <c r="C2308" s="21" t="n">
        <v>0</v>
      </c>
      <c r="D2308" s="21" t="n">
        <v>0</v>
      </c>
      <c r="E2308" s="21" t="n">
        <v>0</v>
      </c>
      <c r="F2308" s="21" t="n">
        <v>0</v>
      </c>
      <c r="G2308" s="30" t="s">
        <v>3432</v>
      </c>
    </row>
    <row r="2309" customFormat="false" ht="15" hidden="false" customHeight="false" outlineLevel="0" collapsed="false">
      <c r="A2309" s="28" t="n">
        <v>44725</v>
      </c>
      <c r="B2309" s="28" t="n">
        <v>44731</v>
      </c>
      <c r="C2309" s="21" t="n">
        <v>0</v>
      </c>
      <c r="D2309" s="21" t="n">
        <v>0</v>
      </c>
      <c r="E2309" s="21" t="n">
        <v>0</v>
      </c>
      <c r="F2309" s="21" t="n">
        <v>0</v>
      </c>
      <c r="G2309" s="30" t="s">
        <v>3432</v>
      </c>
    </row>
    <row r="2310" customFormat="false" ht="15" hidden="false" customHeight="false" outlineLevel="0" collapsed="false">
      <c r="A2310" s="28" t="n">
        <v>44732</v>
      </c>
      <c r="B2310" s="28" t="n">
        <v>44738</v>
      </c>
      <c r="C2310" s="21" t="n">
        <v>0</v>
      </c>
      <c r="D2310" s="21" t="n">
        <v>0</v>
      </c>
      <c r="E2310" s="21" t="n">
        <v>0</v>
      </c>
      <c r="F2310" s="21" t="n">
        <v>0</v>
      </c>
      <c r="G2310" s="30" t="s">
        <v>3432</v>
      </c>
    </row>
    <row r="2311" customFormat="false" ht="15" hidden="false" customHeight="false" outlineLevel="0" collapsed="false">
      <c r="A2311" s="28" t="n">
        <v>44739</v>
      </c>
      <c r="B2311" s="28" t="n">
        <v>44745</v>
      </c>
      <c r="C2311" s="21" t="n">
        <v>0</v>
      </c>
      <c r="D2311" s="21" t="n">
        <v>0</v>
      </c>
      <c r="E2311" s="21" t="n">
        <v>0</v>
      </c>
      <c r="F2311" s="21" t="n">
        <v>0</v>
      </c>
      <c r="G2311" s="30" t="s">
        <v>3432</v>
      </c>
    </row>
    <row r="2312" customFormat="false" ht="15" hidden="false" customHeight="false" outlineLevel="0" collapsed="false">
      <c r="A2312" s="28" t="n">
        <v>44746</v>
      </c>
      <c r="B2312" s="28" t="n">
        <v>44752</v>
      </c>
      <c r="C2312" s="21" t="n">
        <v>0</v>
      </c>
      <c r="D2312" s="21" t="n">
        <v>0</v>
      </c>
      <c r="E2312" s="21" t="n">
        <v>0</v>
      </c>
      <c r="F2312" s="21" t="n">
        <v>0</v>
      </c>
      <c r="G2312" s="30" t="s">
        <v>3432</v>
      </c>
    </row>
    <row r="2313" customFormat="false" ht="15" hidden="false" customHeight="false" outlineLevel="0" collapsed="false">
      <c r="A2313" s="28" t="n">
        <v>44753</v>
      </c>
      <c r="B2313" s="28" t="n">
        <v>44759</v>
      </c>
      <c r="C2313" s="21" t="n">
        <v>0</v>
      </c>
      <c r="D2313" s="21" t="n">
        <v>0</v>
      </c>
      <c r="E2313" s="21" t="n">
        <v>0</v>
      </c>
      <c r="F2313" s="21" t="n">
        <v>0</v>
      </c>
      <c r="G2313" s="30" t="s">
        <v>3432</v>
      </c>
    </row>
    <row r="2314" customFormat="false" ht="15" hidden="false" customHeight="false" outlineLevel="0" collapsed="false">
      <c r="A2314" s="28" t="n">
        <v>44760</v>
      </c>
      <c r="B2314" s="28" t="n">
        <v>44766</v>
      </c>
      <c r="C2314" s="21" t="n">
        <v>0</v>
      </c>
      <c r="D2314" s="21" t="n">
        <v>0</v>
      </c>
      <c r="E2314" s="21" t="n">
        <v>0</v>
      </c>
      <c r="F2314" s="21" t="n">
        <v>0</v>
      </c>
      <c r="G2314" s="30" t="s">
        <v>3432</v>
      </c>
    </row>
    <row r="2315" customFormat="false" ht="15" hidden="false" customHeight="false" outlineLevel="0" collapsed="false">
      <c r="A2315" s="28" t="n">
        <v>44767</v>
      </c>
      <c r="B2315" s="28" t="n">
        <v>44773</v>
      </c>
      <c r="C2315" s="21" t="n">
        <v>0</v>
      </c>
      <c r="D2315" s="21" t="n">
        <v>0</v>
      </c>
      <c r="E2315" s="21" t="n">
        <v>0</v>
      </c>
      <c r="F2315" s="21" t="n">
        <v>0</v>
      </c>
      <c r="G2315" s="30" t="s">
        <v>3432</v>
      </c>
    </row>
    <row r="2316" customFormat="false" ht="15" hidden="false" customHeight="false" outlineLevel="0" collapsed="false">
      <c r="A2316" s="28" t="n">
        <v>44774</v>
      </c>
      <c r="B2316" s="28" t="n">
        <v>44780</v>
      </c>
      <c r="C2316" s="21" t="n">
        <v>0</v>
      </c>
      <c r="D2316" s="21" t="n">
        <v>0</v>
      </c>
      <c r="E2316" s="21" t="n">
        <v>0</v>
      </c>
      <c r="F2316" s="21" t="n">
        <v>0</v>
      </c>
      <c r="G2316" s="30" t="s">
        <v>3432</v>
      </c>
    </row>
    <row r="2317" customFormat="false" ht="15" hidden="false" customHeight="false" outlineLevel="0" collapsed="false">
      <c r="A2317" s="28" t="n">
        <v>44781</v>
      </c>
      <c r="B2317" s="28" t="n">
        <v>44787</v>
      </c>
      <c r="C2317" s="21" t="n">
        <v>0</v>
      </c>
      <c r="D2317" s="21" t="n">
        <v>0</v>
      </c>
      <c r="E2317" s="21" t="n">
        <v>0</v>
      </c>
      <c r="F2317" s="21" t="n">
        <v>0</v>
      </c>
      <c r="G2317" s="30" t="s">
        <v>3432</v>
      </c>
    </row>
    <row r="2318" customFormat="false" ht="15" hidden="false" customHeight="false" outlineLevel="0" collapsed="false">
      <c r="A2318" s="28" t="n">
        <v>44788</v>
      </c>
      <c r="B2318" s="28" t="n">
        <v>44794</v>
      </c>
      <c r="C2318" s="21" t="n">
        <v>0</v>
      </c>
      <c r="D2318" s="21" t="n">
        <v>0</v>
      </c>
      <c r="E2318" s="21" t="n">
        <v>0</v>
      </c>
      <c r="F2318" s="21" t="n">
        <v>0</v>
      </c>
      <c r="G2318" s="30" t="s">
        <v>3432</v>
      </c>
    </row>
    <row r="2319" customFormat="false" ht="15" hidden="false" customHeight="false" outlineLevel="0" collapsed="false">
      <c r="A2319" s="28" t="n">
        <v>44795</v>
      </c>
      <c r="B2319" s="28" t="n">
        <v>44801</v>
      </c>
      <c r="C2319" s="21" t="n">
        <v>2</v>
      </c>
      <c r="D2319" s="21" t="n">
        <v>0</v>
      </c>
      <c r="E2319" s="21" t="n">
        <v>1</v>
      </c>
      <c r="F2319" s="21" t="n">
        <v>6</v>
      </c>
      <c r="G2319" s="31" t="s">
        <v>89</v>
      </c>
    </row>
    <row r="2320" customFormat="false" ht="15" hidden="false" customHeight="false" outlineLevel="0" collapsed="false">
      <c r="A2320" s="28" t="n">
        <v>44802</v>
      </c>
      <c r="B2320" s="28" t="n">
        <v>44808</v>
      </c>
      <c r="C2320" s="21" t="n">
        <v>0</v>
      </c>
      <c r="D2320" s="21" t="n">
        <v>0</v>
      </c>
      <c r="E2320" s="21" t="n">
        <v>0</v>
      </c>
      <c r="F2320" s="21" t="n">
        <v>0</v>
      </c>
      <c r="G2320" s="31" t="s">
        <v>89</v>
      </c>
    </row>
    <row r="2321" customFormat="false" ht="15" hidden="false" customHeight="false" outlineLevel="0" collapsed="false">
      <c r="A2321" s="28" t="n">
        <v>44809</v>
      </c>
      <c r="B2321" s="28" t="n">
        <v>44815</v>
      </c>
      <c r="C2321" s="21" t="n">
        <v>0</v>
      </c>
      <c r="D2321" s="21" t="n">
        <v>0</v>
      </c>
      <c r="E2321" s="21" t="n">
        <v>0</v>
      </c>
      <c r="F2321" s="21" t="n">
        <v>0</v>
      </c>
      <c r="G2321" s="30" t="s">
        <v>3432</v>
      </c>
    </row>
    <row r="2322" customFormat="false" ht="15" hidden="false" customHeight="false" outlineLevel="0" collapsed="false">
      <c r="A2322" s="28" t="n">
        <v>44816</v>
      </c>
      <c r="B2322" s="28" t="n">
        <v>44822</v>
      </c>
      <c r="C2322" s="21" t="n">
        <v>0</v>
      </c>
      <c r="D2322" s="21" t="n">
        <v>0</v>
      </c>
      <c r="E2322" s="21" t="n">
        <v>0</v>
      </c>
      <c r="F2322" s="21" t="n">
        <v>0</v>
      </c>
      <c r="G2322" s="30" t="s">
        <v>3432</v>
      </c>
    </row>
    <row r="2323" customFormat="false" ht="15" hidden="false" customHeight="false" outlineLevel="0" collapsed="false">
      <c r="A2323" s="28" t="n">
        <v>44823</v>
      </c>
      <c r="B2323" s="28" t="n">
        <v>44829</v>
      </c>
      <c r="C2323" s="21" t="n">
        <v>0</v>
      </c>
      <c r="D2323" s="21" t="n">
        <v>0</v>
      </c>
      <c r="E2323" s="21" t="n">
        <v>0</v>
      </c>
      <c r="F2323" s="21" t="n">
        <v>0</v>
      </c>
      <c r="G2323" s="30" t="s">
        <v>3432</v>
      </c>
    </row>
    <row r="2324" customFormat="false" ht="15" hidden="false" customHeight="false" outlineLevel="0" collapsed="false">
      <c r="A2324" s="28" t="n">
        <v>44830</v>
      </c>
      <c r="B2324" s="28" t="n">
        <v>44836</v>
      </c>
      <c r="C2324" s="21" t="n">
        <v>0</v>
      </c>
      <c r="D2324" s="21" t="n">
        <v>0</v>
      </c>
      <c r="E2324" s="21" t="n">
        <v>0</v>
      </c>
      <c r="F2324" s="21" t="n">
        <v>0</v>
      </c>
      <c r="G2324" s="30" t="s">
        <v>3432</v>
      </c>
    </row>
    <row r="2325" customFormat="false" ht="15" hidden="false" customHeight="false" outlineLevel="0" collapsed="false">
      <c r="A2325" s="28" t="n">
        <v>44837</v>
      </c>
      <c r="B2325" s="28" t="n">
        <v>44843</v>
      </c>
      <c r="C2325" s="21" t="n">
        <v>0</v>
      </c>
      <c r="D2325" s="21" t="n">
        <v>0</v>
      </c>
      <c r="E2325" s="21" t="n">
        <v>0</v>
      </c>
      <c r="F2325" s="21" t="n">
        <v>0</v>
      </c>
      <c r="G2325" s="30" t="s">
        <v>3432</v>
      </c>
    </row>
    <row r="2326" customFormat="false" ht="15" hidden="false" customHeight="false" outlineLevel="0" collapsed="false">
      <c r="A2326" s="28" t="n">
        <v>44844</v>
      </c>
      <c r="B2326" s="28" t="n">
        <v>44850</v>
      </c>
      <c r="C2326" s="21" t="n">
        <v>0</v>
      </c>
      <c r="D2326" s="21" t="n">
        <v>0</v>
      </c>
      <c r="E2326" s="21" t="n">
        <v>0</v>
      </c>
      <c r="F2326" s="21" t="n">
        <v>0</v>
      </c>
      <c r="G2326" s="30" t="s">
        <v>3432</v>
      </c>
    </row>
    <row r="2327" customFormat="false" ht="15" hidden="false" customHeight="false" outlineLevel="0" collapsed="false">
      <c r="A2327" s="28" t="n">
        <v>44851</v>
      </c>
      <c r="B2327" s="28" t="n">
        <v>44857</v>
      </c>
      <c r="C2327" s="21" t="n">
        <v>0</v>
      </c>
      <c r="D2327" s="21" t="n">
        <v>0</v>
      </c>
      <c r="E2327" s="21" t="n">
        <v>0</v>
      </c>
      <c r="F2327" s="21" t="n">
        <v>0</v>
      </c>
      <c r="G2327" s="30" t="s">
        <v>3432</v>
      </c>
    </row>
    <row r="2328" customFormat="false" ht="15" hidden="false" customHeight="false" outlineLevel="0" collapsed="false">
      <c r="A2328" s="28" t="n">
        <v>44858</v>
      </c>
      <c r="B2328" s="28" t="n">
        <v>44864</v>
      </c>
      <c r="C2328" s="21" t="n">
        <v>0</v>
      </c>
      <c r="D2328" s="21" t="n">
        <v>0</v>
      </c>
      <c r="E2328" s="21" t="n">
        <v>0</v>
      </c>
      <c r="F2328" s="21" t="n">
        <v>0</v>
      </c>
      <c r="G2328" s="30" t="s">
        <v>3432</v>
      </c>
    </row>
    <row r="2329" customFormat="false" ht="15" hidden="false" customHeight="false" outlineLevel="0" collapsed="false">
      <c r="A2329" s="28" t="n">
        <v>44865</v>
      </c>
      <c r="B2329" s="28" t="n">
        <v>44871</v>
      </c>
      <c r="C2329" s="21" t="n">
        <v>0</v>
      </c>
      <c r="D2329" s="21" t="n">
        <v>0</v>
      </c>
      <c r="E2329" s="21" t="n">
        <v>0</v>
      </c>
      <c r="F2329" s="21" t="n">
        <v>0</v>
      </c>
      <c r="G2329" s="30" t="s">
        <v>3432</v>
      </c>
    </row>
    <row r="2330" customFormat="false" ht="15" hidden="false" customHeight="false" outlineLevel="0" collapsed="false">
      <c r="A2330" s="28" t="n">
        <v>44872</v>
      </c>
      <c r="B2330" s="28" t="n">
        <v>44878</v>
      </c>
      <c r="C2330" s="21" t="n">
        <v>0</v>
      </c>
      <c r="D2330" s="21" t="n">
        <v>0</v>
      </c>
      <c r="E2330" s="21" t="n">
        <v>0</v>
      </c>
      <c r="F2330" s="21" t="n">
        <v>0</v>
      </c>
      <c r="G2330" s="30" t="s">
        <v>3432</v>
      </c>
    </row>
    <row r="2331" customFormat="false" ht="15" hidden="false" customHeight="false" outlineLevel="0" collapsed="false">
      <c r="A2331" s="28" t="n">
        <v>44879</v>
      </c>
      <c r="B2331" s="28" t="n">
        <v>44885</v>
      </c>
      <c r="C2331" s="21" t="n">
        <v>0</v>
      </c>
      <c r="D2331" s="21" t="n">
        <v>0</v>
      </c>
      <c r="E2331" s="21" t="n">
        <v>0</v>
      </c>
      <c r="F2331" s="21" t="n">
        <v>0</v>
      </c>
      <c r="G2331" s="30" t="s">
        <v>3432</v>
      </c>
    </row>
    <row r="2332" customFormat="false" ht="15" hidden="false" customHeight="false" outlineLevel="0" collapsed="false">
      <c r="A2332" s="28" t="n">
        <v>44886</v>
      </c>
      <c r="B2332" s="28" t="n">
        <v>44892</v>
      </c>
      <c r="C2332" s="21" t="n">
        <v>0</v>
      </c>
      <c r="D2332" s="21" t="n">
        <v>0</v>
      </c>
      <c r="E2332" s="21" t="n">
        <v>0</v>
      </c>
      <c r="F2332" s="21" t="n">
        <v>0</v>
      </c>
      <c r="G2332" s="30" t="s">
        <v>3432</v>
      </c>
    </row>
    <row r="2333" customFormat="false" ht="15" hidden="false" customHeight="false" outlineLevel="0" collapsed="false">
      <c r="A2333" s="28" t="n">
        <v>44893</v>
      </c>
      <c r="B2333" s="28" t="n">
        <v>44899</v>
      </c>
      <c r="C2333" s="21" t="n">
        <v>0</v>
      </c>
      <c r="D2333" s="21" t="n">
        <v>0</v>
      </c>
      <c r="E2333" s="21" t="n">
        <v>0</v>
      </c>
      <c r="F2333" s="21" t="n">
        <v>0</v>
      </c>
      <c r="G2333" s="30" t="s">
        <v>3432</v>
      </c>
    </row>
    <row r="2334" customFormat="false" ht="15" hidden="false" customHeight="false" outlineLevel="0" collapsed="false">
      <c r="A2334" s="28" t="n">
        <v>44900</v>
      </c>
      <c r="B2334" s="28" t="n">
        <v>44906</v>
      </c>
      <c r="C2334" s="21" t="n">
        <v>0</v>
      </c>
      <c r="D2334" s="21" t="n">
        <v>0</v>
      </c>
      <c r="E2334" s="21" t="n">
        <v>0</v>
      </c>
      <c r="F2334" s="21" t="n">
        <v>0</v>
      </c>
      <c r="G2334" s="30" t="s">
        <v>3432</v>
      </c>
    </row>
    <row r="2335" customFormat="false" ht="15" hidden="false" customHeight="false" outlineLevel="0" collapsed="false">
      <c r="A2335" s="28" t="n">
        <v>44907</v>
      </c>
      <c r="B2335" s="28" t="n">
        <v>44913</v>
      </c>
      <c r="C2335" s="21" t="n">
        <v>0</v>
      </c>
      <c r="D2335" s="21" t="n">
        <v>0</v>
      </c>
      <c r="E2335" s="21" t="n">
        <v>0</v>
      </c>
      <c r="F2335" s="21" t="n">
        <v>0</v>
      </c>
      <c r="G2335" s="30" t="s">
        <v>3432</v>
      </c>
    </row>
    <row r="2336" customFormat="false" ht="15" hidden="false" customHeight="false" outlineLevel="0" collapsed="false">
      <c r="A2336" s="28" t="n">
        <v>44914</v>
      </c>
      <c r="B2336" s="28" t="n">
        <v>44920</v>
      </c>
      <c r="C2336" s="21" t="n">
        <v>0</v>
      </c>
      <c r="D2336" s="21" t="n">
        <v>0</v>
      </c>
      <c r="E2336" s="21" t="n">
        <v>0</v>
      </c>
      <c r="F2336" s="21" t="n">
        <v>0</v>
      </c>
      <c r="G2336" s="30" t="s">
        <v>3432</v>
      </c>
    </row>
    <row r="2337" customFormat="false" ht="15" hidden="false" customHeight="false" outlineLevel="0" collapsed="false">
      <c r="A2337" s="28" t="n">
        <v>44921</v>
      </c>
      <c r="B2337" s="28" t="n">
        <v>44927</v>
      </c>
      <c r="C2337" s="21" t="n">
        <v>0</v>
      </c>
      <c r="D2337" s="21" t="n">
        <v>0</v>
      </c>
      <c r="E2337" s="21" t="n">
        <v>0</v>
      </c>
      <c r="F2337" s="21" t="n">
        <v>0</v>
      </c>
      <c r="G2337" s="30" t="s">
        <v>3432</v>
      </c>
    </row>
    <row r="2338" customFormat="false" ht="15" hidden="false" customHeight="false" outlineLevel="0" collapsed="false">
      <c r="A2338" s="28" t="n">
        <v>44928</v>
      </c>
      <c r="B2338" s="28" t="n">
        <v>44934</v>
      </c>
      <c r="C2338" s="21" t="n">
        <v>0</v>
      </c>
      <c r="D2338" s="21" t="n">
        <v>0</v>
      </c>
      <c r="E2338" s="21" t="n">
        <v>0</v>
      </c>
      <c r="F2338" s="21" t="n">
        <v>0</v>
      </c>
      <c r="G2338" s="30" t="s">
        <v>3432</v>
      </c>
    </row>
    <row r="2339" customFormat="false" ht="15" hidden="false" customHeight="false" outlineLevel="0" collapsed="false">
      <c r="A2339" s="28" t="n">
        <v>44935</v>
      </c>
      <c r="B2339" s="28" t="n">
        <v>44941</v>
      </c>
      <c r="C2339" s="21" t="n">
        <v>0</v>
      </c>
      <c r="D2339" s="21" t="n">
        <v>1</v>
      </c>
      <c r="E2339" s="21" t="n">
        <v>0</v>
      </c>
      <c r="F2339" s="21" t="n">
        <v>1</v>
      </c>
      <c r="G2339" s="29" t="s">
        <v>184</v>
      </c>
    </row>
    <row r="2340" customFormat="false" ht="15" hidden="false" customHeight="false" outlineLevel="0" collapsed="false">
      <c r="A2340" s="28" t="n">
        <v>44942</v>
      </c>
      <c r="B2340" s="28" t="n">
        <v>44948</v>
      </c>
      <c r="C2340" s="21" t="n">
        <v>0</v>
      </c>
      <c r="D2340" s="21" t="n">
        <v>0</v>
      </c>
      <c r="E2340" s="21" t="n">
        <v>0</v>
      </c>
      <c r="F2340" s="21" t="n">
        <v>0</v>
      </c>
      <c r="G2340" s="29" t="s">
        <v>184</v>
      </c>
    </row>
    <row r="2341" customFormat="false" ht="15" hidden="false" customHeight="false" outlineLevel="0" collapsed="false">
      <c r="A2341" s="28" t="n">
        <v>44949</v>
      </c>
      <c r="B2341" s="28" t="n">
        <v>44955</v>
      </c>
      <c r="C2341" s="21" t="n">
        <v>0</v>
      </c>
      <c r="D2341" s="21" t="n">
        <v>0</v>
      </c>
      <c r="E2341" s="21" t="n">
        <v>0</v>
      </c>
      <c r="F2341" s="21" t="n">
        <v>0</v>
      </c>
      <c r="G2341" s="30" t="s">
        <v>3432</v>
      </c>
    </row>
    <row r="2342" customFormat="false" ht="15" hidden="false" customHeight="false" outlineLevel="0" collapsed="false">
      <c r="A2342" s="28" t="n">
        <v>44956</v>
      </c>
      <c r="B2342" s="28" t="n">
        <v>44962</v>
      </c>
      <c r="C2342" s="21" t="n">
        <v>0</v>
      </c>
      <c r="D2342" s="21" t="n">
        <v>0</v>
      </c>
      <c r="E2342" s="21" t="n">
        <v>0</v>
      </c>
      <c r="F2342" s="21" t="n">
        <v>0</v>
      </c>
      <c r="G2342" s="30" t="s">
        <v>3432</v>
      </c>
    </row>
    <row r="2343" customFormat="false" ht="15" hidden="false" customHeight="false" outlineLevel="0" collapsed="false">
      <c r="A2343" s="28" t="n">
        <v>44963</v>
      </c>
      <c r="B2343" s="28" t="n">
        <v>44969</v>
      </c>
      <c r="C2343" s="21" t="n">
        <v>0</v>
      </c>
      <c r="D2343" s="21" t="n">
        <v>0</v>
      </c>
      <c r="E2343" s="21" t="n">
        <v>0</v>
      </c>
      <c r="F2343" s="21" t="n">
        <v>0</v>
      </c>
      <c r="G2343" s="30" t="s">
        <v>3432</v>
      </c>
    </row>
    <row r="2344" customFormat="false" ht="15" hidden="false" customHeight="false" outlineLevel="0" collapsed="false">
      <c r="A2344" s="28" t="n">
        <v>44970</v>
      </c>
      <c r="B2344" s="28" t="n">
        <v>44976</v>
      </c>
      <c r="C2344" s="21" t="n">
        <v>0</v>
      </c>
      <c r="D2344" s="21" t="n">
        <v>0</v>
      </c>
      <c r="E2344" s="21" t="n">
        <v>0</v>
      </c>
      <c r="F2344" s="21" t="n">
        <v>0</v>
      </c>
      <c r="G2344" s="30" t="s">
        <v>3432</v>
      </c>
    </row>
    <row r="2345" customFormat="false" ht="15" hidden="false" customHeight="false" outlineLevel="0" collapsed="false">
      <c r="A2345" s="28" t="n">
        <v>44977</v>
      </c>
      <c r="B2345" s="28" t="n">
        <v>44983</v>
      </c>
      <c r="C2345" s="21" t="n">
        <v>0</v>
      </c>
      <c r="D2345" s="21" t="n">
        <v>0</v>
      </c>
      <c r="E2345" s="21" t="n">
        <v>0</v>
      </c>
      <c r="F2345" s="21" t="n">
        <v>0</v>
      </c>
      <c r="G2345" s="30" t="s">
        <v>3432</v>
      </c>
    </row>
    <row r="2346" customFormat="false" ht="15" hidden="false" customHeight="false" outlineLevel="0" collapsed="false">
      <c r="A2346" s="28" t="n">
        <v>44984</v>
      </c>
      <c r="B2346" s="28" t="n">
        <v>44990</v>
      </c>
      <c r="C2346" s="21" t="n">
        <v>0</v>
      </c>
      <c r="D2346" s="21" t="n">
        <v>0</v>
      </c>
      <c r="E2346" s="21" t="n">
        <v>0</v>
      </c>
      <c r="F2346" s="21" t="n">
        <v>0</v>
      </c>
      <c r="G2346" s="30" t="s">
        <v>3432</v>
      </c>
    </row>
    <row r="2347" customFormat="false" ht="15" hidden="false" customHeight="false" outlineLevel="0" collapsed="false">
      <c r="A2347" s="28" t="n">
        <v>44991</v>
      </c>
      <c r="B2347" s="28" t="n">
        <v>44997</v>
      </c>
      <c r="C2347" s="21" t="n">
        <v>0</v>
      </c>
      <c r="D2347" s="21" t="n">
        <v>0</v>
      </c>
      <c r="E2347" s="21" t="n">
        <v>0</v>
      </c>
      <c r="F2347" s="21" t="n">
        <v>0</v>
      </c>
      <c r="G2347" s="30" t="s">
        <v>3432</v>
      </c>
    </row>
    <row r="2348" customFormat="false" ht="15" hidden="false" customHeight="false" outlineLevel="0" collapsed="false">
      <c r="A2348" s="28" t="n">
        <v>44998</v>
      </c>
      <c r="B2348" s="28" t="n">
        <v>45004</v>
      </c>
      <c r="C2348" s="21" t="n">
        <v>0</v>
      </c>
      <c r="D2348" s="21" t="n">
        <v>0</v>
      </c>
      <c r="E2348" s="21" t="n">
        <v>0</v>
      </c>
      <c r="F2348" s="21" t="n">
        <v>0</v>
      </c>
      <c r="G2348" s="30" t="s">
        <v>3432</v>
      </c>
    </row>
    <row r="2349" customFormat="false" ht="15" hidden="false" customHeight="false" outlineLevel="0" collapsed="false">
      <c r="A2349" s="28" t="n">
        <v>45005</v>
      </c>
      <c r="B2349" s="28" t="n">
        <v>45011</v>
      </c>
      <c r="C2349" s="21" t="n">
        <v>3</v>
      </c>
      <c r="D2349" s="21" t="n">
        <v>0</v>
      </c>
      <c r="E2349" s="21" t="n">
        <v>1</v>
      </c>
      <c r="F2349" s="21" t="n">
        <v>8</v>
      </c>
      <c r="G2349" s="31" t="s">
        <v>89</v>
      </c>
    </row>
    <row r="2350" customFormat="false" ht="15" hidden="false" customHeight="false" outlineLevel="0" collapsed="false">
      <c r="A2350" s="28" t="n">
        <v>45012</v>
      </c>
      <c r="B2350" s="28" t="n">
        <v>45018</v>
      </c>
      <c r="C2350" s="21" t="n">
        <v>0</v>
      </c>
      <c r="D2350" s="21" t="n">
        <v>0</v>
      </c>
      <c r="E2350" s="21" t="n">
        <v>0</v>
      </c>
      <c r="F2350" s="21" t="n">
        <v>0</v>
      </c>
      <c r="G2350" s="31" t="s">
        <v>89</v>
      </c>
    </row>
    <row r="2351" customFormat="false" ht="15" hidden="false" customHeight="false" outlineLevel="0" collapsed="false">
      <c r="A2351" s="28" t="n">
        <v>45019</v>
      </c>
      <c r="B2351" s="28" t="n">
        <v>45025</v>
      </c>
      <c r="C2351" s="21" t="n">
        <v>0</v>
      </c>
      <c r="D2351" s="21" t="n">
        <v>0</v>
      </c>
      <c r="E2351" s="21" t="n">
        <v>0</v>
      </c>
      <c r="F2351" s="21" t="n">
        <v>0</v>
      </c>
      <c r="G2351" s="30" t="s">
        <v>3432</v>
      </c>
    </row>
    <row r="2352" customFormat="false" ht="15" hidden="false" customHeight="false" outlineLevel="0" collapsed="false">
      <c r="A2352" s="28" t="n">
        <v>45026</v>
      </c>
      <c r="B2352" s="28" t="n">
        <v>45032</v>
      </c>
      <c r="C2352" s="21" t="n">
        <v>0</v>
      </c>
      <c r="D2352" s="21" t="n">
        <v>0</v>
      </c>
      <c r="E2352" s="21" t="n">
        <v>0</v>
      </c>
      <c r="F2352" s="21" t="n">
        <v>0</v>
      </c>
      <c r="G2352" s="30" t="s">
        <v>3432</v>
      </c>
    </row>
    <row r="2353" customFormat="false" ht="15" hidden="false" customHeight="false" outlineLevel="0" collapsed="false">
      <c r="A2353" s="28" t="n">
        <v>45033</v>
      </c>
      <c r="B2353" s="28" t="n">
        <v>45039</v>
      </c>
      <c r="C2353" s="21" t="n">
        <v>0</v>
      </c>
      <c r="D2353" s="21" t="n">
        <v>0</v>
      </c>
      <c r="E2353" s="21" t="n">
        <v>0</v>
      </c>
      <c r="F2353" s="21" t="n">
        <v>0</v>
      </c>
      <c r="G2353" s="30" t="s">
        <v>3432</v>
      </c>
    </row>
    <row r="2354" customFormat="false" ht="15" hidden="false" customHeight="false" outlineLevel="0" collapsed="false">
      <c r="A2354" s="28" t="n">
        <v>45040</v>
      </c>
      <c r="B2354" s="28" t="n">
        <v>45046</v>
      </c>
      <c r="C2354" s="21" t="n">
        <v>0</v>
      </c>
      <c r="D2354" s="21" t="n">
        <v>1</v>
      </c>
      <c r="E2354" s="21" t="n">
        <v>0</v>
      </c>
      <c r="F2354" s="21" t="n">
        <v>1</v>
      </c>
      <c r="G2354" s="29" t="s">
        <v>184</v>
      </c>
    </row>
    <row r="2355" customFormat="false" ht="15" hidden="false" customHeight="false" outlineLevel="0" collapsed="false">
      <c r="A2355" s="28" t="n">
        <v>45047</v>
      </c>
      <c r="B2355" s="28" t="n">
        <v>45053</v>
      </c>
      <c r="C2355" s="21" t="n">
        <v>0</v>
      </c>
      <c r="D2355" s="21" t="n">
        <v>0</v>
      </c>
      <c r="E2355" s="21" t="n">
        <v>0</v>
      </c>
      <c r="F2355" s="21" t="n">
        <v>0</v>
      </c>
      <c r="G2355" s="29" t="s">
        <v>184</v>
      </c>
    </row>
    <row r="2356" customFormat="false" ht="15" hidden="false" customHeight="false" outlineLevel="0" collapsed="false">
      <c r="A2356" s="28" t="n">
        <v>45054</v>
      </c>
      <c r="B2356" s="28" t="n">
        <v>45060</v>
      </c>
      <c r="C2356" s="21" t="n">
        <v>0</v>
      </c>
      <c r="D2356" s="21" t="n">
        <v>0</v>
      </c>
      <c r="E2356" s="21" t="n">
        <v>0</v>
      </c>
      <c r="F2356" s="21" t="n">
        <v>0</v>
      </c>
      <c r="G2356" s="30" t="s">
        <v>3432</v>
      </c>
    </row>
    <row r="2357" customFormat="false" ht="15" hidden="false" customHeight="false" outlineLevel="0" collapsed="false">
      <c r="A2357" s="28" t="n">
        <v>45061</v>
      </c>
      <c r="B2357" s="28" t="n">
        <v>45067</v>
      </c>
      <c r="C2357" s="21" t="n">
        <v>0</v>
      </c>
      <c r="D2357" s="21" t="n">
        <v>0</v>
      </c>
      <c r="E2357" s="21" t="n">
        <v>0</v>
      </c>
      <c r="F2357" s="21" t="n">
        <v>0</v>
      </c>
      <c r="G2357" s="30" t="s">
        <v>3432</v>
      </c>
    </row>
    <row r="2358" customFormat="false" ht="15" hidden="false" customHeight="false" outlineLevel="0" collapsed="false">
      <c r="A2358" s="28" t="n">
        <v>45068</v>
      </c>
      <c r="B2358" s="28" t="n">
        <v>45074</v>
      </c>
      <c r="C2358" s="21" t="n">
        <v>0</v>
      </c>
      <c r="D2358" s="21" t="n">
        <v>0</v>
      </c>
      <c r="E2358" s="21" t="n">
        <v>0</v>
      </c>
      <c r="F2358" s="21" t="n">
        <v>0</v>
      </c>
      <c r="G2358" s="30" t="s">
        <v>3432</v>
      </c>
    </row>
    <row r="2359" customFormat="false" ht="15" hidden="false" customHeight="false" outlineLevel="0" collapsed="false">
      <c r="A2359" s="28" t="n">
        <v>45075</v>
      </c>
      <c r="B2359" s="28" t="n">
        <v>45081</v>
      </c>
      <c r="C2359" s="21" t="n">
        <v>0</v>
      </c>
      <c r="D2359" s="21" t="n">
        <v>0</v>
      </c>
      <c r="E2359" s="21" t="n">
        <v>0</v>
      </c>
      <c r="F2359" s="21" t="n">
        <v>0</v>
      </c>
      <c r="G2359" s="30" t="s">
        <v>3432</v>
      </c>
    </row>
    <row r="2360" customFormat="false" ht="15" hidden="false" customHeight="false" outlineLevel="0" collapsed="false">
      <c r="A2360" s="28" t="n">
        <v>45082</v>
      </c>
      <c r="B2360" s="28" t="n">
        <v>45088</v>
      </c>
      <c r="C2360" s="21" t="n">
        <v>0</v>
      </c>
      <c r="D2360" s="21" t="n">
        <v>0</v>
      </c>
      <c r="E2360" s="21" t="n">
        <v>0</v>
      </c>
      <c r="F2360" s="21" t="n">
        <v>0</v>
      </c>
      <c r="G2360" s="30" t="s">
        <v>3432</v>
      </c>
    </row>
    <row r="2361" customFormat="false" ht="15" hidden="false" customHeight="false" outlineLevel="0" collapsed="false">
      <c r="A2361" s="28" t="n">
        <v>45089</v>
      </c>
      <c r="B2361" s="28" t="n">
        <v>45095</v>
      </c>
      <c r="C2361" s="21" t="n">
        <v>0</v>
      </c>
      <c r="D2361" s="21" t="n">
        <v>0</v>
      </c>
      <c r="E2361" s="21" t="n">
        <v>0</v>
      </c>
      <c r="F2361" s="21" t="n">
        <v>0</v>
      </c>
      <c r="G2361" s="30" t="s">
        <v>3432</v>
      </c>
    </row>
    <row r="2362" customFormat="false" ht="15" hidden="false" customHeight="false" outlineLevel="0" collapsed="false">
      <c r="A2362" s="28" t="n">
        <v>45096</v>
      </c>
      <c r="B2362" s="28" t="n">
        <v>45102</v>
      </c>
      <c r="C2362" s="21" t="n">
        <v>0</v>
      </c>
      <c r="D2362" s="21" t="n">
        <v>0</v>
      </c>
      <c r="E2362" s="21" t="n">
        <v>0</v>
      </c>
      <c r="F2362" s="21" t="n">
        <v>0</v>
      </c>
      <c r="G2362" s="30" t="s">
        <v>3432</v>
      </c>
    </row>
    <row r="2363" customFormat="false" ht="15" hidden="false" customHeight="false" outlineLevel="0" collapsed="false">
      <c r="A2363" s="28" t="n">
        <v>45103</v>
      </c>
      <c r="B2363" s="28" t="n">
        <v>45109</v>
      </c>
      <c r="C2363" s="21" t="n">
        <v>0</v>
      </c>
      <c r="D2363" s="21" t="n">
        <v>0</v>
      </c>
      <c r="E2363" s="21" t="n">
        <v>0</v>
      </c>
      <c r="F2363" s="21" t="n">
        <v>0</v>
      </c>
      <c r="G2363" s="30" t="s">
        <v>3432</v>
      </c>
    </row>
    <row r="2364" customFormat="false" ht="15" hidden="false" customHeight="false" outlineLevel="0" collapsed="false">
      <c r="A2364" s="28" t="n">
        <v>45110</v>
      </c>
      <c r="B2364" s="28" t="n">
        <v>45116</v>
      </c>
      <c r="C2364" s="21" t="n">
        <v>0</v>
      </c>
      <c r="D2364" s="21" t="n">
        <v>0</v>
      </c>
      <c r="E2364" s="21" t="n">
        <v>0</v>
      </c>
      <c r="F2364" s="21" t="n">
        <v>0</v>
      </c>
      <c r="G2364" s="30" t="s">
        <v>3432</v>
      </c>
    </row>
    <row r="2365" customFormat="false" ht="15" hidden="false" customHeight="false" outlineLevel="0" collapsed="false">
      <c r="A2365" s="28" t="n">
        <v>45117</v>
      </c>
      <c r="B2365" s="28" t="n">
        <v>45123</v>
      </c>
      <c r="C2365" s="21" t="n">
        <v>0</v>
      </c>
      <c r="D2365" s="21" t="n">
        <v>0</v>
      </c>
      <c r="E2365" s="21" t="n">
        <v>0</v>
      </c>
      <c r="F2365" s="21" t="n">
        <v>0</v>
      </c>
      <c r="G2365" s="30" t="s">
        <v>3432</v>
      </c>
    </row>
    <row r="2366" customFormat="false" ht="15" hidden="false" customHeight="false" outlineLevel="0" collapsed="false">
      <c r="A2366" s="28" t="n">
        <v>45124</v>
      </c>
      <c r="B2366" s="28" t="n">
        <v>45130</v>
      </c>
      <c r="C2366" s="21" t="n">
        <v>0</v>
      </c>
      <c r="D2366" s="21" t="n">
        <v>0</v>
      </c>
      <c r="E2366" s="21" t="n">
        <v>0</v>
      </c>
      <c r="F2366" s="21" t="n">
        <v>0</v>
      </c>
      <c r="G2366" s="30" t="s">
        <v>3432</v>
      </c>
    </row>
    <row r="2367" customFormat="false" ht="15" hidden="false" customHeight="false" outlineLevel="0" collapsed="false">
      <c r="A2367" s="28" t="n">
        <v>45131</v>
      </c>
      <c r="B2367" s="28" t="n">
        <v>45137</v>
      </c>
      <c r="C2367" s="21" t="n">
        <v>0</v>
      </c>
      <c r="D2367" s="21" t="n">
        <v>0</v>
      </c>
      <c r="E2367" s="21" t="n">
        <v>0</v>
      </c>
      <c r="F2367" s="21" t="n">
        <v>0</v>
      </c>
      <c r="G2367" s="30" t="s">
        <v>3432</v>
      </c>
    </row>
    <row r="2368" customFormat="false" ht="15" hidden="false" customHeight="false" outlineLevel="0" collapsed="false">
      <c r="A2368" s="28" t="n">
        <v>45138</v>
      </c>
      <c r="B2368" s="28" t="n">
        <v>45144</v>
      </c>
      <c r="C2368" s="21" t="n">
        <v>0</v>
      </c>
      <c r="D2368" s="21" t="n">
        <v>0</v>
      </c>
      <c r="E2368" s="21" t="n">
        <v>0</v>
      </c>
      <c r="F2368" s="21" t="n">
        <v>0</v>
      </c>
      <c r="G2368" s="30" t="s">
        <v>3432</v>
      </c>
    </row>
    <row r="2369" customFormat="false" ht="15" hidden="false" customHeight="false" outlineLevel="0" collapsed="false">
      <c r="A2369" s="28" t="n">
        <v>45145</v>
      </c>
      <c r="B2369" s="28" t="n">
        <v>45151</v>
      </c>
      <c r="C2369" s="21" t="n">
        <v>0</v>
      </c>
      <c r="D2369" s="21" t="n">
        <v>0</v>
      </c>
      <c r="E2369" s="21" t="n">
        <v>0</v>
      </c>
      <c r="F2369" s="21" t="n">
        <v>0</v>
      </c>
      <c r="G2369" s="30" t="s">
        <v>3432</v>
      </c>
    </row>
    <row r="2370" customFormat="false" ht="15" hidden="false" customHeight="false" outlineLevel="0" collapsed="false">
      <c r="A2370" s="28" t="n">
        <v>45152</v>
      </c>
      <c r="B2370" s="28" t="n">
        <v>45158</v>
      </c>
      <c r="C2370" s="21" t="n">
        <v>0</v>
      </c>
      <c r="D2370" s="21" t="n">
        <v>0</v>
      </c>
      <c r="E2370" s="21" t="n">
        <v>0</v>
      </c>
      <c r="F2370" s="21" t="n">
        <v>0</v>
      </c>
      <c r="G2370" s="30" t="s">
        <v>3432</v>
      </c>
    </row>
    <row r="2371" customFormat="false" ht="15" hidden="false" customHeight="false" outlineLevel="0" collapsed="false">
      <c r="A2371" s="28" t="n">
        <v>45159</v>
      </c>
      <c r="B2371" s="28" t="n">
        <v>45165</v>
      </c>
      <c r="C2371" s="21" t="n">
        <v>0</v>
      </c>
      <c r="D2371" s="21" t="n">
        <v>0</v>
      </c>
      <c r="E2371" s="21" t="n">
        <v>0</v>
      </c>
      <c r="F2371" s="21" t="n">
        <v>0</v>
      </c>
      <c r="G2371" s="30" t="s">
        <v>3432</v>
      </c>
    </row>
    <row r="2372" customFormat="false" ht="15" hidden="false" customHeight="false" outlineLevel="0" collapsed="false">
      <c r="A2372" s="28" t="n">
        <v>45166</v>
      </c>
      <c r="B2372" s="28" t="n">
        <v>45172</v>
      </c>
      <c r="C2372" s="21" t="n">
        <v>0</v>
      </c>
      <c r="D2372" s="21" t="n">
        <v>0</v>
      </c>
      <c r="E2372" s="21" t="n">
        <v>0</v>
      </c>
      <c r="F2372" s="21" t="n">
        <v>0</v>
      </c>
      <c r="G2372" s="30" t="s">
        <v>3432</v>
      </c>
    </row>
    <row r="2373" customFormat="false" ht="15" hidden="false" customHeight="false" outlineLevel="0" collapsed="false">
      <c r="A2373" s="28" t="n">
        <v>45173</v>
      </c>
      <c r="B2373" s="28" t="n">
        <v>45179</v>
      </c>
      <c r="C2373" s="21" t="n">
        <v>0</v>
      </c>
      <c r="D2373" s="21" t="n">
        <v>0</v>
      </c>
      <c r="E2373" s="21" t="n">
        <v>0</v>
      </c>
      <c r="F2373" s="21" t="n">
        <v>0</v>
      </c>
      <c r="G2373" s="30" t="s">
        <v>3432</v>
      </c>
    </row>
    <row r="2374" customFormat="false" ht="15" hidden="false" customHeight="false" outlineLevel="0" collapsed="false">
      <c r="A2374" s="28" t="n">
        <v>45180</v>
      </c>
      <c r="B2374" s="28" t="n">
        <v>45186</v>
      </c>
      <c r="C2374" s="21" t="n">
        <v>0</v>
      </c>
      <c r="D2374" s="21" t="n">
        <v>0</v>
      </c>
      <c r="E2374" s="21" t="n">
        <v>0</v>
      </c>
      <c r="F2374" s="21" t="n">
        <v>0</v>
      </c>
      <c r="G2374" s="30" t="s">
        <v>3432</v>
      </c>
    </row>
    <row r="2375" customFormat="false" ht="15" hidden="false" customHeight="false" outlineLevel="0" collapsed="false">
      <c r="A2375" s="28" t="n">
        <v>45187</v>
      </c>
      <c r="B2375" s="28" t="n">
        <v>45193</v>
      </c>
      <c r="C2375" s="21" t="n">
        <v>0</v>
      </c>
      <c r="D2375" s="21" t="n">
        <v>0</v>
      </c>
      <c r="E2375" s="21" t="n">
        <v>0</v>
      </c>
      <c r="F2375" s="21" t="n">
        <v>0</v>
      </c>
      <c r="G2375" s="30" t="s">
        <v>3432</v>
      </c>
    </row>
    <row r="2376" customFormat="false" ht="15" hidden="false" customHeight="false" outlineLevel="0" collapsed="false">
      <c r="A2376" s="28" t="n">
        <v>45194</v>
      </c>
      <c r="B2376" s="28" t="n">
        <v>45200</v>
      </c>
      <c r="C2376" s="21" t="n">
        <v>0</v>
      </c>
      <c r="D2376" s="21" t="n">
        <v>0</v>
      </c>
      <c r="E2376" s="21" t="n">
        <v>0</v>
      </c>
      <c r="F2376" s="21" t="n">
        <v>0</v>
      </c>
      <c r="G2376" s="30" t="s">
        <v>3432</v>
      </c>
    </row>
    <row r="2377" customFormat="false" ht="15" hidden="false" customHeight="false" outlineLevel="0" collapsed="false">
      <c r="A2377" s="28" t="n">
        <v>45201</v>
      </c>
      <c r="B2377" s="28" t="n">
        <v>45207</v>
      </c>
      <c r="C2377" s="21" t="n">
        <v>0</v>
      </c>
      <c r="D2377" s="21" t="n">
        <v>0</v>
      </c>
      <c r="E2377" s="21" t="n">
        <v>0</v>
      </c>
      <c r="F2377" s="21" t="n">
        <v>0</v>
      </c>
      <c r="G2377" s="30" t="s">
        <v>3432</v>
      </c>
    </row>
    <row r="2378" customFormat="false" ht="15" hidden="false" customHeight="false" outlineLevel="0" collapsed="false">
      <c r="A2378" s="28" t="n">
        <v>45208</v>
      </c>
      <c r="B2378" s="28" t="n">
        <v>45214</v>
      </c>
      <c r="C2378" s="21" t="n">
        <v>0</v>
      </c>
      <c r="D2378" s="21" t="n">
        <v>0</v>
      </c>
      <c r="E2378" s="21" t="n">
        <v>0</v>
      </c>
      <c r="F2378" s="21" t="n">
        <v>0</v>
      </c>
      <c r="G2378" s="30" t="s">
        <v>3432</v>
      </c>
    </row>
    <row r="2379" customFormat="false" ht="15" hidden="false" customHeight="false" outlineLevel="0" collapsed="false">
      <c r="A2379" s="28" t="n">
        <v>45215</v>
      </c>
      <c r="B2379" s="28" t="n">
        <v>45221</v>
      </c>
      <c r="C2379" s="21" t="n">
        <v>0</v>
      </c>
      <c r="D2379" s="21" t="n">
        <v>0</v>
      </c>
      <c r="E2379" s="21" t="n">
        <v>0</v>
      </c>
      <c r="F2379" s="21" t="n">
        <v>0</v>
      </c>
      <c r="G2379" s="30" t="s">
        <v>3432</v>
      </c>
    </row>
    <row r="2380" customFormat="false" ht="15" hidden="false" customHeight="false" outlineLevel="0" collapsed="false">
      <c r="A2380" s="28" t="n">
        <v>45222</v>
      </c>
      <c r="B2380" s="28" t="n">
        <v>45228</v>
      </c>
      <c r="C2380" s="21" t="n">
        <v>1</v>
      </c>
      <c r="D2380" s="21" t="n">
        <v>0</v>
      </c>
      <c r="E2380" s="21" t="n">
        <v>0</v>
      </c>
      <c r="F2380" s="21" t="n">
        <v>2</v>
      </c>
      <c r="G2380" s="29" t="s">
        <v>184</v>
      </c>
    </row>
    <row r="2381" customFormat="false" ht="15" hidden="false" customHeight="false" outlineLevel="0" collapsed="false">
      <c r="A2381" s="28" t="n">
        <v>45229</v>
      </c>
      <c r="B2381" s="28" t="n">
        <v>45235</v>
      </c>
      <c r="C2381" s="21" t="n">
        <v>0</v>
      </c>
      <c r="D2381" s="21" t="n">
        <v>0</v>
      </c>
      <c r="E2381" s="21" t="n">
        <v>0</v>
      </c>
      <c r="F2381" s="21" t="n">
        <v>0</v>
      </c>
      <c r="G2381" s="29" t="s">
        <v>184</v>
      </c>
    </row>
    <row r="2382" customFormat="false" ht="15" hidden="false" customHeight="false" outlineLevel="0" collapsed="false">
      <c r="A2382" s="28" t="n">
        <v>45236</v>
      </c>
      <c r="B2382" s="28" t="n">
        <v>45242</v>
      </c>
      <c r="C2382" s="21" t="n">
        <v>1</v>
      </c>
      <c r="D2382" s="21" t="n">
        <v>0</v>
      </c>
      <c r="E2382" s="21" t="n">
        <v>0</v>
      </c>
      <c r="F2382" s="21" t="n">
        <v>2</v>
      </c>
      <c r="G2382" s="29" t="s">
        <v>184</v>
      </c>
    </row>
    <row r="2383" customFormat="false" ht="15" hidden="false" customHeight="false" outlineLevel="0" collapsed="false">
      <c r="A2383" s="28" t="n">
        <v>45243</v>
      </c>
      <c r="B2383" s="28" t="n">
        <v>45249</v>
      </c>
      <c r="C2383" s="21" t="n">
        <v>0</v>
      </c>
      <c r="D2383" s="21" t="n">
        <v>0</v>
      </c>
      <c r="E2383" s="21" t="n">
        <v>0</v>
      </c>
      <c r="F2383" s="21" t="n">
        <v>0</v>
      </c>
      <c r="G2383" s="29" t="s">
        <v>184</v>
      </c>
    </row>
    <row r="2384" customFormat="false" ht="15" hidden="false" customHeight="false" outlineLevel="0" collapsed="false">
      <c r="A2384" s="28" t="n">
        <v>45250</v>
      </c>
      <c r="B2384" s="28" t="n">
        <v>45256</v>
      </c>
      <c r="C2384" s="21" t="n">
        <v>0</v>
      </c>
      <c r="D2384" s="21" t="n">
        <v>0</v>
      </c>
      <c r="E2384" s="21" t="n">
        <v>0</v>
      </c>
      <c r="F2384" s="21" t="n">
        <v>0</v>
      </c>
      <c r="G2384" s="30" t="s">
        <v>3432</v>
      </c>
    </row>
    <row r="2385" customFormat="false" ht="15" hidden="false" customHeight="false" outlineLevel="0" collapsed="false">
      <c r="A2385" s="28" t="n">
        <v>45257</v>
      </c>
      <c r="B2385" s="28" t="n">
        <v>45263</v>
      </c>
      <c r="C2385" s="21" t="n">
        <v>0</v>
      </c>
      <c r="D2385" s="21" t="n">
        <v>0</v>
      </c>
      <c r="E2385" s="21" t="n">
        <v>0</v>
      </c>
      <c r="F2385" s="21" t="n">
        <v>0</v>
      </c>
      <c r="G2385" s="30" t="s">
        <v>3432</v>
      </c>
    </row>
    <row r="2386" customFormat="false" ht="15" hidden="false" customHeight="false" outlineLevel="0" collapsed="false">
      <c r="A2386" s="28" t="n">
        <v>45264</v>
      </c>
      <c r="B2386" s="28" t="n">
        <v>45270</v>
      </c>
      <c r="C2386" s="21" t="n">
        <v>0</v>
      </c>
      <c r="D2386" s="21" t="n">
        <v>0</v>
      </c>
      <c r="E2386" s="21" t="n">
        <v>0</v>
      </c>
      <c r="F2386" s="21" t="n">
        <v>0</v>
      </c>
      <c r="G2386" s="30" t="s">
        <v>3432</v>
      </c>
    </row>
    <row r="2387" customFormat="false" ht="15" hidden="false" customHeight="false" outlineLevel="0" collapsed="false">
      <c r="A2387" s="28" t="n">
        <v>45271</v>
      </c>
      <c r="B2387" s="28" t="n">
        <v>45277</v>
      </c>
      <c r="C2387" s="21" t="n">
        <v>0</v>
      </c>
      <c r="D2387" s="21" t="n">
        <v>0</v>
      </c>
      <c r="E2387" s="21" t="n">
        <v>0</v>
      </c>
      <c r="F2387" s="21" t="n">
        <v>0</v>
      </c>
      <c r="G2387" s="30" t="s">
        <v>3432</v>
      </c>
    </row>
    <row r="2388" customFormat="false" ht="15" hidden="false" customHeight="false" outlineLevel="0" collapsed="false">
      <c r="A2388" s="28" t="n">
        <v>45278</v>
      </c>
      <c r="B2388" s="28" t="n">
        <v>45284</v>
      </c>
      <c r="C2388" s="21" t="n">
        <v>0</v>
      </c>
      <c r="D2388" s="21" t="n">
        <v>0</v>
      </c>
      <c r="E2388" s="21" t="n">
        <v>0</v>
      </c>
      <c r="F2388" s="21" t="n">
        <v>0</v>
      </c>
      <c r="G2388" s="30" t="s">
        <v>3432</v>
      </c>
    </row>
    <row r="2389" customFormat="false" ht="15" hidden="false" customHeight="false" outlineLevel="0" collapsed="false">
      <c r="A2389" s="28" t="n">
        <v>45285</v>
      </c>
      <c r="B2389" s="28" t="n">
        <v>45291</v>
      </c>
      <c r="C2389" s="21" t="n">
        <v>2</v>
      </c>
      <c r="D2389" s="21" t="n">
        <v>0</v>
      </c>
      <c r="E2389" s="21" t="n">
        <v>0</v>
      </c>
      <c r="F2389" s="21" t="n">
        <v>4</v>
      </c>
      <c r="G2389" s="29" t="s">
        <v>184</v>
      </c>
    </row>
    <row r="2390" customFormat="false" ht="15" hidden="false" customHeight="false" outlineLevel="0" collapsed="false">
      <c r="A2390" s="28" t="n">
        <v>45292</v>
      </c>
      <c r="B2390" s="28" t="n">
        <v>45298</v>
      </c>
      <c r="C2390" s="21" t="n">
        <v>1</v>
      </c>
      <c r="D2390" s="21" t="n">
        <v>0</v>
      </c>
      <c r="E2390" s="21" t="n">
        <v>1</v>
      </c>
      <c r="F2390" s="21" t="n">
        <v>4</v>
      </c>
      <c r="G2390" s="31" t="s">
        <v>89</v>
      </c>
    </row>
    <row r="2391" customFormat="false" ht="15" hidden="false" customHeight="false" outlineLevel="0" collapsed="false">
      <c r="A2391" s="28" t="n">
        <v>45299</v>
      </c>
      <c r="B2391" s="28" t="n">
        <v>45305</v>
      </c>
      <c r="C2391" s="21" t="n">
        <v>0</v>
      </c>
      <c r="D2391" s="21" t="n">
        <v>0</v>
      </c>
      <c r="E2391" s="21" t="n">
        <v>0</v>
      </c>
      <c r="F2391" s="21" t="n">
        <v>0</v>
      </c>
      <c r="G2391" s="29" t="s">
        <v>184</v>
      </c>
    </row>
    <row r="2392" customFormat="false" ht="15" hidden="false" customHeight="false" outlineLevel="0" collapsed="false">
      <c r="A2392" s="28" t="n">
        <v>45306</v>
      </c>
      <c r="B2392" s="28" t="n">
        <v>45312</v>
      </c>
      <c r="C2392" s="21" t="n">
        <v>0</v>
      </c>
      <c r="D2392" s="21" t="n">
        <v>0</v>
      </c>
      <c r="E2392" s="21" t="n">
        <v>0</v>
      </c>
      <c r="F2392" s="21" t="n">
        <v>0</v>
      </c>
      <c r="G2392" s="30" t="s">
        <v>3432</v>
      </c>
    </row>
    <row r="2393" customFormat="false" ht="15" hidden="false" customHeight="false" outlineLevel="0" collapsed="false">
      <c r="A2393" s="28" t="n">
        <v>45313</v>
      </c>
      <c r="B2393" s="28" t="n">
        <v>45319</v>
      </c>
      <c r="C2393" s="21" t="n">
        <v>1</v>
      </c>
      <c r="D2393" s="21" t="n">
        <v>0</v>
      </c>
      <c r="E2393" s="21" t="n">
        <v>1</v>
      </c>
      <c r="F2393" s="21" t="n">
        <v>4</v>
      </c>
      <c r="G2393" s="29" t="s">
        <v>184</v>
      </c>
    </row>
    <row r="2394" customFormat="false" ht="15" hidden="false" customHeight="false" outlineLevel="0" collapsed="false">
      <c r="A2394" s="28" t="n">
        <v>45320</v>
      </c>
      <c r="B2394" s="28" t="n">
        <v>45326</v>
      </c>
      <c r="C2394" s="21" t="n">
        <v>2</v>
      </c>
      <c r="D2394" s="21" t="n">
        <v>0</v>
      </c>
      <c r="E2394" s="21" t="n">
        <v>2</v>
      </c>
      <c r="F2394" s="21" t="n">
        <v>8</v>
      </c>
      <c r="G2394" s="32" t="s">
        <v>56</v>
      </c>
    </row>
    <row r="2395" customFormat="false" ht="15" hidden="false" customHeight="false" outlineLevel="0" collapsed="false">
      <c r="A2395" s="28" t="n">
        <v>45327</v>
      </c>
      <c r="B2395" s="28" t="n">
        <v>45333</v>
      </c>
      <c r="C2395" s="21" t="n">
        <v>1</v>
      </c>
      <c r="D2395" s="21" t="n">
        <v>0</v>
      </c>
      <c r="E2395" s="21" t="n">
        <v>1</v>
      </c>
      <c r="F2395" s="21" t="n">
        <v>4</v>
      </c>
      <c r="G2395" s="32" t="s">
        <v>56</v>
      </c>
    </row>
    <row r="2396" customFormat="false" ht="15" hidden="false" customHeight="false" outlineLevel="0" collapsed="false">
      <c r="A2396" s="28" t="n">
        <v>45334</v>
      </c>
      <c r="B2396" s="28" t="n">
        <v>45340</v>
      </c>
      <c r="C2396" s="21" t="n">
        <v>0</v>
      </c>
      <c r="D2396" s="21" t="n">
        <v>0</v>
      </c>
      <c r="E2396" s="21" t="n">
        <v>0</v>
      </c>
      <c r="F2396" s="21" t="n">
        <v>0</v>
      </c>
      <c r="G2396" s="29" t="s">
        <v>184</v>
      </c>
    </row>
    <row r="2397" customFormat="false" ht="15" hidden="false" customHeight="false" outlineLevel="0" collapsed="false">
      <c r="A2397" s="28" t="n">
        <v>45341</v>
      </c>
      <c r="B2397" s="28" t="n">
        <v>45347</v>
      </c>
      <c r="C2397" s="21" t="n">
        <v>0</v>
      </c>
      <c r="D2397" s="21" t="n">
        <v>0</v>
      </c>
      <c r="E2397" s="21" t="n">
        <v>0</v>
      </c>
      <c r="F2397" s="21" t="n">
        <v>0</v>
      </c>
      <c r="G2397" s="30" t="s">
        <v>3432</v>
      </c>
    </row>
    <row r="2398" customFormat="false" ht="15" hidden="false" customHeight="false" outlineLevel="0" collapsed="false">
      <c r="A2398" s="28" t="n">
        <v>45348</v>
      </c>
      <c r="B2398" s="28" t="n">
        <v>45354</v>
      </c>
      <c r="C2398" s="21" t="n">
        <v>0</v>
      </c>
      <c r="D2398" s="21" t="n">
        <v>0</v>
      </c>
      <c r="E2398" s="21" t="n">
        <v>0</v>
      </c>
      <c r="F2398" s="21" t="n">
        <v>0</v>
      </c>
      <c r="G2398" s="30" t="s">
        <v>3432</v>
      </c>
    </row>
    <row r="2399" customFormat="false" ht="15" hidden="false" customHeight="false" outlineLevel="0" collapsed="false">
      <c r="A2399" s="28" t="n">
        <v>45355</v>
      </c>
      <c r="B2399" s="28" t="n">
        <v>45361</v>
      </c>
      <c r="C2399" s="21" t="n">
        <v>0</v>
      </c>
      <c r="D2399" s="21" t="n">
        <v>0</v>
      </c>
      <c r="E2399" s="21" t="n">
        <v>0</v>
      </c>
      <c r="F2399" s="21" t="n">
        <v>0</v>
      </c>
      <c r="G2399" s="30" t="s">
        <v>3432</v>
      </c>
    </row>
    <row r="2400" customFormat="false" ht="15" hidden="false" customHeight="false" outlineLevel="0" collapsed="false">
      <c r="A2400" s="28" t="n">
        <v>45362</v>
      </c>
      <c r="B2400" s="28" t="n">
        <v>45368</v>
      </c>
      <c r="C2400" s="21" t="n">
        <v>0</v>
      </c>
      <c r="D2400" s="21" t="n">
        <v>0</v>
      </c>
      <c r="E2400" s="21" t="n">
        <v>0</v>
      </c>
      <c r="F2400" s="21" t="n">
        <v>0</v>
      </c>
      <c r="G2400" s="30" t="s">
        <v>3432</v>
      </c>
    </row>
    <row r="2401" customFormat="false" ht="15" hidden="false" customHeight="false" outlineLevel="0" collapsed="false">
      <c r="A2401" s="28" t="n">
        <v>45369</v>
      </c>
      <c r="B2401" s="28" t="n">
        <v>45375</v>
      </c>
      <c r="C2401" s="21" t="n">
        <v>0</v>
      </c>
      <c r="D2401" s="21" t="n">
        <v>0</v>
      </c>
      <c r="E2401" s="21" t="n">
        <v>0</v>
      </c>
      <c r="F2401" s="21" t="n">
        <v>0</v>
      </c>
      <c r="G2401" s="30" t="s">
        <v>3432</v>
      </c>
    </row>
    <row r="2402" customFormat="false" ht="15" hidden="false" customHeight="false" outlineLevel="0" collapsed="false">
      <c r="A2402" s="28" t="n">
        <v>45376</v>
      </c>
      <c r="B2402" s="28" t="n">
        <v>45382</v>
      </c>
      <c r="C2402" s="21" t="n">
        <v>0</v>
      </c>
      <c r="D2402" s="21" t="n">
        <v>0</v>
      </c>
      <c r="E2402" s="21" t="n">
        <v>0</v>
      </c>
      <c r="F2402" s="21" t="n">
        <v>0</v>
      </c>
      <c r="G2402" s="30" t="s">
        <v>3432</v>
      </c>
    </row>
    <row r="2403" customFormat="false" ht="15" hidden="false" customHeight="false" outlineLevel="0" collapsed="false">
      <c r="A2403" s="28" t="n">
        <v>45383</v>
      </c>
      <c r="B2403" s="28" t="n">
        <v>45389</v>
      </c>
      <c r="C2403" s="21" t="n">
        <v>0</v>
      </c>
      <c r="D2403" s="21" t="n">
        <v>0</v>
      </c>
      <c r="E2403" s="21" t="n">
        <v>0</v>
      </c>
      <c r="F2403" s="21" t="n">
        <v>0</v>
      </c>
      <c r="G2403" s="30" t="s">
        <v>3432</v>
      </c>
    </row>
    <row r="2404" customFormat="false" ht="15" hidden="false" customHeight="false" outlineLevel="0" collapsed="false">
      <c r="A2404" s="28" t="n">
        <v>45390</v>
      </c>
      <c r="B2404" s="28" t="n">
        <v>45396</v>
      </c>
      <c r="C2404" s="21" t="n">
        <v>1</v>
      </c>
      <c r="D2404" s="21" t="n">
        <v>0</v>
      </c>
      <c r="E2404" s="21" t="n">
        <v>0</v>
      </c>
      <c r="F2404" s="21" t="n">
        <v>2</v>
      </c>
      <c r="G2404" s="29" t="s">
        <v>184</v>
      </c>
    </row>
    <row r="2405" customFormat="false" ht="15" hidden="false" customHeight="false" outlineLevel="0" collapsed="false">
      <c r="A2405" s="28" t="n">
        <v>45397</v>
      </c>
      <c r="B2405" s="28" t="n">
        <v>45403</v>
      </c>
      <c r="C2405" s="21" t="n">
        <v>0</v>
      </c>
      <c r="D2405" s="21" t="n">
        <v>0</v>
      </c>
      <c r="E2405" s="21" t="n">
        <v>0</v>
      </c>
      <c r="F2405" s="21" t="n">
        <v>0</v>
      </c>
      <c r="G2405" s="29" t="s">
        <v>184</v>
      </c>
    </row>
    <row r="2406" customFormat="false" ht="15" hidden="false" customHeight="false" outlineLevel="0" collapsed="false">
      <c r="A2406" s="28" t="n">
        <v>45404</v>
      </c>
      <c r="B2406" s="28" t="n">
        <v>45410</v>
      </c>
      <c r="C2406" s="21" t="n">
        <v>0</v>
      </c>
      <c r="D2406" s="21" t="n">
        <v>0</v>
      </c>
      <c r="E2406" s="21" t="n">
        <v>0</v>
      </c>
      <c r="F2406" s="21" t="n">
        <v>0</v>
      </c>
      <c r="G2406" s="30" t="s">
        <v>3432</v>
      </c>
    </row>
    <row r="2407" customFormat="false" ht="15" hidden="false" customHeight="false" outlineLevel="0" collapsed="false">
      <c r="A2407" s="28" t="n">
        <v>45411</v>
      </c>
      <c r="B2407" s="28" t="n">
        <v>45417</v>
      </c>
      <c r="C2407" s="21" t="n">
        <v>0</v>
      </c>
      <c r="D2407" s="21" t="n">
        <v>0</v>
      </c>
      <c r="E2407" s="21" t="n">
        <v>0</v>
      </c>
      <c r="F2407" s="21" t="n">
        <v>0</v>
      </c>
      <c r="G2407" s="30" t="s">
        <v>3432</v>
      </c>
    </row>
    <row r="2408" customFormat="false" ht="15" hidden="false" customHeight="false" outlineLevel="0" collapsed="false">
      <c r="A2408" s="28" t="n">
        <v>45418</v>
      </c>
      <c r="B2408" s="28" t="n">
        <v>45424</v>
      </c>
      <c r="C2408" s="21" t="n">
        <v>0</v>
      </c>
      <c r="D2408" s="21" t="n">
        <v>0</v>
      </c>
      <c r="E2408" s="21" t="n">
        <v>0</v>
      </c>
      <c r="F2408" s="21" t="n">
        <v>0</v>
      </c>
      <c r="G2408" s="30" t="s">
        <v>3432</v>
      </c>
    </row>
    <row r="2409" customFormat="false" ht="15" hidden="false" customHeight="false" outlineLevel="0" collapsed="false">
      <c r="A2409" s="28" t="n">
        <v>45425</v>
      </c>
      <c r="B2409" s="28" t="n">
        <v>45431</v>
      </c>
      <c r="C2409" s="21" t="n">
        <v>0</v>
      </c>
      <c r="D2409" s="21" t="n">
        <v>0</v>
      </c>
      <c r="E2409" s="21" t="n">
        <v>0</v>
      </c>
      <c r="F2409" s="21" t="n">
        <v>0</v>
      </c>
      <c r="G2409" s="30" t="s">
        <v>3432</v>
      </c>
    </row>
    <row r="2410" customFormat="false" ht="15" hidden="false" customHeight="false" outlineLevel="0" collapsed="false">
      <c r="A2410" s="28" t="n">
        <v>45432</v>
      </c>
      <c r="B2410" s="28" t="n">
        <v>45438</v>
      </c>
      <c r="C2410" s="21" t="n">
        <v>0</v>
      </c>
      <c r="D2410" s="21" t="n">
        <v>0</v>
      </c>
      <c r="E2410" s="21" t="n">
        <v>0</v>
      </c>
      <c r="F2410" s="21" t="n">
        <v>0</v>
      </c>
      <c r="G2410" s="30" t="s">
        <v>3432</v>
      </c>
    </row>
    <row r="2411" customFormat="false" ht="15" hidden="false" customHeight="false" outlineLevel="0" collapsed="false">
      <c r="A2411" s="28" t="n">
        <v>45439</v>
      </c>
      <c r="B2411" s="28" t="n">
        <v>45445</v>
      </c>
      <c r="C2411" s="21" t="n">
        <v>0</v>
      </c>
      <c r="D2411" s="21" t="n">
        <v>0</v>
      </c>
      <c r="E2411" s="21" t="n">
        <v>0</v>
      </c>
      <c r="F2411" s="21" t="n">
        <v>0</v>
      </c>
      <c r="G2411" s="30" t="s">
        <v>3432</v>
      </c>
    </row>
    <row r="2412" customFormat="false" ht="15" hidden="false" customHeight="false" outlineLevel="0" collapsed="false">
      <c r="A2412" s="28" t="n">
        <v>45446</v>
      </c>
      <c r="B2412" s="28" t="n">
        <v>45452</v>
      </c>
      <c r="C2412" s="21" t="n">
        <v>0</v>
      </c>
      <c r="D2412" s="21" t="n">
        <v>0</v>
      </c>
      <c r="E2412" s="21" t="n">
        <v>0</v>
      </c>
      <c r="F2412" s="21" t="n">
        <v>0</v>
      </c>
      <c r="G2412" s="30" t="s">
        <v>3432</v>
      </c>
    </row>
    <row r="2413" customFormat="false" ht="15" hidden="false" customHeight="false" outlineLevel="0" collapsed="false">
      <c r="A2413" s="28" t="n">
        <v>45453</v>
      </c>
      <c r="B2413" s="28" t="n">
        <v>45459</v>
      </c>
      <c r="C2413" s="21" t="n">
        <v>0</v>
      </c>
      <c r="D2413" s="21" t="n">
        <v>0</v>
      </c>
      <c r="E2413" s="21" t="n">
        <v>0</v>
      </c>
      <c r="F2413" s="21" t="n">
        <v>0</v>
      </c>
      <c r="G2413" s="30" t="s">
        <v>3432</v>
      </c>
    </row>
    <row r="2414" customFormat="false" ht="15" hidden="false" customHeight="false" outlineLevel="0" collapsed="false">
      <c r="A2414" s="28" t="n">
        <v>45460</v>
      </c>
      <c r="B2414" s="28" t="n">
        <v>45466</v>
      </c>
      <c r="C2414" s="21" t="n">
        <v>0</v>
      </c>
      <c r="D2414" s="21" t="n">
        <v>0</v>
      </c>
      <c r="E2414" s="21" t="n">
        <v>0</v>
      </c>
      <c r="F2414" s="21" t="n">
        <v>0</v>
      </c>
      <c r="G2414" s="30" t="s">
        <v>3432</v>
      </c>
    </row>
    <row r="2415" customFormat="false" ht="15" hidden="false" customHeight="false" outlineLevel="0" collapsed="false">
      <c r="A2415" s="28" t="n">
        <v>45467</v>
      </c>
      <c r="B2415" s="28" t="n">
        <v>45473</v>
      </c>
      <c r="C2415" s="21" t="n">
        <v>0</v>
      </c>
      <c r="D2415" s="21" t="n">
        <v>0</v>
      </c>
      <c r="E2415" s="21" t="n">
        <v>0</v>
      </c>
      <c r="F2415" s="21" t="n">
        <v>0</v>
      </c>
      <c r="G2415" s="30" t="s">
        <v>3432</v>
      </c>
    </row>
    <row r="2416" customFormat="false" ht="15" hidden="false" customHeight="false" outlineLevel="0" collapsed="false">
      <c r="A2416" s="28" t="n">
        <v>45474</v>
      </c>
      <c r="B2416" s="28" t="n">
        <v>45480</v>
      </c>
      <c r="C2416" s="21" t="n">
        <v>0</v>
      </c>
      <c r="D2416" s="21" t="n">
        <v>0</v>
      </c>
      <c r="E2416" s="21" t="n">
        <v>0</v>
      </c>
      <c r="F2416" s="21" t="n">
        <v>0</v>
      </c>
      <c r="G2416" s="30" t="s">
        <v>3432</v>
      </c>
    </row>
    <row r="2417" customFormat="false" ht="15" hidden="false" customHeight="false" outlineLevel="0" collapsed="false">
      <c r="A2417" s="28" t="n">
        <v>45481</v>
      </c>
      <c r="B2417" s="28" t="n">
        <v>45487</v>
      </c>
      <c r="C2417" s="21" t="n">
        <v>0</v>
      </c>
      <c r="D2417" s="21" t="n">
        <v>0</v>
      </c>
      <c r="E2417" s="21" t="n">
        <v>0</v>
      </c>
      <c r="F2417" s="21" t="n">
        <v>0</v>
      </c>
      <c r="G2417" s="30" t="s">
        <v>3432</v>
      </c>
    </row>
    <row r="2418" customFormat="false" ht="15" hidden="false" customHeight="false" outlineLevel="0" collapsed="false">
      <c r="A2418" s="28" t="n">
        <v>45488</v>
      </c>
      <c r="B2418" s="28" t="n">
        <v>45494</v>
      </c>
      <c r="C2418" s="21" t="n">
        <v>0</v>
      </c>
      <c r="D2418" s="21" t="n">
        <v>0</v>
      </c>
      <c r="E2418" s="21" t="n">
        <v>0</v>
      </c>
      <c r="F2418" s="21" t="n">
        <v>0</v>
      </c>
      <c r="G2418" s="30" t="s">
        <v>3432</v>
      </c>
    </row>
    <row r="2419" customFormat="false" ht="15" hidden="false" customHeight="false" outlineLevel="0" collapsed="false">
      <c r="A2419" s="28" t="n">
        <v>45495</v>
      </c>
      <c r="B2419" s="28" t="n">
        <v>45501</v>
      </c>
      <c r="C2419" s="21" t="n">
        <v>0</v>
      </c>
      <c r="D2419" s="21" t="n">
        <v>0</v>
      </c>
      <c r="E2419" s="21" t="n">
        <v>0</v>
      </c>
      <c r="F2419" s="21" t="n">
        <v>0</v>
      </c>
      <c r="G2419" s="30" t="s">
        <v>3432</v>
      </c>
    </row>
    <row r="2420" customFormat="false" ht="15" hidden="false" customHeight="false" outlineLevel="0" collapsed="false">
      <c r="A2420" s="28" t="n">
        <v>45502</v>
      </c>
      <c r="B2420" s="28" t="n">
        <v>45508</v>
      </c>
      <c r="C2420" s="21" t="n">
        <v>0</v>
      </c>
      <c r="D2420" s="21" t="n">
        <v>0</v>
      </c>
      <c r="E2420" s="21" t="n">
        <v>0</v>
      </c>
      <c r="F2420" s="21" t="n">
        <v>0</v>
      </c>
      <c r="G2420" s="30" t="s">
        <v>3432</v>
      </c>
    </row>
    <row r="2421" customFormat="false" ht="15" hidden="false" customHeight="false" outlineLevel="0" collapsed="false">
      <c r="A2421" s="28" t="n">
        <v>45509</v>
      </c>
      <c r="B2421" s="28" t="n">
        <v>45515</v>
      </c>
      <c r="C2421" s="21" t="n">
        <v>0</v>
      </c>
      <c r="D2421" s="21" t="n">
        <v>0</v>
      </c>
      <c r="E2421" s="21" t="n">
        <v>0</v>
      </c>
      <c r="F2421" s="21" t="n">
        <v>0</v>
      </c>
      <c r="G2421" s="30" t="s">
        <v>3432</v>
      </c>
    </row>
    <row r="2422" customFormat="false" ht="15" hidden="false" customHeight="false" outlineLevel="0" collapsed="false">
      <c r="A2422" s="28" t="n">
        <v>45516</v>
      </c>
      <c r="B2422" s="28" t="n">
        <v>45522</v>
      </c>
      <c r="C2422" s="21" t="n">
        <v>0</v>
      </c>
      <c r="D2422" s="21" t="n">
        <v>0</v>
      </c>
      <c r="E2422" s="21" t="n">
        <v>0</v>
      </c>
      <c r="F2422" s="21" t="n">
        <v>0</v>
      </c>
      <c r="G2422" s="30" t="s">
        <v>3432</v>
      </c>
    </row>
    <row r="2423" customFormat="false" ht="15" hidden="false" customHeight="false" outlineLevel="0" collapsed="false">
      <c r="A2423" s="28" t="n">
        <v>45523</v>
      </c>
      <c r="B2423" s="28" t="n">
        <v>45529</v>
      </c>
      <c r="C2423" s="21" t="n">
        <v>0</v>
      </c>
      <c r="D2423" s="21" t="n">
        <v>0</v>
      </c>
      <c r="E2423" s="21" t="n">
        <v>0</v>
      </c>
      <c r="F2423" s="21" t="n">
        <v>0</v>
      </c>
      <c r="G2423" s="30" t="s">
        <v>3432</v>
      </c>
    </row>
    <row r="2424" customFormat="false" ht="15" hidden="false" customHeight="false" outlineLevel="0" collapsed="false">
      <c r="A2424" s="28" t="n">
        <v>45530</v>
      </c>
      <c r="B2424" s="28" t="n">
        <v>45536</v>
      </c>
      <c r="C2424" s="21" t="n">
        <v>0</v>
      </c>
      <c r="D2424" s="21" t="n">
        <v>0</v>
      </c>
      <c r="E2424" s="21" t="n">
        <v>0</v>
      </c>
      <c r="F2424" s="21" t="n">
        <v>0</v>
      </c>
      <c r="G2424" s="30" t="s">
        <v>3432</v>
      </c>
    </row>
    <row r="2425" customFormat="false" ht="15" hidden="false" customHeight="false" outlineLevel="0" collapsed="false">
      <c r="A2425" s="28" t="n">
        <v>45537</v>
      </c>
      <c r="B2425" s="28" t="n">
        <v>45543</v>
      </c>
      <c r="C2425" s="21" t="n">
        <v>0</v>
      </c>
      <c r="D2425" s="21" t="n">
        <v>0</v>
      </c>
      <c r="E2425" s="21" t="n">
        <v>0</v>
      </c>
      <c r="F2425" s="21" t="n">
        <v>0</v>
      </c>
      <c r="G2425" s="30" t="s">
        <v>3432</v>
      </c>
    </row>
    <row r="2426" customFormat="false" ht="15" hidden="false" customHeight="false" outlineLevel="0" collapsed="false">
      <c r="A2426" s="28" t="n">
        <v>45544</v>
      </c>
      <c r="B2426" s="28" t="n">
        <v>45550</v>
      </c>
      <c r="C2426" s="21" t="n">
        <v>0</v>
      </c>
      <c r="D2426" s="21" t="n">
        <v>0</v>
      </c>
      <c r="E2426" s="21" t="n">
        <v>0</v>
      </c>
      <c r="F2426" s="21" t="n">
        <v>0</v>
      </c>
      <c r="G2426" s="30" t="s">
        <v>3432</v>
      </c>
    </row>
    <row r="2427" customFormat="false" ht="15" hidden="false" customHeight="false" outlineLevel="0" collapsed="false">
      <c r="A2427" s="28" t="n">
        <v>45551</v>
      </c>
      <c r="B2427" s="28" t="n">
        <v>45557</v>
      </c>
      <c r="C2427" s="21" t="n">
        <v>0</v>
      </c>
      <c r="D2427" s="21" t="n">
        <v>0</v>
      </c>
      <c r="E2427" s="21" t="n">
        <v>0</v>
      </c>
      <c r="F2427" s="21" t="n">
        <v>0</v>
      </c>
      <c r="G2427" s="30" t="s">
        <v>3432</v>
      </c>
    </row>
    <row r="2428" customFormat="false" ht="15" hidden="false" customHeight="false" outlineLevel="0" collapsed="false">
      <c r="A2428" s="28" t="n">
        <v>45558</v>
      </c>
      <c r="B2428" s="28" t="n">
        <v>45564</v>
      </c>
      <c r="C2428" s="21" t="n">
        <v>0</v>
      </c>
      <c r="D2428" s="21" t="n">
        <v>0</v>
      </c>
      <c r="E2428" s="21" t="n">
        <v>0</v>
      </c>
      <c r="F2428" s="21" t="n">
        <v>0</v>
      </c>
      <c r="G2428" s="30" t="s">
        <v>3432</v>
      </c>
    </row>
    <row r="2429" customFormat="false" ht="15" hidden="false" customHeight="false" outlineLevel="0" collapsed="false">
      <c r="A2429" s="28" t="n">
        <v>45565</v>
      </c>
      <c r="B2429" s="28" t="n">
        <v>45571</v>
      </c>
      <c r="C2429" s="21" t="n">
        <v>1</v>
      </c>
      <c r="D2429" s="21" t="n">
        <v>0</v>
      </c>
      <c r="E2429" s="21" t="n">
        <v>0</v>
      </c>
      <c r="F2429" s="21" t="n">
        <v>2</v>
      </c>
      <c r="G2429" s="29" t="s">
        <v>184</v>
      </c>
    </row>
    <row r="2430" customFormat="false" ht="15" hidden="false" customHeight="false" outlineLevel="0" collapsed="false">
      <c r="A2430" s="28" t="n">
        <v>45572</v>
      </c>
      <c r="B2430" s="28" t="n">
        <v>45578</v>
      </c>
      <c r="C2430" s="21" t="n">
        <v>0</v>
      </c>
      <c r="D2430" s="21" t="n">
        <v>0</v>
      </c>
      <c r="E2430" s="21" t="n">
        <v>0</v>
      </c>
      <c r="F2430" s="21" t="n">
        <v>0</v>
      </c>
      <c r="G2430" s="29" t="s">
        <v>184</v>
      </c>
    </row>
    <row r="2431" customFormat="false" ht="15" hidden="false" customHeight="false" outlineLevel="0" collapsed="false">
      <c r="A2431" s="28" t="n">
        <v>45579</v>
      </c>
      <c r="B2431" s="28" t="n">
        <v>45585</v>
      </c>
      <c r="C2431" s="21" t="n">
        <v>0</v>
      </c>
      <c r="D2431" s="21" t="n">
        <v>0</v>
      </c>
      <c r="E2431" s="21" t="n">
        <v>0</v>
      </c>
      <c r="F2431" s="21" t="n">
        <v>0</v>
      </c>
      <c r="G2431" s="30" t="s">
        <v>3432</v>
      </c>
    </row>
    <row r="2432" customFormat="false" ht="15" hidden="false" customHeight="false" outlineLevel="0" collapsed="false">
      <c r="A2432" s="28" t="n">
        <v>45586</v>
      </c>
      <c r="B2432" s="28" t="n">
        <v>45592</v>
      </c>
      <c r="C2432" s="21" t="n">
        <v>0</v>
      </c>
      <c r="D2432" s="21" t="n">
        <v>0</v>
      </c>
      <c r="E2432" s="21" t="n">
        <v>0</v>
      </c>
      <c r="F2432" s="21" t="n">
        <v>0</v>
      </c>
      <c r="G2432" s="30" t="s">
        <v>3432</v>
      </c>
    </row>
    <row r="2433" customFormat="false" ht="15" hidden="false" customHeight="false" outlineLevel="0" collapsed="false">
      <c r="A2433" s="28" t="n">
        <v>45593</v>
      </c>
      <c r="B2433" s="28" t="n">
        <v>45599</v>
      </c>
      <c r="C2433" s="21" t="n">
        <v>0</v>
      </c>
      <c r="D2433" s="21" t="n">
        <v>0</v>
      </c>
      <c r="E2433" s="21" t="n">
        <v>0</v>
      </c>
      <c r="F2433" s="21" t="n">
        <v>0</v>
      </c>
      <c r="G2433" s="30" t="s">
        <v>3432</v>
      </c>
    </row>
    <row r="2434" customFormat="false" ht="15" hidden="false" customHeight="false" outlineLevel="0" collapsed="false">
      <c r="A2434" s="28" t="n">
        <v>45600</v>
      </c>
      <c r="B2434" s="28" t="n">
        <v>45606</v>
      </c>
      <c r="C2434" s="21" t="n">
        <v>0</v>
      </c>
      <c r="D2434" s="21" t="n">
        <v>0</v>
      </c>
      <c r="E2434" s="21" t="n">
        <v>0</v>
      </c>
      <c r="F2434" s="21" t="n">
        <v>0</v>
      </c>
      <c r="G2434" s="30" t="s">
        <v>3432</v>
      </c>
    </row>
    <row r="2435" customFormat="false" ht="15" hidden="false" customHeight="false" outlineLevel="0" collapsed="false">
      <c r="A2435" s="28" t="n">
        <v>45607</v>
      </c>
      <c r="B2435" s="28" t="n">
        <v>45613</v>
      </c>
      <c r="C2435" s="21" t="n">
        <v>0</v>
      </c>
      <c r="D2435" s="21" t="n">
        <v>0</v>
      </c>
      <c r="E2435" s="21" t="n">
        <v>0</v>
      </c>
      <c r="F2435" s="21" t="n">
        <v>0</v>
      </c>
      <c r="G2435" s="30" t="s">
        <v>3432</v>
      </c>
    </row>
    <row r="2436" customFormat="false" ht="15" hidden="false" customHeight="false" outlineLevel="0" collapsed="false">
      <c r="A2436" s="28" t="n">
        <v>45614</v>
      </c>
      <c r="B2436" s="28" t="n">
        <v>45620</v>
      </c>
      <c r="C2436" s="21" t="n">
        <v>0</v>
      </c>
      <c r="D2436" s="21" t="n">
        <v>0</v>
      </c>
      <c r="E2436" s="21" t="n">
        <v>0</v>
      </c>
      <c r="F2436" s="21" t="n">
        <v>0</v>
      </c>
      <c r="G2436" s="30" t="s">
        <v>3432</v>
      </c>
    </row>
    <row r="2437" customFormat="false" ht="15" hidden="false" customHeight="false" outlineLevel="0" collapsed="false">
      <c r="A2437" s="28" t="n">
        <v>45621</v>
      </c>
      <c r="B2437" s="28" t="n">
        <v>45627</v>
      </c>
      <c r="C2437" s="21" t="n">
        <v>0</v>
      </c>
      <c r="D2437" s="21" t="n">
        <v>0</v>
      </c>
      <c r="E2437" s="21" t="n">
        <v>0</v>
      </c>
      <c r="F2437" s="21" t="n">
        <v>0</v>
      </c>
      <c r="G2437" s="30" t="s">
        <v>3432</v>
      </c>
    </row>
    <row r="2438" customFormat="false" ht="15" hidden="false" customHeight="false" outlineLevel="0" collapsed="false">
      <c r="A2438" s="28" t="n">
        <v>45628</v>
      </c>
      <c r="B2438" s="28" t="n">
        <v>45634</v>
      </c>
      <c r="C2438" s="21" t="n">
        <v>0</v>
      </c>
      <c r="D2438" s="21" t="n">
        <v>0</v>
      </c>
      <c r="E2438" s="21" t="n">
        <v>0</v>
      </c>
      <c r="F2438" s="21" t="n">
        <v>0</v>
      </c>
      <c r="G2438" s="30" t="s">
        <v>3432</v>
      </c>
    </row>
    <row r="2439" customFormat="false" ht="15" hidden="false" customHeight="false" outlineLevel="0" collapsed="false">
      <c r="A2439" s="28" t="n">
        <v>45635</v>
      </c>
      <c r="B2439" s="28" t="n">
        <v>45641</v>
      </c>
      <c r="C2439" s="21" t="n">
        <v>0</v>
      </c>
      <c r="D2439" s="21" t="n">
        <v>0</v>
      </c>
      <c r="E2439" s="21" t="n">
        <v>0</v>
      </c>
      <c r="F2439" s="21" t="n">
        <v>0</v>
      </c>
      <c r="G2439" s="30" t="s">
        <v>3432</v>
      </c>
    </row>
    <row r="2440" customFormat="false" ht="15" hidden="false" customHeight="false" outlineLevel="0" collapsed="false">
      <c r="A2440" s="28" t="n">
        <v>45642</v>
      </c>
      <c r="B2440" s="28" t="n">
        <v>45648</v>
      </c>
      <c r="C2440" s="21" t="n">
        <v>0</v>
      </c>
      <c r="D2440" s="21" t="n">
        <v>0</v>
      </c>
      <c r="E2440" s="21" t="n">
        <v>0</v>
      </c>
      <c r="F2440" s="21" t="n">
        <v>0</v>
      </c>
      <c r="G2440" s="30" t="s">
        <v>3432</v>
      </c>
    </row>
    <row r="2441" customFormat="false" ht="15" hidden="false" customHeight="false" outlineLevel="0" collapsed="false">
      <c r="A2441" s="28" t="n">
        <v>45649</v>
      </c>
      <c r="B2441" s="28" t="n">
        <v>45655</v>
      </c>
      <c r="C2441" s="21" t="n">
        <v>0</v>
      </c>
      <c r="D2441" s="21" t="n">
        <v>0</v>
      </c>
      <c r="E2441" s="21" t="n">
        <v>0</v>
      </c>
      <c r="F2441" s="21" t="n">
        <v>0</v>
      </c>
      <c r="G2441" s="30" t="s">
        <v>3432</v>
      </c>
    </row>
    <row r="2442" customFormat="false" ht="15" hidden="false" customHeight="false" outlineLevel="0" collapsed="false">
      <c r="A2442" s="28" t="n">
        <v>45656</v>
      </c>
      <c r="B2442" s="28" t="n">
        <v>45662</v>
      </c>
      <c r="C2442" s="21" t="n">
        <v>0</v>
      </c>
      <c r="D2442" s="21" t="n">
        <v>0</v>
      </c>
      <c r="E2442" s="21" t="n">
        <v>0</v>
      </c>
      <c r="F2442" s="21" t="n">
        <v>0</v>
      </c>
      <c r="G2442" s="30" t="s">
        <v>3432</v>
      </c>
    </row>
    <row r="2443" customFormat="false" ht="15" hidden="false" customHeight="false" outlineLevel="0" collapsed="false">
      <c r="A2443" s="28" t="n">
        <v>45663</v>
      </c>
      <c r="B2443" s="28" t="n">
        <v>45669</v>
      </c>
      <c r="C2443" s="21" t="n">
        <v>0</v>
      </c>
      <c r="D2443" s="21" t="n">
        <v>0</v>
      </c>
      <c r="E2443" s="21" t="n">
        <v>0</v>
      </c>
      <c r="F2443" s="21" t="n">
        <v>0</v>
      </c>
      <c r="G2443" s="30" t="s">
        <v>3432</v>
      </c>
    </row>
    <row r="2444" customFormat="false" ht="15" hidden="false" customHeight="false" outlineLevel="0" collapsed="false">
      <c r="A2444" s="28" t="n">
        <v>45670</v>
      </c>
      <c r="B2444" s="28" t="n">
        <v>45676</v>
      </c>
      <c r="C2444" s="21" t="n">
        <v>0</v>
      </c>
      <c r="D2444" s="21" t="n">
        <v>0</v>
      </c>
      <c r="E2444" s="21" t="n">
        <v>0</v>
      </c>
      <c r="F2444" s="21" t="n">
        <v>0</v>
      </c>
      <c r="G2444" s="30" t="s">
        <v>3432</v>
      </c>
    </row>
    <row r="2445" customFormat="false" ht="15" hidden="false" customHeight="false" outlineLevel="0" collapsed="false">
      <c r="A2445" s="28" t="n">
        <v>45677</v>
      </c>
      <c r="B2445" s="28" t="n">
        <v>45683</v>
      </c>
      <c r="C2445" s="21" t="n">
        <v>0</v>
      </c>
      <c r="D2445" s="21" t="n">
        <v>0</v>
      </c>
      <c r="E2445" s="21" t="n">
        <v>0</v>
      </c>
      <c r="F2445" s="21" t="n">
        <v>0</v>
      </c>
      <c r="G2445" s="30" t="s">
        <v>3432</v>
      </c>
    </row>
    <row r="2446" customFormat="false" ht="15" hidden="false" customHeight="false" outlineLevel="0" collapsed="false">
      <c r="A2446" s="28" t="n">
        <v>45684</v>
      </c>
      <c r="B2446" s="28" t="n">
        <v>45690</v>
      </c>
      <c r="C2446" s="21" t="n">
        <v>0</v>
      </c>
      <c r="D2446" s="21" t="n">
        <v>0</v>
      </c>
      <c r="E2446" s="21" t="n">
        <v>0</v>
      </c>
      <c r="F2446" s="21" t="n">
        <v>0</v>
      </c>
      <c r="G2446" s="30" t="s">
        <v>3432</v>
      </c>
    </row>
    <row r="2447" customFormat="false" ht="15" hidden="false" customHeight="false" outlineLevel="0" collapsed="false">
      <c r="A2447" s="28" t="n">
        <v>45691</v>
      </c>
      <c r="B2447" s="28" t="n">
        <v>45697</v>
      </c>
      <c r="C2447" s="21" t="n">
        <v>0</v>
      </c>
      <c r="D2447" s="21" t="n">
        <v>0</v>
      </c>
      <c r="E2447" s="21" t="n">
        <v>0</v>
      </c>
      <c r="F2447" s="21" t="n">
        <v>0</v>
      </c>
      <c r="G2447" s="30" t="s">
        <v>3432</v>
      </c>
    </row>
    <row r="2448" customFormat="false" ht="15" hidden="false" customHeight="false" outlineLevel="0" collapsed="false">
      <c r="A2448" s="28" t="n">
        <v>45698</v>
      </c>
      <c r="B2448" s="28" t="n">
        <v>45704</v>
      </c>
      <c r="C2448" s="21" t="n">
        <v>0</v>
      </c>
      <c r="D2448" s="21" t="n">
        <v>0</v>
      </c>
      <c r="E2448" s="21" t="n">
        <v>0</v>
      </c>
      <c r="F2448" s="21" t="n">
        <v>0</v>
      </c>
      <c r="G2448" s="30" t="s">
        <v>3432</v>
      </c>
    </row>
    <row r="2449" customFormat="false" ht="15" hidden="false" customHeight="false" outlineLevel="0" collapsed="false">
      <c r="A2449" s="28" t="n">
        <v>45705</v>
      </c>
      <c r="B2449" s="28" t="n">
        <v>45711</v>
      </c>
      <c r="C2449" s="21" t="n">
        <v>0</v>
      </c>
      <c r="D2449" s="21" t="n">
        <v>0</v>
      </c>
      <c r="E2449" s="21" t="n">
        <v>0</v>
      </c>
      <c r="F2449" s="21" t="n">
        <v>0</v>
      </c>
      <c r="G2449" s="30" t="s">
        <v>3432</v>
      </c>
    </row>
    <row r="2450" customFormat="false" ht="15" hidden="false" customHeight="false" outlineLevel="0" collapsed="false">
      <c r="A2450" s="28" t="n">
        <v>45712</v>
      </c>
      <c r="B2450" s="28" t="n">
        <v>45718</v>
      </c>
      <c r="C2450" s="21" t="n">
        <v>0</v>
      </c>
      <c r="D2450" s="21" t="n">
        <v>0</v>
      </c>
      <c r="E2450" s="21" t="n">
        <v>0</v>
      </c>
      <c r="F2450" s="21" t="n">
        <v>0</v>
      </c>
      <c r="G2450" s="30" t="s">
        <v>3432</v>
      </c>
    </row>
    <row r="2451" customFormat="false" ht="15" hidden="false" customHeight="false" outlineLevel="0" collapsed="false">
      <c r="A2451" s="28" t="n">
        <v>45719</v>
      </c>
      <c r="B2451" s="28" t="n">
        <v>45725</v>
      </c>
      <c r="C2451" s="21" t="n">
        <v>0</v>
      </c>
      <c r="D2451" s="21" t="n">
        <v>0</v>
      </c>
      <c r="E2451" s="21" t="n">
        <v>0</v>
      </c>
      <c r="F2451" s="21" t="n">
        <v>0</v>
      </c>
      <c r="G2451" s="30" t="s">
        <v>3432</v>
      </c>
    </row>
    <row r="2452" customFormat="false" ht="15" hidden="false" customHeight="false" outlineLevel="0" collapsed="false">
      <c r="A2452" s="28" t="n">
        <v>45726</v>
      </c>
      <c r="B2452" s="28" t="n">
        <v>45732</v>
      </c>
      <c r="C2452" s="21" t="n">
        <v>0</v>
      </c>
      <c r="D2452" s="21" t="n">
        <v>0</v>
      </c>
      <c r="E2452" s="21" t="n">
        <v>0</v>
      </c>
      <c r="F2452" s="21" t="n">
        <v>0</v>
      </c>
      <c r="G2452" s="30" t="s">
        <v>3432</v>
      </c>
    </row>
    <row r="2453" customFormat="false" ht="15" hidden="false" customHeight="false" outlineLevel="0" collapsed="false">
      <c r="A2453" s="28" t="n">
        <v>45733</v>
      </c>
      <c r="B2453" s="28" t="n">
        <v>45739</v>
      </c>
      <c r="C2453" s="21" t="n">
        <v>0</v>
      </c>
      <c r="D2453" s="21" t="n">
        <v>0</v>
      </c>
      <c r="E2453" s="21" t="n">
        <v>0</v>
      </c>
      <c r="F2453" s="21" t="n">
        <v>0</v>
      </c>
      <c r="G2453" s="30" t="s">
        <v>3432</v>
      </c>
    </row>
    <row r="2454" customFormat="false" ht="15" hidden="false" customHeight="false" outlineLevel="0" collapsed="false">
      <c r="A2454" s="28" t="n">
        <v>45740</v>
      </c>
      <c r="B2454" s="28" t="n">
        <v>45746</v>
      </c>
      <c r="C2454" s="21" t="n">
        <v>0</v>
      </c>
      <c r="D2454" s="21" t="n">
        <v>0</v>
      </c>
      <c r="E2454" s="21" t="n">
        <v>0</v>
      </c>
      <c r="F2454" s="21" t="n">
        <v>0</v>
      </c>
      <c r="G2454" s="30" t="s">
        <v>3432</v>
      </c>
    </row>
    <row r="2455" customFormat="false" ht="15" hidden="false" customHeight="false" outlineLevel="0" collapsed="false">
      <c r="A2455" s="28" t="n">
        <v>45747</v>
      </c>
      <c r="B2455" s="28" t="n">
        <v>45753</v>
      </c>
      <c r="C2455" s="21" t="n">
        <v>0</v>
      </c>
      <c r="D2455" s="21" t="n">
        <v>0</v>
      </c>
      <c r="E2455" s="21" t="n">
        <v>0</v>
      </c>
      <c r="F2455" s="21" t="n">
        <v>0</v>
      </c>
      <c r="G2455" s="30" t="s">
        <v>3432</v>
      </c>
    </row>
    <row r="2456" customFormat="false" ht="15" hidden="false" customHeight="false" outlineLevel="0" collapsed="false">
      <c r="A2456" s="28" t="n">
        <v>45754</v>
      </c>
      <c r="B2456" s="28" t="n">
        <v>45760</v>
      </c>
      <c r="C2456" s="21" t="n">
        <v>0</v>
      </c>
      <c r="D2456" s="21" t="n">
        <v>0</v>
      </c>
      <c r="E2456" s="21" t="n">
        <v>0</v>
      </c>
      <c r="F2456" s="21" t="n">
        <v>0</v>
      </c>
      <c r="G2456" s="30" t="s">
        <v>3432</v>
      </c>
    </row>
    <row r="2457" customFormat="false" ht="15" hidden="false" customHeight="false" outlineLevel="0" collapsed="false">
      <c r="A2457" s="28" t="n">
        <v>45761</v>
      </c>
      <c r="B2457" s="28" t="n">
        <v>45767</v>
      </c>
      <c r="C2457" s="21" t="n">
        <v>0</v>
      </c>
      <c r="D2457" s="21" t="n">
        <v>0</v>
      </c>
      <c r="E2457" s="21" t="n">
        <v>0</v>
      </c>
      <c r="F2457" s="21" t="n">
        <v>0</v>
      </c>
      <c r="G2457" s="30" t="s">
        <v>3432</v>
      </c>
    </row>
    <row r="2458" customFormat="false" ht="15" hidden="false" customHeight="false" outlineLevel="0" collapsed="false">
      <c r="A2458" s="28" t="n">
        <v>45768</v>
      </c>
      <c r="B2458" s="28" t="n">
        <v>45774</v>
      </c>
      <c r="C2458" s="21" t="n">
        <v>0</v>
      </c>
      <c r="D2458" s="21" t="n">
        <v>0</v>
      </c>
      <c r="E2458" s="21" t="n">
        <v>0</v>
      </c>
      <c r="F2458" s="21" t="n">
        <v>0</v>
      </c>
      <c r="G2458" s="30" t="s">
        <v>3432</v>
      </c>
    </row>
    <row r="2459" customFormat="false" ht="15" hidden="false" customHeight="false" outlineLevel="0" collapsed="false">
      <c r="A2459" s="28" t="n">
        <v>45775</v>
      </c>
      <c r="B2459" s="28" t="n">
        <v>45781</v>
      </c>
      <c r="C2459" s="21" t="n">
        <v>0</v>
      </c>
      <c r="D2459" s="21" t="n">
        <v>0</v>
      </c>
      <c r="E2459" s="21" t="n">
        <v>0</v>
      </c>
      <c r="F2459" s="21" t="n">
        <v>0</v>
      </c>
      <c r="G2459" s="30" t="s">
        <v>3432</v>
      </c>
    </row>
    <row r="2460" customFormat="false" ht="15" hidden="false" customHeight="false" outlineLevel="0" collapsed="false">
      <c r="A2460" s="28" t="n">
        <v>45782</v>
      </c>
      <c r="B2460" s="28" t="n">
        <v>45788</v>
      </c>
      <c r="C2460" s="21" t="n">
        <v>0</v>
      </c>
      <c r="D2460" s="21" t="n">
        <v>0</v>
      </c>
      <c r="E2460" s="21" t="n">
        <v>0</v>
      </c>
      <c r="F2460" s="21" t="n">
        <v>0</v>
      </c>
      <c r="G2460" s="30" t="s">
        <v>3432</v>
      </c>
    </row>
    <row r="2461" customFormat="false" ht="15" hidden="false" customHeight="false" outlineLevel="0" collapsed="false">
      <c r="A2461" s="28" t="n">
        <v>45789</v>
      </c>
      <c r="B2461" s="28" t="n">
        <v>45795</v>
      </c>
      <c r="C2461" s="21" t="n">
        <v>0</v>
      </c>
      <c r="D2461" s="21" t="n">
        <v>0</v>
      </c>
      <c r="E2461" s="21" t="n">
        <v>0</v>
      </c>
      <c r="F2461" s="21" t="n">
        <v>0</v>
      </c>
      <c r="G2461" s="30" t="s">
        <v>3432</v>
      </c>
    </row>
    <row r="2462" customFormat="false" ht="15" hidden="false" customHeight="false" outlineLevel="0" collapsed="false">
      <c r="A2462" s="28" t="n">
        <v>45796</v>
      </c>
      <c r="B2462" s="28" t="n">
        <v>45802</v>
      </c>
      <c r="C2462" s="21" t="n">
        <v>0</v>
      </c>
      <c r="D2462" s="21" t="n">
        <v>0</v>
      </c>
      <c r="E2462" s="21" t="n">
        <v>0</v>
      </c>
      <c r="F2462" s="21" t="n">
        <v>0</v>
      </c>
      <c r="G2462" s="30" t="s">
        <v>3432</v>
      </c>
    </row>
    <row r="2463" customFormat="false" ht="15" hidden="false" customHeight="false" outlineLevel="0" collapsed="false">
      <c r="A2463" s="28" t="n">
        <v>45803</v>
      </c>
      <c r="B2463" s="28" t="n">
        <v>45809</v>
      </c>
      <c r="C2463" s="21" t="n">
        <v>0</v>
      </c>
      <c r="D2463" s="21" t="n">
        <v>0</v>
      </c>
      <c r="E2463" s="21" t="n">
        <v>0</v>
      </c>
      <c r="F2463" s="21" t="n">
        <v>0</v>
      </c>
      <c r="G2463" s="30" t="s">
        <v>3432</v>
      </c>
    </row>
    <row r="2464" customFormat="false" ht="15" hidden="false" customHeight="false" outlineLevel="0" collapsed="false">
      <c r="A2464" s="28" t="n">
        <v>45810</v>
      </c>
      <c r="B2464" s="28" t="n">
        <v>45816</v>
      </c>
      <c r="C2464" s="21" t="n">
        <v>0</v>
      </c>
      <c r="D2464" s="21" t="n">
        <v>0</v>
      </c>
      <c r="E2464" s="21" t="n">
        <v>0</v>
      </c>
      <c r="F2464" s="21" t="n">
        <v>0</v>
      </c>
      <c r="G2464" s="30" t="s">
        <v>3432</v>
      </c>
    </row>
    <row r="2465" customFormat="false" ht="15" hidden="false" customHeight="false" outlineLevel="0" collapsed="false">
      <c r="A2465" s="28" t="n">
        <v>45817</v>
      </c>
      <c r="B2465" s="28" t="n">
        <v>45823</v>
      </c>
      <c r="C2465" s="21" t="n">
        <v>2</v>
      </c>
      <c r="D2465" s="21" t="n">
        <v>0</v>
      </c>
      <c r="E2465" s="21" t="n">
        <v>1</v>
      </c>
      <c r="F2465" s="21" t="n">
        <v>6</v>
      </c>
      <c r="G2465" s="31" t="s">
        <v>89</v>
      </c>
    </row>
    <row r="2466" customFormat="false" ht="15" hidden="false" customHeight="false" outlineLevel="0" collapsed="false">
      <c r="A2466" s="28" t="n">
        <v>45824</v>
      </c>
      <c r="B2466" s="28" t="n">
        <v>45830</v>
      </c>
      <c r="C2466" s="21" t="n">
        <v>1</v>
      </c>
      <c r="D2466" s="21" t="n">
        <v>0</v>
      </c>
      <c r="E2466" s="21" t="n">
        <v>0</v>
      </c>
      <c r="F2466" s="21" t="n">
        <v>2</v>
      </c>
      <c r="G2466" s="31" t="s">
        <v>89</v>
      </c>
    </row>
    <row r="2467" customFormat="false" ht="15" hidden="false" customHeight="false" outlineLevel="0" collapsed="false">
      <c r="A2467" s="28" t="n">
        <v>45831</v>
      </c>
      <c r="B2467" s="28" t="n">
        <v>45837</v>
      </c>
      <c r="C2467" s="21" t="n">
        <v>1</v>
      </c>
      <c r="D2467" s="21" t="n">
        <v>0</v>
      </c>
      <c r="E2467" s="21" t="n">
        <v>0</v>
      </c>
      <c r="F2467" s="21" t="n">
        <v>2</v>
      </c>
      <c r="G2467" s="29" t="s">
        <v>184</v>
      </c>
    </row>
    <row r="2468" customFormat="false" ht="15" hidden="false" customHeight="false" outlineLevel="0" collapsed="false">
      <c r="A2468" s="28" t="n">
        <v>45838</v>
      </c>
      <c r="B2468" s="28" t="n">
        <v>45844</v>
      </c>
      <c r="C2468" s="21" t="n">
        <v>0</v>
      </c>
      <c r="D2468" s="21" t="n">
        <v>0</v>
      </c>
      <c r="E2468" s="21" t="n">
        <v>0</v>
      </c>
      <c r="F2468" s="21" t="n">
        <v>0</v>
      </c>
      <c r="G2468" s="29" t="s">
        <v>184</v>
      </c>
    </row>
    <row r="2469" customFormat="false" ht="15" hidden="false" customHeight="false" outlineLevel="0" collapsed="false">
      <c r="A2469" s="28" t="n">
        <v>45845</v>
      </c>
      <c r="B2469" s="28" t="n">
        <v>45851</v>
      </c>
      <c r="C2469" s="21" t="n">
        <v>0</v>
      </c>
      <c r="D2469" s="21" t="n">
        <v>0</v>
      </c>
      <c r="E2469" s="21" t="n">
        <v>0</v>
      </c>
      <c r="F2469" s="21" t="n">
        <v>0</v>
      </c>
      <c r="G2469" s="30" t="s">
        <v>3432</v>
      </c>
    </row>
    <row r="2470" customFormat="false" ht="15" hidden="false" customHeight="false" outlineLevel="0" collapsed="false">
      <c r="A2470" s="28" t="n">
        <v>45852</v>
      </c>
      <c r="B2470" s="28" t="n">
        <v>45858</v>
      </c>
      <c r="C2470" s="21" t="n">
        <v>0</v>
      </c>
      <c r="D2470" s="21" t="n">
        <v>0</v>
      </c>
      <c r="E2470" s="21" t="n">
        <v>0</v>
      </c>
      <c r="F2470" s="21" t="n">
        <v>0</v>
      </c>
      <c r="G2470" s="30" t="s">
        <v>3432</v>
      </c>
    </row>
    <row r="2471" customFormat="false" ht="15" hidden="false" customHeight="false" outlineLevel="0" collapsed="false">
      <c r="A2471" s="28" t="n">
        <v>45859</v>
      </c>
      <c r="B2471" s="28" t="n">
        <v>45865</v>
      </c>
      <c r="C2471" s="21" t="n">
        <v>0</v>
      </c>
      <c r="D2471" s="21" t="n">
        <v>0</v>
      </c>
      <c r="E2471" s="21" t="n">
        <v>0</v>
      </c>
      <c r="F2471" s="21" t="n">
        <v>0</v>
      </c>
      <c r="G2471" s="30" t="s">
        <v>3432</v>
      </c>
    </row>
    <row r="2472" customFormat="false" ht="15" hidden="false" customHeight="false" outlineLevel="0" collapsed="false">
      <c r="A2472" s="28" t="n">
        <v>45866</v>
      </c>
      <c r="B2472" s="28" t="n">
        <v>45872</v>
      </c>
      <c r="C2472" s="21" t="n">
        <v>0</v>
      </c>
      <c r="D2472" s="21" t="n">
        <v>0</v>
      </c>
      <c r="E2472" s="21" t="n">
        <v>0</v>
      </c>
      <c r="F2472" s="21" t="n">
        <v>0</v>
      </c>
      <c r="G2472" s="30" t="s">
        <v>3432</v>
      </c>
    </row>
    <row r="2473" customFormat="false" ht="15" hidden="false" customHeight="false" outlineLevel="0" collapsed="false">
      <c r="A2473" s="28" t="n">
        <v>45873</v>
      </c>
      <c r="B2473" s="28" t="n">
        <v>45879</v>
      </c>
      <c r="C2473" s="21" t="n">
        <v>0</v>
      </c>
      <c r="D2473" s="21" t="n">
        <v>0</v>
      </c>
      <c r="E2473" s="21" t="n">
        <v>0</v>
      </c>
      <c r="F2473" s="21" t="n">
        <v>0</v>
      </c>
      <c r="G2473" s="30" t="s">
        <v>3432</v>
      </c>
    </row>
    <row r="2474" customFormat="false" ht="15" hidden="false" customHeight="false" outlineLevel="0" collapsed="false">
      <c r="A2474" s="28" t="n">
        <v>45880</v>
      </c>
      <c r="B2474" s="28" t="n">
        <v>45886</v>
      </c>
      <c r="C2474" s="21" t="n">
        <v>0</v>
      </c>
      <c r="D2474" s="21" t="n">
        <v>0</v>
      </c>
      <c r="E2474" s="21" t="n">
        <v>0</v>
      </c>
      <c r="F2474" s="21" t="n">
        <v>0</v>
      </c>
      <c r="G2474" s="30" t="s">
        <v>3432</v>
      </c>
    </row>
    <row r="2475" customFormat="false" ht="15" hidden="false" customHeight="false" outlineLevel="0" collapsed="false">
      <c r="A2475" s="28" t="n">
        <v>45887</v>
      </c>
      <c r="B2475" s="28" t="n">
        <v>45893</v>
      </c>
      <c r="C2475" s="21" t="n">
        <v>0</v>
      </c>
      <c r="D2475" s="21" t="n">
        <v>0</v>
      </c>
      <c r="E2475" s="21" t="n">
        <v>0</v>
      </c>
      <c r="F2475" s="21" t="n">
        <v>0</v>
      </c>
      <c r="G2475" s="30" t="s">
        <v>3432</v>
      </c>
    </row>
    <row r="2476" customFormat="false" ht="15" hidden="false" customHeight="false" outlineLevel="0" collapsed="false">
      <c r="A2476" s="28" t="n">
        <v>45894</v>
      </c>
      <c r="B2476" s="28" t="n">
        <v>45900</v>
      </c>
      <c r="C2476" s="21" t="n">
        <v>0</v>
      </c>
      <c r="D2476" s="21" t="n">
        <v>0</v>
      </c>
      <c r="E2476" s="21" t="n">
        <v>0</v>
      </c>
      <c r="F2476" s="21" t="n">
        <v>0</v>
      </c>
      <c r="G2476" s="30" t="s">
        <v>3432</v>
      </c>
    </row>
    <row r="2477" customFormat="false" ht="15" hidden="false" customHeight="false" outlineLevel="0" collapsed="false">
      <c r="A2477" s="28" t="n">
        <v>45901</v>
      </c>
      <c r="B2477" s="28" t="n">
        <v>45907</v>
      </c>
      <c r="C2477" s="21" t="n">
        <v>0</v>
      </c>
      <c r="D2477" s="21" t="n">
        <v>0</v>
      </c>
      <c r="E2477" s="21" t="n">
        <v>0</v>
      </c>
      <c r="F2477" s="21" t="n">
        <v>0</v>
      </c>
      <c r="G2477" s="30" t="s">
        <v>3432</v>
      </c>
    </row>
    <row r="2478" customFormat="false" ht="15" hidden="false" customHeight="false" outlineLevel="0" collapsed="false">
      <c r="A2478" s="28" t="n">
        <v>45908</v>
      </c>
      <c r="B2478" s="28" t="n">
        <v>45914</v>
      </c>
      <c r="C2478" s="21" t="n">
        <v>0</v>
      </c>
      <c r="D2478" s="21" t="n">
        <v>0</v>
      </c>
      <c r="E2478" s="21" t="n">
        <v>0</v>
      </c>
      <c r="F2478" s="21" t="n">
        <v>0</v>
      </c>
      <c r="G2478" s="30" t="s">
        <v>3432</v>
      </c>
    </row>
    <row r="2479" customFormat="false" ht="15" hidden="false" customHeight="false" outlineLevel="0" collapsed="false">
      <c r="A2479" s="28" t="n">
        <v>45915</v>
      </c>
      <c r="B2479" s="28" t="n">
        <v>45921</v>
      </c>
      <c r="C2479" s="21" t="n">
        <v>0</v>
      </c>
      <c r="D2479" s="21" t="n">
        <v>0</v>
      </c>
      <c r="E2479" s="21" t="n">
        <v>0</v>
      </c>
      <c r="F2479" s="21" t="n">
        <v>0</v>
      </c>
      <c r="G2479" s="30" t="s">
        <v>3432</v>
      </c>
    </row>
    <row r="2480" customFormat="false" ht="15" hidden="false" customHeight="false" outlineLevel="0" collapsed="false">
      <c r="A2480" s="28" t="n">
        <v>45922</v>
      </c>
      <c r="B2480" s="28" t="n">
        <v>45928</v>
      </c>
      <c r="C2480" s="21" t="n">
        <v>0</v>
      </c>
      <c r="D2480" s="21" t="n">
        <v>0</v>
      </c>
      <c r="E2480" s="21" t="n">
        <v>0</v>
      </c>
      <c r="F2480" s="21" t="n">
        <v>0</v>
      </c>
      <c r="G2480" s="30" t="s">
        <v>3432</v>
      </c>
    </row>
    <row r="2481" customFormat="false" ht="15" hidden="false" customHeight="false" outlineLevel="0" collapsed="false">
      <c r="A2481" s="28" t="n">
        <v>45929</v>
      </c>
      <c r="B2481" s="28" t="n">
        <v>45935</v>
      </c>
      <c r="C2481" s="21" t="n">
        <v>0</v>
      </c>
      <c r="D2481" s="21" t="n">
        <v>0</v>
      </c>
      <c r="E2481" s="21" t="n">
        <v>0</v>
      </c>
      <c r="F2481" s="21" t="n">
        <v>0</v>
      </c>
      <c r="G2481" s="30" t="s">
        <v>3432</v>
      </c>
    </row>
    <row r="2482" customFormat="false" ht="15" hidden="false" customHeight="false" outlineLevel="0" collapsed="false">
      <c r="A2482" s="28" t="n">
        <v>45936</v>
      </c>
      <c r="B2482" s="28" t="n">
        <v>45942</v>
      </c>
      <c r="C2482" s="21" t="n">
        <v>0</v>
      </c>
      <c r="D2482" s="21" t="n">
        <v>0</v>
      </c>
      <c r="E2482" s="21" t="n">
        <v>0</v>
      </c>
      <c r="F2482" s="21" t="n">
        <v>0</v>
      </c>
      <c r="G2482" s="30" t="s">
        <v>3432</v>
      </c>
    </row>
    <row r="2483" customFormat="false" ht="15" hidden="false" customHeight="false" outlineLevel="0" collapsed="false">
      <c r="A2483" s="28" t="n">
        <v>45943</v>
      </c>
      <c r="B2483" s="28" t="n">
        <v>45949</v>
      </c>
      <c r="C2483" s="21" t="n">
        <v>0</v>
      </c>
      <c r="D2483" s="21" t="n">
        <v>0</v>
      </c>
      <c r="E2483" s="21" t="n">
        <v>0</v>
      </c>
      <c r="F2483" s="21" t="n">
        <v>0</v>
      </c>
      <c r="G2483" s="30" t="s">
        <v>3432</v>
      </c>
    </row>
    <row r="2484" customFormat="false" ht="15" hidden="false" customHeight="false" outlineLevel="0" collapsed="false">
      <c r="A2484" s="28" t="n">
        <v>45950</v>
      </c>
      <c r="B2484" s="28" t="n">
        <v>45956</v>
      </c>
      <c r="C2484" s="21" t="n">
        <v>0</v>
      </c>
      <c r="D2484" s="21" t="n">
        <v>0</v>
      </c>
      <c r="E2484" s="21" t="n">
        <v>0</v>
      </c>
      <c r="F2484" s="21" t="n">
        <v>0</v>
      </c>
      <c r="G2484" s="30" t="s">
        <v>3432</v>
      </c>
    </row>
    <row r="2485" customFormat="false" ht="15" hidden="false" customHeight="false" outlineLevel="0" collapsed="false">
      <c r="A2485" s="28" t="n">
        <v>45957</v>
      </c>
      <c r="B2485" s="28" t="n">
        <v>45963</v>
      </c>
      <c r="C2485" s="21" t="n">
        <v>0</v>
      </c>
      <c r="D2485" s="21" t="n">
        <v>0</v>
      </c>
      <c r="E2485" s="21" t="n">
        <v>0</v>
      </c>
      <c r="F2485" s="21" t="n">
        <v>0</v>
      </c>
      <c r="G2485" s="30" t="s">
        <v>3432</v>
      </c>
    </row>
    <row r="2486" customFormat="false" ht="15" hidden="false" customHeight="false" outlineLevel="0" collapsed="false">
      <c r="A2486" s="28" t="n">
        <v>45964</v>
      </c>
      <c r="B2486" s="28" t="n">
        <v>45970</v>
      </c>
      <c r="C2486" s="21" t="n">
        <v>0</v>
      </c>
      <c r="D2486" s="21" t="n">
        <v>0</v>
      </c>
      <c r="E2486" s="21" t="n">
        <v>0</v>
      </c>
      <c r="F2486" s="21" t="n">
        <v>0</v>
      </c>
      <c r="G2486" s="30" t="s">
        <v>3432</v>
      </c>
    </row>
    <row r="2487" customFormat="false" ht="15" hidden="false" customHeight="false" outlineLevel="0" collapsed="false">
      <c r="A2487" s="28" t="n">
        <v>45971</v>
      </c>
      <c r="B2487" s="28" t="n">
        <v>45977</v>
      </c>
      <c r="C2487" s="21" t="n">
        <v>0</v>
      </c>
      <c r="D2487" s="21" t="n">
        <v>0</v>
      </c>
      <c r="E2487" s="21" t="n">
        <v>0</v>
      </c>
      <c r="F2487" s="21" t="n">
        <v>0</v>
      </c>
      <c r="G2487" s="30" t="s">
        <v>3432</v>
      </c>
    </row>
    <row r="2488" customFormat="false" ht="15" hidden="false" customHeight="false" outlineLevel="0" collapsed="false">
      <c r="A2488" s="28" t="n">
        <v>45978</v>
      </c>
      <c r="B2488" s="28" t="n">
        <v>45984</v>
      </c>
      <c r="C2488" s="21" t="n">
        <v>0</v>
      </c>
      <c r="D2488" s="21" t="n">
        <v>0</v>
      </c>
      <c r="E2488" s="21" t="n">
        <v>0</v>
      </c>
      <c r="F2488" s="21" t="n">
        <v>0</v>
      </c>
      <c r="G2488" s="30" t="s">
        <v>3432</v>
      </c>
    </row>
    <row r="2489" customFormat="false" ht="15" hidden="false" customHeight="false" outlineLevel="0" collapsed="false">
      <c r="A2489" s="28" t="n">
        <v>45985</v>
      </c>
      <c r="B2489" s="28" t="n">
        <v>45991</v>
      </c>
      <c r="C2489" s="21" t="n">
        <v>0</v>
      </c>
      <c r="D2489" s="21" t="n">
        <v>0</v>
      </c>
      <c r="E2489" s="21" t="n">
        <v>0</v>
      </c>
      <c r="F2489" s="21" t="n">
        <v>0</v>
      </c>
      <c r="G2489" s="30" t="s">
        <v>3432</v>
      </c>
    </row>
    <row r="2490" customFormat="false" ht="15" hidden="false" customHeight="false" outlineLevel="0" collapsed="false">
      <c r="A2490" s="28" t="n">
        <v>45992</v>
      </c>
      <c r="B2490" s="28" t="n">
        <v>45998</v>
      </c>
      <c r="C2490" s="21" t="n">
        <v>0</v>
      </c>
      <c r="D2490" s="21" t="n">
        <v>0</v>
      </c>
      <c r="E2490" s="21" t="n">
        <v>0</v>
      </c>
      <c r="F2490" s="21" t="n">
        <v>0</v>
      </c>
      <c r="G2490" s="30" t="s">
        <v>3432</v>
      </c>
    </row>
    <row r="2491" customFormat="false" ht="15" hidden="false" customHeight="false" outlineLevel="0" collapsed="false">
      <c r="A2491" s="28" t="n">
        <v>45999</v>
      </c>
      <c r="B2491" s="28" t="n">
        <v>46005</v>
      </c>
      <c r="C2491" s="21" t="n">
        <v>0</v>
      </c>
      <c r="D2491" s="21" t="n">
        <v>0</v>
      </c>
      <c r="E2491" s="21" t="n">
        <v>0</v>
      </c>
      <c r="F2491" s="21" t="n">
        <v>0</v>
      </c>
      <c r="G2491" s="30" t="s">
        <v>3432</v>
      </c>
    </row>
    <row r="2492" customFormat="false" ht="15" hidden="false" customHeight="false" outlineLevel="0" collapsed="false">
      <c r="A2492" s="28" t="n">
        <v>46006</v>
      </c>
      <c r="B2492" s="28" t="n">
        <v>46012</v>
      </c>
      <c r="C2492" s="21" t="n">
        <v>0</v>
      </c>
      <c r="D2492" s="21" t="n">
        <v>0</v>
      </c>
      <c r="E2492" s="21" t="n">
        <v>0</v>
      </c>
      <c r="F2492" s="21" t="n">
        <v>0</v>
      </c>
      <c r="G2492" s="30" t="s">
        <v>3432</v>
      </c>
    </row>
    <row r="2493" customFormat="false" ht="15" hidden="false" customHeight="false" outlineLevel="0" collapsed="false">
      <c r="A2493" s="28" t="n">
        <v>46013</v>
      </c>
      <c r="B2493" s="28" t="n">
        <v>46019</v>
      </c>
      <c r="C2493" s="21" t="n">
        <v>0</v>
      </c>
      <c r="D2493" s="21" t="n">
        <v>0</v>
      </c>
      <c r="E2493" s="21" t="n">
        <v>0</v>
      </c>
      <c r="F2493" s="21" t="n">
        <v>0</v>
      </c>
      <c r="G2493" s="30" t="s">
        <v>3432</v>
      </c>
    </row>
    <row r="2494" customFormat="false" ht="15" hidden="false" customHeight="false" outlineLevel="0" collapsed="false">
      <c r="A2494" s="28" t="n">
        <v>46020</v>
      </c>
      <c r="B2494" s="28" t="n">
        <v>46026</v>
      </c>
      <c r="C2494" s="21" t="n">
        <v>0</v>
      </c>
      <c r="D2494" s="21" t="n">
        <v>0</v>
      </c>
      <c r="E2494" s="21" t="n">
        <v>0</v>
      </c>
      <c r="F2494" s="21" t="n">
        <v>0</v>
      </c>
      <c r="G2494" s="30" t="s">
        <v>3432</v>
      </c>
    </row>
    <row r="2495" customFormat="false" ht="15" hidden="false" customHeight="false" outlineLevel="0" collapsed="false">
      <c r="A2495" s="28" t="n">
        <v>46027</v>
      </c>
      <c r="B2495" s="28" t="n">
        <v>46033</v>
      </c>
      <c r="C2495" s="21" t="n">
        <v>0</v>
      </c>
      <c r="D2495" s="21" t="n">
        <v>0</v>
      </c>
      <c r="E2495" s="21" t="n">
        <v>0</v>
      </c>
      <c r="F2495" s="21" t="n">
        <v>0</v>
      </c>
      <c r="G2495" s="30" t="s">
        <v>3432</v>
      </c>
    </row>
    <row r="2496" customFormat="false" ht="15" hidden="false" customHeight="false" outlineLevel="0" collapsed="false">
      <c r="A2496" s="28" t="n">
        <v>46034</v>
      </c>
      <c r="B2496" s="28" t="n">
        <v>46040</v>
      </c>
      <c r="C2496" s="21" t="n">
        <v>0</v>
      </c>
      <c r="D2496" s="21" t="n">
        <v>0</v>
      </c>
      <c r="E2496" s="21" t="n">
        <v>0</v>
      </c>
      <c r="F2496" s="21" t="n">
        <v>0</v>
      </c>
      <c r="G2496" s="30" t="s">
        <v>3432</v>
      </c>
    </row>
    <row r="2497" customFormat="false" ht="15" hidden="false" customHeight="false" outlineLevel="0" collapsed="false">
      <c r="A2497" s="28" t="n">
        <v>46041</v>
      </c>
      <c r="B2497" s="28" t="n">
        <v>46047</v>
      </c>
      <c r="C2497" s="21" t="n">
        <v>0</v>
      </c>
      <c r="D2497" s="21" t="n">
        <v>0</v>
      </c>
      <c r="E2497" s="21" t="n">
        <v>0</v>
      </c>
      <c r="F2497" s="21" t="n">
        <v>0</v>
      </c>
      <c r="G2497" s="30" t="s">
        <v>3432</v>
      </c>
    </row>
    <row r="2498" customFormat="false" ht="15" hidden="false" customHeight="false" outlineLevel="0" collapsed="false">
      <c r="A2498" s="28" t="n">
        <v>46048</v>
      </c>
      <c r="B2498" s="28" t="n">
        <v>46054</v>
      </c>
      <c r="C2498" s="21" t="n">
        <v>0</v>
      </c>
      <c r="D2498" s="21" t="n">
        <v>0</v>
      </c>
      <c r="E2498" s="21" t="n">
        <v>0</v>
      </c>
      <c r="F2498" s="21" t="n">
        <v>0</v>
      </c>
      <c r="G2498" s="30" t="s">
        <v>3432</v>
      </c>
    </row>
    <row r="2499" customFormat="false" ht="15" hidden="false" customHeight="false" outlineLevel="0" collapsed="false">
      <c r="A2499" s="28" t="n">
        <v>46055</v>
      </c>
      <c r="B2499" s="28" t="n">
        <v>46061</v>
      </c>
      <c r="C2499" s="21" t="n">
        <v>0</v>
      </c>
      <c r="D2499" s="21" t="n">
        <v>0</v>
      </c>
      <c r="E2499" s="21" t="n">
        <v>0</v>
      </c>
      <c r="F2499" s="21" t="n">
        <v>0</v>
      </c>
      <c r="G2499" s="30" t="s">
        <v>3432</v>
      </c>
    </row>
    <row r="2500" customFormat="false" ht="15" hidden="false" customHeight="false" outlineLevel="0" collapsed="false">
      <c r="A2500" s="28" t="n">
        <v>46062</v>
      </c>
      <c r="B2500" s="28" t="n">
        <v>46068</v>
      </c>
      <c r="C2500" s="21" t="n">
        <v>0</v>
      </c>
      <c r="D2500" s="21" t="n">
        <v>0</v>
      </c>
      <c r="E2500" s="21" t="n">
        <v>0</v>
      </c>
      <c r="F2500" s="21" t="n">
        <v>0</v>
      </c>
      <c r="G2500" s="30" t="s">
        <v>3432</v>
      </c>
    </row>
    <row r="2501" customFormat="false" ht="15" hidden="false" customHeight="false" outlineLevel="0" collapsed="false">
      <c r="A2501" s="28" t="n">
        <v>46069</v>
      </c>
      <c r="B2501" s="28" t="n">
        <v>46075</v>
      </c>
      <c r="C2501" s="21" t="n">
        <v>0</v>
      </c>
      <c r="D2501" s="21" t="n">
        <v>0</v>
      </c>
      <c r="E2501" s="21" t="n">
        <v>0</v>
      </c>
      <c r="F2501" s="21" t="n">
        <v>0</v>
      </c>
      <c r="G2501" s="30" t="s">
        <v>3432</v>
      </c>
    </row>
    <row r="2502" customFormat="false" ht="15" hidden="false" customHeight="false" outlineLevel="0" collapsed="false">
      <c r="A2502" s="28" t="n">
        <v>46076</v>
      </c>
      <c r="B2502" s="28" t="n">
        <v>46082</v>
      </c>
      <c r="C2502" s="21" t="n">
        <v>6</v>
      </c>
      <c r="D2502" s="21" t="n">
        <v>1</v>
      </c>
      <c r="E2502" s="21" t="n">
        <v>3</v>
      </c>
      <c r="F2502" s="21" t="n">
        <v>19</v>
      </c>
      <c r="G2502" s="32" t="s">
        <v>56</v>
      </c>
    </row>
    <row r="2503" customFormat="false" ht="15" hidden="false" customHeight="false" outlineLevel="0" collapsed="false">
      <c r="A2503" s="28" t="n">
        <v>46083</v>
      </c>
      <c r="B2503" s="28" t="n">
        <v>46089</v>
      </c>
      <c r="C2503" s="21" t="n">
        <v>5</v>
      </c>
      <c r="D2503" s="21" t="n">
        <v>0</v>
      </c>
      <c r="E2503" s="21" t="n">
        <v>2</v>
      </c>
      <c r="F2503" s="21" t="n">
        <v>14</v>
      </c>
      <c r="G2503" s="32" t="s">
        <v>56</v>
      </c>
    </row>
    <row r="2504" customFormat="false" ht="15" hidden="false" customHeight="false" outlineLevel="0" collapsed="false">
      <c r="A2504" s="28" t="n">
        <v>46090</v>
      </c>
      <c r="B2504" s="28" t="n">
        <v>46096</v>
      </c>
      <c r="C2504" s="21" t="n">
        <v>0</v>
      </c>
      <c r="D2504" s="21" t="n">
        <v>1</v>
      </c>
      <c r="E2504" s="21" t="n">
        <v>0</v>
      </c>
      <c r="F2504" s="21" t="n">
        <v>1</v>
      </c>
      <c r="G2504" s="32" t="s">
        <v>56</v>
      </c>
    </row>
    <row r="2505" customFormat="false" ht="15" hidden="false" customHeight="false" outlineLevel="0" collapsed="false">
      <c r="A2505" s="28" t="n">
        <v>46097</v>
      </c>
      <c r="B2505" s="28" t="n">
        <v>46103</v>
      </c>
      <c r="C2505" s="21" t="n">
        <v>3</v>
      </c>
      <c r="D2505" s="21" t="n">
        <v>0</v>
      </c>
      <c r="E2505" s="21" t="n">
        <v>0</v>
      </c>
      <c r="F2505" s="21" t="n">
        <v>6</v>
      </c>
      <c r="G2505" s="31" t="s">
        <v>89</v>
      </c>
    </row>
    <row r="2506" customFormat="false" ht="15" hidden="false" customHeight="false" outlineLevel="0" collapsed="false">
      <c r="A2506" s="28" t="n">
        <v>46104</v>
      </c>
      <c r="B2506" s="28" t="n">
        <v>46110</v>
      </c>
      <c r="C2506" s="21" t="n">
        <v>2</v>
      </c>
      <c r="D2506" s="21" t="n">
        <v>0</v>
      </c>
      <c r="E2506" s="21" t="n">
        <v>0</v>
      </c>
      <c r="F2506" s="21" t="n">
        <v>4</v>
      </c>
      <c r="G2506" s="31" t="s">
        <v>89</v>
      </c>
    </row>
    <row r="2507" customFormat="false" ht="15" hidden="false" customHeight="false" outlineLevel="0" collapsed="false">
      <c r="A2507" s="28" t="n">
        <v>46111</v>
      </c>
      <c r="B2507" s="28" t="n">
        <v>46117</v>
      </c>
      <c r="C2507" s="21" t="n">
        <v>3</v>
      </c>
      <c r="D2507" s="21" t="n">
        <v>0</v>
      </c>
      <c r="E2507" s="21" t="n">
        <v>1</v>
      </c>
      <c r="F2507" s="21" t="n">
        <v>8</v>
      </c>
      <c r="G2507" s="32" t="s">
        <v>56</v>
      </c>
    </row>
    <row r="2508" customFormat="false" ht="15" hidden="false" customHeight="false" outlineLevel="0" collapsed="false">
      <c r="A2508" s="28" t="n">
        <v>46118</v>
      </c>
      <c r="B2508" s="28" t="n">
        <v>46124</v>
      </c>
      <c r="C2508" s="21" t="n">
        <v>2</v>
      </c>
      <c r="D2508" s="21" t="n">
        <v>2</v>
      </c>
      <c r="E2508" s="21" t="n">
        <v>1</v>
      </c>
      <c r="F2508" s="21" t="n">
        <v>8</v>
      </c>
      <c r="G2508" s="32" t="s">
        <v>56</v>
      </c>
    </row>
    <row r="2509" customFormat="false" ht="15" hidden="false" customHeight="false" outlineLevel="0" collapsed="false">
      <c r="A2509" s="28" t="n">
        <v>46125</v>
      </c>
      <c r="B2509" s="28" t="n">
        <v>46131</v>
      </c>
      <c r="C2509" s="21" t="n">
        <v>0</v>
      </c>
      <c r="D2509" s="21" t="n">
        <v>3</v>
      </c>
      <c r="E2509" s="21" t="n">
        <v>0</v>
      </c>
      <c r="F2509" s="21" t="n">
        <v>3</v>
      </c>
      <c r="G2509" s="31" t="s">
        <v>89</v>
      </c>
    </row>
    <row r="2510" customFormat="false" ht="15" hidden="false" customHeight="false" outlineLevel="0" collapsed="false">
      <c r="A2510" s="28" t="n">
        <v>46132</v>
      </c>
      <c r="B2510" s="28" t="n">
        <v>46138</v>
      </c>
      <c r="C2510" s="21" t="n">
        <v>0</v>
      </c>
      <c r="D2510" s="21" t="n">
        <v>1</v>
      </c>
      <c r="E2510" s="21" t="n">
        <v>0</v>
      </c>
      <c r="F2510" s="21" t="n">
        <v>1</v>
      </c>
      <c r="G2510" s="29" t="s">
        <v>184</v>
      </c>
    </row>
    <row r="2511" customFormat="false" ht="15" hidden="false" customHeight="false" outlineLevel="0" collapsed="false">
      <c r="A2511" s="28" t="n">
        <v>46139</v>
      </c>
      <c r="B2511" s="28" t="n">
        <v>46145</v>
      </c>
      <c r="C2511" s="21" t="n">
        <v>1</v>
      </c>
      <c r="D2511" s="21" t="n">
        <v>0</v>
      </c>
      <c r="E2511" s="21" t="n">
        <v>0</v>
      </c>
      <c r="F2511" s="21" t="n">
        <v>2</v>
      </c>
      <c r="G2511" s="29" t="s">
        <v>184</v>
      </c>
    </row>
    <row r="2512" customFormat="false" ht="15" hidden="false" customHeight="false" outlineLevel="0" collapsed="false">
      <c r="A2512" s="28" t="n">
        <v>46146</v>
      </c>
      <c r="B2512" s="28" t="n">
        <v>46152</v>
      </c>
      <c r="C2512" s="21" t="n">
        <v>3</v>
      </c>
      <c r="D2512" s="21" t="n">
        <v>0</v>
      </c>
      <c r="E2512" s="21" t="n">
        <v>0</v>
      </c>
      <c r="F2512" s="21" t="n">
        <v>6</v>
      </c>
      <c r="G2512" s="31" t="s">
        <v>89</v>
      </c>
    </row>
    <row r="2513" customFormat="false" ht="15" hidden="false" customHeight="false" outlineLevel="0" collapsed="false">
      <c r="A2513" s="28" t="n">
        <v>46153</v>
      </c>
      <c r="B2513" s="28" t="n">
        <v>46159</v>
      </c>
      <c r="C2513" s="21" t="n">
        <v>0</v>
      </c>
      <c r="D2513" s="21" t="n">
        <v>0</v>
      </c>
      <c r="E2513" s="21" t="n">
        <v>0</v>
      </c>
      <c r="F2513" s="21" t="n">
        <v>0</v>
      </c>
      <c r="G2513" s="31" t="s">
        <v>89</v>
      </c>
    </row>
    <row r="2514" customFormat="false" ht="15" hidden="false" customHeight="false" outlineLevel="0" collapsed="false">
      <c r="A2514" s="28" t="n">
        <v>46160</v>
      </c>
      <c r="B2514" s="28" t="n">
        <v>46166</v>
      </c>
      <c r="C2514" s="21" t="n">
        <v>0</v>
      </c>
      <c r="D2514" s="21" t="n">
        <v>0</v>
      </c>
      <c r="E2514" s="21" t="n">
        <v>0</v>
      </c>
      <c r="F2514" s="21" t="n">
        <v>0</v>
      </c>
      <c r="G2514" s="30" t="s">
        <v>3432</v>
      </c>
    </row>
    <row r="2515" customFormat="false" ht="15" hidden="false" customHeight="false" outlineLevel="0" collapsed="false">
      <c r="A2515" s="28" t="n">
        <v>46167</v>
      </c>
      <c r="B2515" s="28" t="n">
        <v>46173</v>
      </c>
      <c r="C2515" s="21" t="n">
        <v>0</v>
      </c>
      <c r="D2515" s="21" t="n">
        <v>0</v>
      </c>
      <c r="E2515" s="21" t="n">
        <v>0</v>
      </c>
      <c r="F2515" s="21" t="n">
        <v>0</v>
      </c>
      <c r="G2515" s="30" t="s">
        <v>3432</v>
      </c>
    </row>
    <row r="2516" customFormat="false" ht="15" hidden="false" customHeight="false" outlineLevel="0" collapsed="false">
      <c r="A2516" s="28" t="n">
        <v>46174</v>
      </c>
      <c r="B2516" s="28" t="n">
        <v>46180</v>
      </c>
      <c r="C2516" s="21" t="n">
        <v>1</v>
      </c>
      <c r="D2516" s="21" t="n">
        <v>0</v>
      </c>
      <c r="E2516" s="21" t="n">
        <v>0</v>
      </c>
      <c r="F2516" s="21" t="n">
        <v>2</v>
      </c>
      <c r="G2516" s="29" t="s">
        <v>184</v>
      </c>
    </row>
    <row r="2517" customFormat="false" ht="15" hidden="false" customHeight="false" outlineLevel="0" collapsed="false">
      <c r="A2517" s="28" t="n">
        <v>46181</v>
      </c>
      <c r="B2517" s="28" t="n">
        <v>46187</v>
      </c>
      <c r="C2517" s="21" t="n">
        <v>5</v>
      </c>
      <c r="D2517" s="21" t="n">
        <v>0</v>
      </c>
      <c r="E2517" s="21" t="n">
        <v>1</v>
      </c>
      <c r="F2517" s="21" t="n">
        <v>12</v>
      </c>
      <c r="G2517" s="32" t="s">
        <v>56</v>
      </c>
    </row>
    <row r="2518" customFormat="false" ht="15" hidden="false" customHeight="false" outlineLevel="0" collapsed="false">
      <c r="A2518" s="28" t="n">
        <v>46188</v>
      </c>
      <c r="B2518" s="28" t="n">
        <v>46194</v>
      </c>
      <c r="C2518" s="21" t="n">
        <v>1</v>
      </c>
      <c r="D2518" s="21" t="n">
        <v>2</v>
      </c>
      <c r="E2518" s="21" t="n">
        <v>1</v>
      </c>
      <c r="F2518" s="21" t="n">
        <v>6</v>
      </c>
      <c r="G2518" s="32" t="s">
        <v>56</v>
      </c>
    </row>
    <row r="2519" customFormat="false" ht="15" hidden="false" customHeight="false" outlineLevel="0" collapsed="false">
      <c r="A2519" s="28" t="n">
        <v>46195</v>
      </c>
      <c r="B2519" s="28" t="n">
        <v>46201</v>
      </c>
      <c r="C2519" s="21" t="n">
        <v>2</v>
      </c>
      <c r="D2519" s="21" t="n">
        <v>1</v>
      </c>
      <c r="E2519" s="21" t="n">
        <v>0</v>
      </c>
      <c r="F2519" s="21" t="n">
        <v>5</v>
      </c>
      <c r="G2519" s="31" t="s">
        <v>89</v>
      </c>
    </row>
    <row r="2520" customFormat="false" ht="15" hidden="false" customHeight="false" outlineLevel="0" collapsed="false">
      <c r="A2520" s="28" t="n">
        <v>46202</v>
      </c>
      <c r="B2520" s="28" t="n">
        <v>46208</v>
      </c>
      <c r="C2520" s="21" t="n">
        <v>0</v>
      </c>
      <c r="D2520" s="21" t="n">
        <v>0</v>
      </c>
      <c r="E2520" s="21" t="n">
        <v>0</v>
      </c>
      <c r="F2520" s="21" t="n">
        <v>0</v>
      </c>
      <c r="G2520" s="29" t="s">
        <v>184</v>
      </c>
    </row>
    <row r="2521" customFormat="false" ht="15" hidden="false" customHeight="false" outlineLevel="0" collapsed="false">
      <c r="A2521" s="28" t="n">
        <v>46209</v>
      </c>
      <c r="B2521" s="28" t="n">
        <v>46215</v>
      </c>
      <c r="C2521" s="21" t="n">
        <v>3</v>
      </c>
      <c r="D2521" s="21" t="n">
        <v>2</v>
      </c>
      <c r="E2521" s="21" t="n">
        <v>0</v>
      </c>
      <c r="F2521" s="21" t="n">
        <v>8</v>
      </c>
      <c r="G2521" s="31" t="s">
        <v>89</v>
      </c>
    </row>
    <row r="2522" customFormat="false" ht="15" hidden="false" customHeight="false" outlineLevel="0" collapsed="false">
      <c r="A2522" s="28" t="n">
        <v>46216</v>
      </c>
      <c r="B2522" s="28" t="n">
        <v>46222</v>
      </c>
      <c r="C2522" s="21" t="n">
        <v>2</v>
      </c>
      <c r="D2522" s="21" t="n">
        <v>0</v>
      </c>
      <c r="E2522" s="21" t="n">
        <v>1</v>
      </c>
      <c r="F2522" s="21" t="n">
        <v>6</v>
      </c>
      <c r="G2522" s="32" t="s">
        <v>56</v>
      </c>
    </row>
    <row r="2523" customFormat="false" ht="15" hidden="false" customHeight="false" outlineLevel="0" collapsed="false">
      <c r="A2523" s="28" t="n">
        <v>46223</v>
      </c>
      <c r="B2523" s="28" t="n">
        <v>46229</v>
      </c>
      <c r="C2523" s="21" t="n">
        <v>0</v>
      </c>
      <c r="D2523" s="21" t="n">
        <v>0</v>
      </c>
      <c r="E2523" s="21" t="n">
        <v>0</v>
      </c>
      <c r="F2523" s="21" t="n">
        <v>0</v>
      </c>
      <c r="G2523" s="31" t="s">
        <v>89</v>
      </c>
    </row>
    <row r="2524" customFormat="false" ht="15" hidden="false" customHeight="false" outlineLevel="0" collapsed="false">
      <c r="A2524" s="28" t="n">
        <v>46230</v>
      </c>
      <c r="B2524" s="28" t="n">
        <v>46236</v>
      </c>
      <c r="C2524" s="21" t="n">
        <v>0</v>
      </c>
      <c r="D2524" s="21" t="n">
        <v>0</v>
      </c>
      <c r="E2524" s="21" t="n">
        <v>0</v>
      </c>
      <c r="F2524" s="21" t="n">
        <v>0</v>
      </c>
      <c r="G2524" s="30" t="s">
        <v>3432</v>
      </c>
    </row>
    <row r="2525" customFormat="false" ht="15" hidden="false" customHeight="false" outlineLevel="0" collapsed="false">
      <c r="A2525" s="28" t="n">
        <v>46237</v>
      </c>
      <c r="B2525" s="28" t="n">
        <v>46243</v>
      </c>
      <c r="C2525" s="21" t="n">
        <v>0</v>
      </c>
      <c r="D2525" s="21" t="n">
        <v>0</v>
      </c>
      <c r="E2525" s="21" t="n">
        <v>0</v>
      </c>
      <c r="F2525" s="21" t="n">
        <v>0</v>
      </c>
      <c r="G2525" s="30" t="s">
        <v>3432</v>
      </c>
    </row>
    <row r="2526" customFormat="false" ht="15" hidden="false" customHeight="false" outlineLevel="0" collapsed="false">
      <c r="A2526" s="28" t="n">
        <v>46244</v>
      </c>
      <c r="B2526" s="28" t="n">
        <v>46250</v>
      </c>
      <c r="C2526" s="21" t="n">
        <v>0</v>
      </c>
      <c r="D2526" s="21" t="n">
        <v>0</v>
      </c>
      <c r="E2526" s="21" t="n">
        <v>0</v>
      </c>
      <c r="F2526" s="21" t="n">
        <v>0</v>
      </c>
      <c r="G2526" s="30" t="s">
        <v>3432</v>
      </c>
    </row>
    <row r="2527" customFormat="false" ht="15" hidden="false" customHeight="false" outlineLevel="0" collapsed="false">
      <c r="A2527" s="28" t="n">
        <v>46251</v>
      </c>
      <c r="B2527" s="28" t="n">
        <v>46257</v>
      </c>
      <c r="C2527" s="21" t="n">
        <v>0</v>
      </c>
      <c r="D2527" s="21" t="n">
        <v>0</v>
      </c>
      <c r="E2527" s="21" t="n">
        <v>0</v>
      </c>
      <c r="F2527" s="21" t="n">
        <v>0</v>
      </c>
      <c r="G2527" s="30" t="s">
        <v>3432</v>
      </c>
    </row>
    <row r="2528" customFormat="false" ht="15" hidden="false" customHeight="false" outlineLevel="0" collapsed="false">
      <c r="A2528" s="28" t="n">
        <v>46258</v>
      </c>
      <c r="B2528" s="28" t="n">
        <v>46264</v>
      </c>
      <c r="C2528" s="21" t="n">
        <v>1</v>
      </c>
      <c r="D2528" s="21" t="n">
        <v>1</v>
      </c>
      <c r="E2528" s="21" t="n">
        <v>1</v>
      </c>
      <c r="F2528" s="21" t="n">
        <v>5</v>
      </c>
      <c r="G2528" s="29" t="s">
        <v>184</v>
      </c>
    </row>
    <row r="2529" customFormat="false" ht="15" hidden="false" customHeight="false" outlineLevel="0" collapsed="false">
      <c r="A2529" s="28" t="n">
        <v>46265</v>
      </c>
      <c r="B2529" s="28" t="n">
        <v>46271</v>
      </c>
      <c r="C2529" s="21" t="n">
        <v>5</v>
      </c>
      <c r="D2529" s="21" t="n">
        <v>1</v>
      </c>
      <c r="E2529" s="21" t="n">
        <v>2</v>
      </c>
      <c r="F2529" s="21" t="n">
        <v>15</v>
      </c>
      <c r="G2529" s="32" t="s">
        <v>56</v>
      </c>
    </row>
    <row r="2530" customFormat="false" ht="15" hidden="false" customHeight="false" outlineLevel="0" collapsed="false">
      <c r="A2530" s="28" t="n">
        <v>46272</v>
      </c>
      <c r="B2530" s="28" t="n">
        <v>46278</v>
      </c>
      <c r="C2530" s="21" t="n">
        <v>3</v>
      </c>
      <c r="D2530" s="21" t="n">
        <v>0</v>
      </c>
      <c r="E2530" s="21" t="n">
        <v>0</v>
      </c>
      <c r="F2530" s="21" t="n">
        <v>6</v>
      </c>
      <c r="G2530" s="32" t="s">
        <v>56</v>
      </c>
    </row>
    <row r="2531" customFormat="false" ht="15" hidden="false" customHeight="false" outlineLevel="0" collapsed="false">
      <c r="A2531" s="28" t="n">
        <v>46279</v>
      </c>
      <c r="B2531" s="28" t="n">
        <v>46285</v>
      </c>
      <c r="C2531" s="21" t="n">
        <v>0</v>
      </c>
      <c r="D2531" s="21" t="n">
        <v>0</v>
      </c>
      <c r="E2531" s="21" t="n">
        <v>0</v>
      </c>
      <c r="F2531" s="21" t="n">
        <v>0</v>
      </c>
      <c r="G2531" s="31" t="s">
        <v>89</v>
      </c>
    </row>
    <row r="2532" customFormat="false" ht="15" hidden="false" customHeight="false" outlineLevel="0" collapsed="false">
      <c r="A2532" s="28" t="n">
        <v>46286</v>
      </c>
      <c r="B2532" s="28" t="n">
        <v>46292</v>
      </c>
      <c r="C2532" s="21" t="n">
        <v>0</v>
      </c>
      <c r="D2532" s="21" t="n">
        <v>0</v>
      </c>
      <c r="E2532" s="21" t="n">
        <v>0</v>
      </c>
      <c r="F2532" s="21" t="n">
        <v>0</v>
      </c>
      <c r="G2532" s="30" t="s">
        <v>3432</v>
      </c>
    </row>
    <row r="2533" customFormat="false" ht="15" hidden="false" customHeight="false" outlineLevel="0" collapsed="false">
      <c r="A2533" s="28" t="n">
        <v>46293</v>
      </c>
      <c r="B2533" s="28" t="n">
        <v>46299</v>
      </c>
      <c r="C2533" s="21" t="n">
        <v>0</v>
      </c>
      <c r="D2533" s="21" t="n">
        <v>1</v>
      </c>
      <c r="E2533" s="21" t="n">
        <v>0</v>
      </c>
      <c r="F2533" s="21" t="n">
        <v>1</v>
      </c>
      <c r="G2533" s="29" t="s">
        <v>184</v>
      </c>
    </row>
    <row r="2534" customFormat="false" ht="15" hidden="false" customHeight="false" outlineLevel="0" collapsed="false">
      <c r="A2534" s="28" t="n">
        <v>46300</v>
      </c>
      <c r="B2534" s="28" t="n">
        <v>46306</v>
      </c>
      <c r="C2534" s="21" t="n">
        <v>1</v>
      </c>
      <c r="D2534" s="21" t="n">
        <v>6</v>
      </c>
      <c r="E2534" s="21" t="n">
        <v>0</v>
      </c>
      <c r="F2534" s="21" t="n">
        <v>8</v>
      </c>
      <c r="G2534" s="31" t="s">
        <v>89</v>
      </c>
    </row>
    <row r="2535" customFormat="false" ht="15" hidden="false" customHeight="false" outlineLevel="0" collapsed="false">
      <c r="A2535" s="28" t="n">
        <v>46307</v>
      </c>
      <c r="B2535" s="28" t="n">
        <v>46313</v>
      </c>
      <c r="C2535" s="21" t="n">
        <v>0</v>
      </c>
      <c r="D2535" s="21" t="n">
        <v>4</v>
      </c>
      <c r="E2535" s="21" t="n">
        <v>0</v>
      </c>
      <c r="F2535" s="21" t="n">
        <v>4</v>
      </c>
      <c r="G2535" s="32" t="s">
        <v>56</v>
      </c>
    </row>
    <row r="2536" customFormat="false" ht="15" hidden="false" customHeight="false" outlineLevel="0" collapsed="false">
      <c r="A2536" s="28" t="n">
        <v>46314</v>
      </c>
      <c r="B2536" s="28" t="n">
        <v>46320</v>
      </c>
      <c r="C2536" s="21" t="n">
        <v>0</v>
      </c>
      <c r="D2536" s="21" t="n">
        <v>4</v>
      </c>
      <c r="E2536" s="21" t="n">
        <v>0</v>
      </c>
      <c r="F2536" s="21" t="n">
        <v>4</v>
      </c>
      <c r="G2536" s="31" t="s">
        <v>89</v>
      </c>
    </row>
    <row r="2537" customFormat="false" ht="15" hidden="false" customHeight="false" outlineLevel="0" collapsed="false">
      <c r="A2537" s="28" t="n">
        <v>46321</v>
      </c>
      <c r="B2537" s="28" t="n">
        <v>46327</v>
      </c>
      <c r="C2537" s="21" t="n">
        <v>0</v>
      </c>
      <c r="D2537" s="21" t="n">
        <v>0</v>
      </c>
      <c r="E2537" s="21" t="n">
        <v>0</v>
      </c>
      <c r="F2537" s="21" t="n">
        <v>0</v>
      </c>
      <c r="G2537" s="29"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3433</v>
      </c>
    </row>
    <row r="2" customFormat="false" ht="15" hidden="false" customHeight="false" outlineLevel="0" collapsed="false">
      <c r="A2" s="16" t="s">
        <v>3434</v>
      </c>
    </row>
    <row r="3" customFormat="false" ht="15" hidden="false" customHeight="false" outlineLevel="0" collapsed="false">
      <c r="A3" s="14" t="s">
        <v>3435</v>
      </c>
    </row>
    <row r="5" customFormat="false" ht="23.85" hidden="false" customHeight="false" outlineLevel="0" collapsed="false">
      <c r="A5" s="25" t="s">
        <v>31</v>
      </c>
      <c r="B5" s="25" t="s">
        <v>3436</v>
      </c>
      <c r="C5" s="25" t="s">
        <v>3437</v>
      </c>
      <c r="D5" s="25" t="s">
        <v>3438</v>
      </c>
      <c r="E5" s="25" t="s">
        <v>3439</v>
      </c>
      <c r="F5" s="25" t="s">
        <v>3440</v>
      </c>
      <c r="G5" s="25" t="s">
        <v>3441</v>
      </c>
      <c r="H5" s="25" t="s">
        <v>3442</v>
      </c>
      <c r="I5" s="25" t="s">
        <v>1412</v>
      </c>
      <c r="J5" s="25" t="s">
        <v>3443</v>
      </c>
      <c r="K5" s="25" t="s">
        <v>3444</v>
      </c>
      <c r="L5" s="25" t="s">
        <v>3445</v>
      </c>
      <c r="M5" s="25" t="s">
        <v>3446</v>
      </c>
    </row>
    <row r="6" customFormat="false" ht="180.55" hidden="false" customHeight="false" outlineLevel="0" collapsed="false">
      <c r="A6" s="6" t="s">
        <v>3447</v>
      </c>
      <c r="B6" s="6" t="s">
        <v>2350</v>
      </c>
      <c r="C6" s="6" t="s">
        <v>2344</v>
      </c>
      <c r="D6" s="6" t="s">
        <v>3448</v>
      </c>
      <c r="E6" s="6" t="s">
        <v>3449</v>
      </c>
      <c r="F6" s="6" t="s">
        <v>3450</v>
      </c>
      <c r="G6" s="33" t="n">
        <v>0.25</v>
      </c>
      <c r="H6" s="6" t="s">
        <v>3451</v>
      </c>
      <c r="I6" s="6" t="s">
        <v>3452</v>
      </c>
      <c r="J6" s="8" t="s">
        <v>3453</v>
      </c>
      <c r="K6" s="6" t="s">
        <v>3454</v>
      </c>
      <c r="L6" s="6" t="n">
        <v>0.062</v>
      </c>
      <c r="M6" s="6" t="s">
        <v>3455</v>
      </c>
    </row>
    <row r="7" customFormat="false" ht="102.2" hidden="false" customHeight="false" outlineLevel="0" collapsed="false">
      <c r="A7" s="6" t="s">
        <v>3456</v>
      </c>
      <c r="B7" s="6" t="s">
        <v>2350</v>
      </c>
      <c r="C7" s="6" t="s">
        <v>2344</v>
      </c>
      <c r="D7" s="6" t="s">
        <v>3457</v>
      </c>
      <c r="E7" s="6" t="s">
        <v>3458</v>
      </c>
      <c r="F7" s="6" t="s">
        <v>2395</v>
      </c>
      <c r="G7" s="33" t="n">
        <v>0.83</v>
      </c>
      <c r="H7" s="6" t="s">
        <v>3459</v>
      </c>
      <c r="I7" s="6" t="s">
        <v>3460</v>
      </c>
      <c r="J7" s="8" t="s">
        <v>3461</v>
      </c>
      <c r="K7" s="6" t="s">
        <v>3454</v>
      </c>
      <c r="L7" s="6" t="n">
        <v>0.029</v>
      </c>
      <c r="M7" s="6" t="s">
        <v>3462</v>
      </c>
    </row>
    <row r="8" customFormat="false" ht="68.65" hidden="false" customHeight="false" outlineLevel="0" collapsed="false">
      <c r="A8" s="6" t="s">
        <v>3463</v>
      </c>
      <c r="B8" s="6" t="s">
        <v>3454</v>
      </c>
      <c r="C8" s="6" t="s">
        <v>2395</v>
      </c>
      <c r="D8" s="6" t="s">
        <v>3464</v>
      </c>
      <c r="E8" s="6" t="s">
        <v>3465</v>
      </c>
      <c r="F8" s="6" t="s">
        <v>3466</v>
      </c>
      <c r="G8" s="33" t="n">
        <v>0.28</v>
      </c>
      <c r="H8" s="6" t="s">
        <v>3467</v>
      </c>
      <c r="I8" s="6" t="s">
        <v>3468</v>
      </c>
      <c r="J8" s="10" t="s">
        <v>3469</v>
      </c>
      <c r="K8" s="6"/>
      <c r="L8" s="6"/>
      <c r="M8" s="6"/>
    </row>
    <row r="9" customFormat="false" ht="113.4" hidden="false" customHeight="false" outlineLevel="0" collapsed="false">
      <c r="A9" s="6" t="s">
        <v>3470</v>
      </c>
      <c r="B9" s="6" t="s">
        <v>3454</v>
      </c>
      <c r="C9" s="6" t="s">
        <v>2395</v>
      </c>
      <c r="D9" s="6" t="s">
        <v>3471</v>
      </c>
      <c r="E9" s="6" t="s">
        <v>3472</v>
      </c>
      <c r="F9" s="6" t="s">
        <v>3473</v>
      </c>
      <c r="G9" s="33" t="n">
        <v>0.89</v>
      </c>
      <c r="H9" s="6" t="s">
        <v>3474</v>
      </c>
      <c r="I9" s="6" t="s">
        <v>3460</v>
      </c>
      <c r="J9" s="8" t="s">
        <v>3461</v>
      </c>
      <c r="K9" s="6" t="s">
        <v>2438</v>
      </c>
      <c r="L9" s="6" t="n">
        <v>0.012</v>
      </c>
      <c r="M9" s="6" t="s">
        <v>3475</v>
      </c>
    </row>
    <row r="10" customFormat="false" ht="79.85" hidden="false" customHeight="false" outlineLevel="0" collapsed="false">
      <c r="A10" s="6" t="s">
        <v>3476</v>
      </c>
      <c r="B10" s="6" t="s">
        <v>3454</v>
      </c>
      <c r="C10" s="6" t="s">
        <v>2395</v>
      </c>
      <c r="D10" s="6" t="s">
        <v>3477</v>
      </c>
      <c r="E10" s="6" t="s">
        <v>3478</v>
      </c>
      <c r="F10" s="6" t="s">
        <v>3466</v>
      </c>
      <c r="G10" s="33" t="n">
        <v>0.3</v>
      </c>
      <c r="H10" s="6" t="s">
        <v>3479</v>
      </c>
      <c r="I10" s="6" t="s">
        <v>3460</v>
      </c>
      <c r="J10" s="10" t="s">
        <v>3469</v>
      </c>
      <c r="K10" s="6"/>
      <c r="L10" s="6"/>
      <c r="M10" s="6"/>
    </row>
    <row r="11" customFormat="false" ht="79.85" hidden="false" customHeight="false" outlineLevel="0" collapsed="false">
      <c r="A11" s="6" t="s">
        <v>3480</v>
      </c>
      <c r="B11" s="6" t="s">
        <v>2438</v>
      </c>
      <c r="C11" s="6" t="s">
        <v>2438</v>
      </c>
      <c r="D11" s="6" t="s">
        <v>3481</v>
      </c>
      <c r="E11" s="6" t="s">
        <v>3482</v>
      </c>
      <c r="F11" s="6" t="s">
        <v>3483</v>
      </c>
      <c r="G11" s="33" t="n">
        <v>0.91</v>
      </c>
      <c r="H11" s="6" t="s">
        <v>3484</v>
      </c>
      <c r="I11" s="6" t="s">
        <v>3460</v>
      </c>
      <c r="J11" s="10" t="s">
        <v>3469</v>
      </c>
      <c r="K11" s="6"/>
      <c r="L11" s="6"/>
      <c r="M11"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3485</v>
      </c>
    </row>
    <row r="2" customFormat="false" ht="15" hidden="false" customHeight="false" outlineLevel="0" collapsed="false">
      <c r="A2" s="16" t="s">
        <v>3486</v>
      </c>
    </row>
    <row r="4" customFormat="false" ht="15" hidden="false" customHeight="false" outlineLevel="0" collapsed="false">
      <c r="A4" s="13" t="s">
        <v>3487</v>
      </c>
      <c r="B4" s="13" t="s">
        <v>3488</v>
      </c>
      <c r="C4" s="13" t="s">
        <v>3489</v>
      </c>
      <c r="D4" s="13" t="s">
        <v>3490</v>
      </c>
      <c r="E4" s="13" t="s">
        <v>3491</v>
      </c>
      <c r="F4" s="13" t="s">
        <v>3492</v>
      </c>
      <c r="G4" s="13" t="s">
        <v>3493</v>
      </c>
      <c r="H4" s="13" t="s">
        <v>3494</v>
      </c>
    </row>
    <row r="5" customFormat="false" ht="35.05" hidden="false" customHeight="false" outlineLevel="0" collapsed="false">
      <c r="A5" s="6" t="n">
        <v>0.894</v>
      </c>
      <c r="B5" s="6" t="n">
        <v>43</v>
      </c>
      <c r="C5" s="6" t="s">
        <v>1974</v>
      </c>
      <c r="D5" s="6" t="s">
        <v>293</v>
      </c>
      <c r="E5" s="6" t="n">
        <v>116</v>
      </c>
      <c r="F5" s="6" t="s">
        <v>3495</v>
      </c>
      <c r="G5" s="6" t="s">
        <v>596</v>
      </c>
      <c r="H5" s="6" t="s">
        <v>3496</v>
      </c>
    </row>
    <row r="6" customFormat="false" ht="23.85" hidden="false" customHeight="false" outlineLevel="0" collapsed="false">
      <c r="A6" s="6" t="n">
        <v>0.753</v>
      </c>
      <c r="B6" s="6" t="n">
        <v>212</v>
      </c>
      <c r="C6" s="6" t="s">
        <v>3497</v>
      </c>
      <c r="D6" s="6" t="s">
        <v>980</v>
      </c>
      <c r="E6" s="6" t="n">
        <v>213</v>
      </c>
      <c r="F6" s="6" t="s">
        <v>2543</v>
      </c>
      <c r="G6" s="6" t="s">
        <v>986</v>
      </c>
      <c r="H6" s="6" t="s">
        <v>3496</v>
      </c>
    </row>
    <row r="7" customFormat="false" ht="23.85" hidden="false" customHeight="false" outlineLevel="0" collapsed="false">
      <c r="A7" s="6" t="n">
        <v>0.67</v>
      </c>
      <c r="B7" s="6" t="n">
        <v>210</v>
      </c>
      <c r="C7" s="6" t="s">
        <v>2533</v>
      </c>
      <c r="D7" s="6" t="s">
        <v>972</v>
      </c>
      <c r="E7" s="6" t="n">
        <v>211</v>
      </c>
      <c r="F7" s="6" t="s">
        <v>2533</v>
      </c>
      <c r="G7" s="6" t="s">
        <v>975</v>
      </c>
      <c r="H7" s="6" t="s">
        <v>3496</v>
      </c>
    </row>
    <row r="8" customFormat="false" ht="35.05" hidden="false" customHeight="false" outlineLevel="0" collapsed="false">
      <c r="A8" s="6" t="n">
        <v>0.651</v>
      </c>
      <c r="B8" s="6" t="n">
        <v>98</v>
      </c>
      <c r="C8" s="6" t="s">
        <v>2320</v>
      </c>
      <c r="D8" s="6" t="s">
        <v>530</v>
      </c>
      <c r="E8" s="6" t="n">
        <v>102</v>
      </c>
      <c r="F8" s="6" t="s">
        <v>2336</v>
      </c>
      <c r="G8" s="6" t="s">
        <v>548</v>
      </c>
      <c r="H8" s="6" t="s">
        <v>3498</v>
      </c>
    </row>
    <row r="9" customFormat="false" ht="68.65" hidden="false" customHeight="false" outlineLevel="0" collapsed="false">
      <c r="A9" s="6" t="n">
        <v>0.643</v>
      </c>
      <c r="B9" s="6" t="n">
        <v>118</v>
      </c>
      <c r="C9" s="6" t="s">
        <v>2415</v>
      </c>
      <c r="D9" s="6" t="s">
        <v>602</v>
      </c>
      <c r="E9" s="6" t="n">
        <v>121</v>
      </c>
      <c r="F9" s="6" t="s">
        <v>2442</v>
      </c>
      <c r="G9" s="6" t="s">
        <v>611</v>
      </c>
      <c r="H9" s="6" t="s">
        <v>3496</v>
      </c>
    </row>
    <row r="10" customFormat="false" ht="35.05" hidden="false" customHeight="false" outlineLevel="0" collapsed="false">
      <c r="A10" s="6" t="n">
        <v>0.639</v>
      </c>
      <c r="B10" s="6" t="n">
        <v>101</v>
      </c>
      <c r="C10" s="6" t="s">
        <v>2289</v>
      </c>
      <c r="D10" s="6" t="s">
        <v>544</v>
      </c>
      <c r="E10" s="6" t="n">
        <v>103</v>
      </c>
      <c r="F10" s="6" t="s">
        <v>2336</v>
      </c>
      <c r="G10" s="6" t="s">
        <v>553</v>
      </c>
      <c r="H10" s="6" t="s">
        <v>3499</v>
      </c>
    </row>
    <row r="11" customFormat="false" ht="23.85" hidden="false" customHeight="false" outlineLevel="0" collapsed="false">
      <c r="A11" s="6" t="n">
        <v>0.633</v>
      </c>
      <c r="B11" s="6" t="n">
        <v>235</v>
      </c>
      <c r="C11" s="6" t="s">
        <v>2662</v>
      </c>
      <c r="D11" s="6" t="s">
        <v>1079</v>
      </c>
      <c r="E11" s="6" t="n">
        <v>236</v>
      </c>
      <c r="F11" s="6" t="s">
        <v>2667</v>
      </c>
      <c r="G11" s="6" t="s">
        <v>1083</v>
      </c>
      <c r="H11" s="6" t="s">
        <v>3496</v>
      </c>
    </row>
    <row r="12" customFormat="false" ht="35.05" hidden="false" customHeight="false" outlineLevel="0" collapsed="false">
      <c r="A12" s="6" t="n">
        <v>0.627</v>
      </c>
      <c r="B12" s="6" t="n">
        <v>66</v>
      </c>
      <c r="C12" s="6" t="s">
        <v>2138</v>
      </c>
      <c r="D12" s="6" t="s">
        <v>393</v>
      </c>
      <c r="E12" s="6" t="n">
        <v>67</v>
      </c>
      <c r="F12" s="6" t="s">
        <v>2130</v>
      </c>
      <c r="G12" s="6" t="s">
        <v>397</v>
      </c>
      <c r="H12" s="6" t="s">
        <v>3500</v>
      </c>
    </row>
    <row r="13" customFormat="false" ht="46.25" hidden="false" customHeight="false" outlineLevel="0" collapsed="false">
      <c r="A13" s="6" t="n">
        <v>0.611</v>
      </c>
      <c r="B13" s="6" t="n">
        <v>3</v>
      </c>
      <c r="C13" s="6" t="s">
        <v>1639</v>
      </c>
      <c r="D13" s="6" t="s">
        <v>74</v>
      </c>
      <c r="E13" s="6" t="n">
        <v>8</v>
      </c>
      <c r="F13" s="6" t="s">
        <v>1639</v>
      </c>
      <c r="G13" s="6" t="s">
        <v>104</v>
      </c>
      <c r="H13" s="6" t="s">
        <v>3501</v>
      </c>
    </row>
    <row r="14" customFormat="false" ht="35.05" hidden="false" customHeight="false" outlineLevel="0" collapsed="false">
      <c r="A14" s="6" t="n">
        <v>0.603</v>
      </c>
      <c r="B14" s="6" t="n">
        <v>73</v>
      </c>
      <c r="C14" s="6" t="s">
        <v>2170</v>
      </c>
      <c r="D14" s="6" t="s">
        <v>427</v>
      </c>
      <c r="E14" s="6" t="n">
        <v>74</v>
      </c>
      <c r="F14" s="6" t="s">
        <v>2170</v>
      </c>
      <c r="G14" s="6" t="s">
        <v>431</v>
      </c>
      <c r="H14" s="6" t="s">
        <v>3502</v>
      </c>
    </row>
    <row r="15" customFormat="false" ht="15" hidden="false" customHeight="false" outlineLevel="0" collapsed="false">
      <c r="A15" s="16" t="s">
        <v>3503</v>
      </c>
    </row>
    <row r="17" customFormat="false" ht="15" hidden="false" customHeight="false" outlineLevel="0" collapsed="false">
      <c r="A17" s="14" t="s">
        <v>3504</v>
      </c>
    </row>
    <row r="18" customFormat="false" ht="15" hidden="false" customHeight="false" outlineLevel="0" collapsed="false">
      <c r="A18" s="13" t="s">
        <v>1589</v>
      </c>
      <c r="B18" s="13" t="s">
        <v>1594</v>
      </c>
      <c r="C18" s="13" t="s">
        <v>1591</v>
      </c>
      <c r="D18" s="13" t="s">
        <v>1593</v>
      </c>
      <c r="E18" s="13" t="s">
        <v>3505</v>
      </c>
      <c r="F18" s="13" t="s">
        <v>3506</v>
      </c>
      <c r="G18" s="13" t="s">
        <v>1276</v>
      </c>
    </row>
    <row r="19" customFormat="false" ht="46.25" hidden="false" customHeight="false" outlineLevel="0" collapsed="false">
      <c r="A19" s="6" t="s">
        <v>2348</v>
      </c>
      <c r="B19" s="6" t="s">
        <v>2350</v>
      </c>
      <c r="C19" s="6" t="s">
        <v>2353</v>
      </c>
      <c r="D19" s="6" t="s">
        <v>2354</v>
      </c>
      <c r="E19" s="6" t="s">
        <v>3507</v>
      </c>
      <c r="F19" s="6" t="n">
        <v>106</v>
      </c>
      <c r="G19" s="6" t="s">
        <v>3508</v>
      </c>
    </row>
    <row r="20" customFormat="false" ht="23.85" hidden="false" customHeight="false" outlineLevel="0" collapsed="false">
      <c r="A20" s="6" t="s">
        <v>2352</v>
      </c>
      <c r="B20" s="6" t="s">
        <v>2320</v>
      </c>
      <c r="C20" s="6" t="s">
        <v>2982</v>
      </c>
      <c r="D20" s="6" t="s">
        <v>2358</v>
      </c>
      <c r="E20" s="6" t="s">
        <v>3507</v>
      </c>
      <c r="F20" s="6" t="n">
        <v>106</v>
      </c>
      <c r="G20" s="6" t="s">
        <v>3509</v>
      </c>
    </row>
    <row r="21" customFormat="false" ht="57.45" hidden="false" customHeight="false" outlineLevel="0" collapsed="false">
      <c r="A21" s="6" t="s">
        <v>2356</v>
      </c>
      <c r="B21" s="6" t="s">
        <v>2344</v>
      </c>
      <c r="C21" s="6" t="s">
        <v>2353</v>
      </c>
      <c r="D21" s="6" t="s">
        <v>2361</v>
      </c>
      <c r="E21" s="6" t="s">
        <v>3510</v>
      </c>
      <c r="F21" s="6" t="n">
        <v>103</v>
      </c>
      <c r="G21" s="6" t="s">
        <v>3511</v>
      </c>
    </row>
    <row r="22" customFormat="false" ht="57.45" hidden="false" customHeight="false" outlineLevel="0" collapsed="false">
      <c r="A22" s="6" t="s">
        <v>2360</v>
      </c>
      <c r="B22" s="6" t="s">
        <v>2366</v>
      </c>
      <c r="C22" s="6" t="s">
        <v>1647</v>
      </c>
      <c r="D22" s="6" t="s">
        <v>3512</v>
      </c>
      <c r="E22" s="6" t="s">
        <v>3510</v>
      </c>
      <c r="F22" s="6" t="n">
        <v>103</v>
      </c>
      <c r="G22" s="6" t="s">
        <v>3513</v>
      </c>
    </row>
    <row r="23" customFormat="false" ht="23.85" hidden="false" customHeight="false" outlineLevel="0" collapsed="false">
      <c r="A23" s="6" t="s">
        <v>2363</v>
      </c>
      <c r="B23" s="6" t="s">
        <v>2350</v>
      </c>
      <c r="C23" s="6" t="s">
        <v>2370</v>
      </c>
      <c r="D23" s="6" t="s">
        <v>2371</v>
      </c>
      <c r="E23" s="6" t="s">
        <v>3507</v>
      </c>
      <c r="F23" s="6" t="n">
        <v>106</v>
      </c>
      <c r="G23" s="6" t="s">
        <v>3514</v>
      </c>
    </row>
    <row r="24" customFormat="false" ht="23.85" hidden="false" customHeight="false" outlineLevel="0" collapsed="false">
      <c r="A24" s="6" t="s">
        <v>2368</v>
      </c>
      <c r="B24" s="6" t="s">
        <v>2375</v>
      </c>
      <c r="C24" s="6" t="s">
        <v>2982</v>
      </c>
      <c r="D24" s="6" t="s">
        <v>2383</v>
      </c>
      <c r="E24" s="6" t="s">
        <v>3507</v>
      </c>
      <c r="F24" s="6" t="n">
        <v>106</v>
      </c>
      <c r="G24" s="6" t="s">
        <v>3515</v>
      </c>
    </row>
    <row r="25" customFormat="false" ht="23.85" hidden="false" customHeight="false" outlineLevel="0" collapsed="false">
      <c r="A25" s="6" t="s">
        <v>2369</v>
      </c>
      <c r="B25" s="6" t="s">
        <v>3450</v>
      </c>
      <c r="C25" s="6" t="s">
        <v>1981</v>
      </c>
      <c r="D25" s="6" t="s">
        <v>2398</v>
      </c>
      <c r="E25" s="6" t="s">
        <v>3507</v>
      </c>
      <c r="F25" s="6" t="n">
        <v>106</v>
      </c>
      <c r="G25" s="6" t="s">
        <v>3516</v>
      </c>
    </row>
    <row r="26" customFormat="false" ht="23.85" hidden="false" customHeight="false" outlineLevel="0" collapsed="false">
      <c r="A26" s="6" t="s">
        <v>2373</v>
      </c>
      <c r="B26" s="6" t="s">
        <v>2379</v>
      </c>
      <c r="C26" s="6" t="s">
        <v>1647</v>
      </c>
      <c r="D26" s="6" t="s">
        <v>2378</v>
      </c>
      <c r="E26" s="6" t="s">
        <v>3507</v>
      </c>
      <c r="F26" s="6" t="n">
        <v>106</v>
      </c>
      <c r="G26" s="6" t="s">
        <v>3517</v>
      </c>
    </row>
    <row r="27" customFormat="false" ht="23.85" hidden="false" customHeight="false" outlineLevel="0" collapsed="false">
      <c r="A27" s="6" t="s">
        <v>2377</v>
      </c>
      <c r="B27" s="6" t="s">
        <v>2395</v>
      </c>
      <c r="C27" s="6" t="s">
        <v>1647</v>
      </c>
      <c r="D27" s="6" t="s">
        <v>2394</v>
      </c>
      <c r="E27" s="6" t="s">
        <v>3507</v>
      </c>
      <c r="F27" s="6" t="n">
        <v>106</v>
      </c>
      <c r="G27" s="6" t="s">
        <v>3518</v>
      </c>
    </row>
    <row r="28" customFormat="false" ht="23.85" hidden="false" customHeight="false" outlineLevel="0" collapsed="false">
      <c r="A28" s="6" t="s">
        <v>2381</v>
      </c>
      <c r="B28" s="6" t="s">
        <v>2395</v>
      </c>
      <c r="C28" s="6" t="s">
        <v>1981</v>
      </c>
      <c r="D28" s="6" t="s">
        <v>2398</v>
      </c>
      <c r="E28" s="6" t="s">
        <v>3507</v>
      </c>
      <c r="F28" s="6" t="n">
        <v>106</v>
      </c>
      <c r="G28" s="6" t="s">
        <v>3519</v>
      </c>
    </row>
    <row r="29" customFormat="false" ht="23.85" hidden="false" customHeight="false" outlineLevel="0" collapsed="false">
      <c r="A29" s="6" t="s">
        <v>2385</v>
      </c>
      <c r="B29" s="6" t="s">
        <v>2395</v>
      </c>
      <c r="C29" s="6" t="s">
        <v>1981</v>
      </c>
      <c r="D29" s="6" t="s">
        <v>2398</v>
      </c>
      <c r="E29" s="6" t="s">
        <v>3507</v>
      </c>
      <c r="F29" s="6" t="n">
        <v>106</v>
      </c>
      <c r="G29" s="6" t="s">
        <v>3520</v>
      </c>
    </row>
    <row r="30" customFormat="false" ht="35.05" hidden="false" customHeight="false" outlineLevel="0" collapsed="false">
      <c r="A30" s="6" t="s">
        <v>2449</v>
      </c>
      <c r="B30" s="6" t="s">
        <v>2395</v>
      </c>
      <c r="C30" s="6" t="s">
        <v>2393</v>
      </c>
      <c r="D30" s="6" t="s">
        <v>2394</v>
      </c>
      <c r="E30" s="6" t="s">
        <v>3521</v>
      </c>
      <c r="F30" s="6" t="n">
        <v>113</v>
      </c>
      <c r="G30" s="6" t="s">
        <v>3522</v>
      </c>
    </row>
    <row r="31" customFormat="false" ht="35.05" hidden="false" customHeight="false" outlineLevel="0" collapsed="false">
      <c r="A31" s="6" t="s">
        <v>2781</v>
      </c>
      <c r="B31" s="6" t="s">
        <v>2415</v>
      </c>
      <c r="C31" s="6" t="s">
        <v>2413</v>
      </c>
      <c r="D31" s="6" t="s">
        <v>2414</v>
      </c>
      <c r="E31" s="6" t="s">
        <v>3507</v>
      </c>
      <c r="F31" s="6" t="n">
        <v>266</v>
      </c>
      <c r="G31" s="6" t="s">
        <v>3523</v>
      </c>
    </row>
    <row r="32" customFormat="false" ht="23.85" hidden="false" customHeight="false" outlineLevel="0" collapsed="false">
      <c r="A32" s="6" t="s">
        <v>2786</v>
      </c>
      <c r="B32" s="6" t="s">
        <v>2415</v>
      </c>
      <c r="C32" s="6" t="s">
        <v>2418</v>
      </c>
      <c r="D32" s="6" t="s">
        <v>2419</v>
      </c>
      <c r="E32" s="6" t="s">
        <v>3507</v>
      </c>
      <c r="F32" s="6" t="n">
        <v>266</v>
      </c>
      <c r="G32" s="6" t="s">
        <v>3524</v>
      </c>
    </row>
    <row r="33" customFormat="false" ht="35.05" hidden="false" customHeight="false" outlineLevel="0" collapsed="false">
      <c r="A33" s="6" t="s">
        <v>2790</v>
      </c>
      <c r="B33" s="6" t="s">
        <v>2415</v>
      </c>
      <c r="C33" s="6" t="s">
        <v>2426</v>
      </c>
      <c r="D33" s="6" t="s">
        <v>2427</v>
      </c>
      <c r="E33" s="6" t="s">
        <v>3507</v>
      </c>
      <c r="F33" s="6" t="n">
        <v>266</v>
      </c>
      <c r="G33" s="6" t="s">
        <v>3525</v>
      </c>
    </row>
    <row r="34" customFormat="false" ht="35.05" hidden="false" customHeight="false" outlineLevel="0" collapsed="false">
      <c r="A34" s="6" t="s">
        <v>2794</v>
      </c>
      <c r="B34" s="6" t="s">
        <v>2415</v>
      </c>
      <c r="C34" s="6" t="s">
        <v>2433</v>
      </c>
      <c r="D34" s="6" t="s">
        <v>2434</v>
      </c>
      <c r="E34" s="6" t="s">
        <v>3507</v>
      </c>
      <c r="F34" s="6" t="n">
        <v>266</v>
      </c>
      <c r="G34" s="6" t="s">
        <v>3526</v>
      </c>
    </row>
    <row r="35" customFormat="false" ht="23.85" hidden="false" customHeight="false" outlineLevel="0" collapsed="false">
      <c r="A35" s="6" t="s">
        <v>2798</v>
      </c>
      <c r="B35" s="6" t="s">
        <v>2442</v>
      </c>
      <c r="C35" s="6" t="s">
        <v>1647</v>
      </c>
      <c r="D35" s="6" t="s">
        <v>2441</v>
      </c>
      <c r="E35" s="6" t="s">
        <v>3507</v>
      </c>
      <c r="F35" s="6" t="n">
        <v>266</v>
      </c>
      <c r="G35" s="6" t="s">
        <v>3527</v>
      </c>
    </row>
    <row r="36" customFormat="false" ht="23.85" hidden="false" customHeight="false" outlineLevel="0" collapsed="false">
      <c r="A36" s="6" t="s">
        <v>2801</v>
      </c>
      <c r="B36" s="6" t="s">
        <v>2447</v>
      </c>
      <c r="C36" s="6" t="s">
        <v>1647</v>
      </c>
      <c r="D36" s="6" t="s">
        <v>2446</v>
      </c>
      <c r="E36" s="6" t="s">
        <v>3507</v>
      </c>
      <c r="F36" s="6" t="n">
        <v>266</v>
      </c>
      <c r="G36" s="6" t="s">
        <v>3528</v>
      </c>
    </row>
    <row r="37" customFormat="false" ht="23.85" hidden="false" customHeight="false" outlineLevel="0" collapsed="false">
      <c r="A37" s="6" t="s">
        <v>2806</v>
      </c>
      <c r="B37" s="6" t="s">
        <v>2447</v>
      </c>
      <c r="C37" s="6" t="s">
        <v>1647</v>
      </c>
      <c r="D37" s="6" t="s">
        <v>2450</v>
      </c>
      <c r="E37" s="6" t="s">
        <v>3507</v>
      </c>
      <c r="F37" s="6" t="n">
        <v>266</v>
      </c>
      <c r="G37" s="6" t="s">
        <v>3529</v>
      </c>
    </row>
    <row r="38" customFormat="false" ht="23.85" hidden="false" customHeight="false" outlineLevel="0" collapsed="false">
      <c r="A38" s="6" t="s">
        <v>2811</v>
      </c>
      <c r="B38" s="6" t="s">
        <v>2438</v>
      </c>
      <c r="C38" s="6" t="s">
        <v>1981</v>
      </c>
      <c r="D38" s="6" t="s">
        <v>3530</v>
      </c>
      <c r="E38" s="6" t="s">
        <v>3507</v>
      </c>
      <c r="F38" s="6" t="n">
        <v>266</v>
      </c>
      <c r="G38" s="6" t="s">
        <v>3531</v>
      </c>
    </row>
    <row r="39" customFormat="false" ht="23.85" hidden="false" customHeight="false" outlineLevel="0" collapsed="false">
      <c r="A39" s="6" t="s">
        <v>2816</v>
      </c>
      <c r="B39" s="6" t="s">
        <v>2438</v>
      </c>
      <c r="C39" s="6" t="s">
        <v>1647</v>
      </c>
      <c r="D39" s="6" t="s">
        <v>2465</v>
      </c>
      <c r="E39" s="6" t="s">
        <v>3507</v>
      </c>
      <c r="F39" s="6" t="n">
        <v>266</v>
      </c>
      <c r="G39" s="6" t="s">
        <v>3532</v>
      </c>
    </row>
    <row r="40" customFormat="false" ht="57.45" hidden="false" customHeight="false" outlineLevel="0" collapsed="false">
      <c r="A40" s="6" t="s">
        <v>2820</v>
      </c>
      <c r="B40" s="6" t="s">
        <v>2442</v>
      </c>
      <c r="C40" s="6" t="s">
        <v>1647</v>
      </c>
      <c r="D40" s="6" t="s">
        <v>2441</v>
      </c>
      <c r="E40" s="6" t="s">
        <v>3533</v>
      </c>
      <c r="F40" s="6" t="n">
        <v>118</v>
      </c>
      <c r="G40" s="6" t="s">
        <v>3534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2026-10-29T17:53:07Z</dcterms:created>
  <dc:creator>openpyxl</dc:creator>
  <dc:description/>
  <dc:language>en-US</dc:language>
  <cp:lastModifiedBy/>
  <dcterms:modified xsi:type="dcterms:W3CDTF">2026-10-29T17:53:09Z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