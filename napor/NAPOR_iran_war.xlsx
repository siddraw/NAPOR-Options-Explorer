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Event Log" sheetId="2" state="visible" r:id="rId4"/>
    <sheet name="Action-Reaction Pairs" sheetId="3" state="visible" r:id="rId5"/>
    <sheet name="Factor Analysis" sheetId="4" state="visible" r:id="rId6"/>
    <sheet name="Trigger Census" sheetId="5" state="visible" r:id="rId7"/>
    <sheet name="Options" sheetId="6" state="visible" r:id="rId8"/>
    <sheet name="Monthly Summary" sheetId="7" state="visible" r:id="rId9"/>
    <sheet name="Reports" sheetId="8" state="visible" r:id="rId10"/>
    <sheet name="Chains &amp; Phases" sheetId="9" state="visible" r:id="rId11"/>
    <sheet name="Forecast Log" sheetId="10" state="visible" r:id="rId12"/>
    <sheet name="Review Queue" sheetId="11" state="visible" r:id="rId13"/>
  </sheets>
  <definedNames>
    <definedName function="false" hidden="true" localSheetId="1" name="_xlnm._FilterDatabase" vbProcedure="false">'Event Log'!$A$1:$T$194</definedName>
    <definedName function="false" hidden="true" localSheetId="7" name="_xlnm._FilterDatabase" vbProcedure="false">Reports!$A$1:$L$359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<sst xmlns="http://schemas.openxmlformats.org/spreadsheetml/2006/main" count="6983" uniqueCount="2857">
  <si>
    <t xml:space="preserve">NAPOR: Risk Assessment - Iran-US War</t>
  </si>
  <si>
    <t xml:space="preserve">NAPOR is the underlying engine (event log, credibility, chains, phases, forecasts). NAPOR: Risk Assessment applies it to lay out the options and the risks and pros of each one. It does not pick an option. Built by Sidd.</t>
  </si>
  <si>
    <t xml:space="preserve">What this is</t>
  </si>
  <si>
    <t xml:space="preserve">A structured, dated log of US/Israel-Iran war events from Feb 28, 2026 to Oct 26, 2026, built for computing base rates (how often does X follow Y, and how fast) rather than for narrative reading.</t>
  </si>
  <si>
    <t xml:space="preserve">Sheets</t>
  </si>
  <si>
    <t xml:space="preserve">Event Log - every event, one row each, with a Trigger ID column pointing to the row that caused it, where reporting says so. Columns N-O count the reports behind each event and how many different independent or official outlets they come from.</t>
  </si>
  <si>
    <t xml:space="preserve">Credibility (0-1) - every report gets a weight = source score x fit score. Source score: credible outlet or official statement 0.80, other outlet 0.60, Iranian state media 0.30 (it can only show what Iran claims). Fit score (how sure we are the story is about this event): read in full 1.00, headline only 0.80, outlet named but story not saved 0.65. Reports under 0.30 do not count. An event combines its reports, each outlet counted once, as 1 - (1-w1)(1-w2)..., the chance that not every outlet got it wrong: one full-text credible story = 0.80, two different outlets = 0.96. Partly verified rows are multiplied by 0.8; Not supported rows are capped at 0.20. RULE: only events at 0.50 or above are used in the statistics; 0.50-0.65 is used but flagged 'use with caution'. The Confidence column (High 0.80+, Medium 0.50-0.80, Low under 0.50) now comes from this score. This is a scoring rule, not a statistical confidence interval.</t>
  </si>
  <si>
    <t xml:space="preserve">Chains &amp; Phases - every event is tagged with the war phase it happened in (open war, fragile ceasefire, low-intensity war, holding pattern) and, if it is part of a back-and-forth, a chain ID (T01...). The sheet shows reply rates by phase and how long back-and-forths usually last.</t>
  </si>
  <si>
    <t xml:space="preserve">War intensity - a 0-and-up points gauge of how hot the war was in the 14 days before any date (2 per direct strike, 1 per shipping/blockade act, +2 if deadly), banded Quiet/Low/Medium/High. Shown in the Event Log and on Chains &amp; Phases. It did not improve the backtest, so it is a gauge, not an input to the numbers.</t>
  </si>
  <si>
    <t xml:space="preserve">Forecast Log - the report card. Predictions are written down before the outcome is known, then resolved and scored (Brier score).</t>
  </si>
  <si>
    <t xml:space="preserve">Reports - the ID system. Every news story or official statement gets its own report ID (R0001...) and points to exactly one event ID. Three outlets covering one attack = three reports, one event. Merged duplicates: #76 into #75, #49 into #50, #29 into #28; their reports now point to the surviving event.</t>
  </si>
  <si>
    <t xml:space="preserve">Review Queue - pairs of events that might be the same event logged twice, plus new stories waiting for a human to confirm which event they belong to. The matcher is right only about half the time on headlines, so a person makes the call.</t>
  </si>
  <si>
    <t xml:space="preserve">Action-Reaction Pairs - the clean trigger-&gt;response pairs pulled out of the Event Log, with response time in days and a Trigger Category (what kind of cost the trigger imposed) computed/tagged per row. This is the closest thing to a base-rate dataset.</t>
  </si>
  <si>
    <t xml:space="preserve">Factor Analysis - breaks response speed and reliability down by Trigger Category, to show which kind of cost (human casualties vs economic/property loss vs political moves) provokes the fastest, most reliable response, with 95% confidence intervals since some groups are small. All formulas, recalculates automatically.</t>
  </si>
  <si>
    <t xml:space="preserve">Trigger Census - the fix for the biggest weakness in Factor Analysis. Factor Analysis only looks at pairs where a reply DID happen, so it says how fast replies are, not whether they come. The census lists every countable hostile act and records whether a reply followed, including the ones where none did, then gives the chance of any reply within 5 days (best estimate plus low/high range).</t>
  </si>
  <si>
    <t xml:space="preserve">Options - every option the US has (hold, diplomacy, sanctions, naval pressure, strikes on shipping, strikes on military sites, strikes risking personnel, force posture), side by side, each with its risks and how many past cases back them, organised as a risk profile: every option on the same five risks (harm to people, escalation, military cost, economic harm, political/diplomatic) plus pros, each cell saying what was measured or 'not measured'. Analyst notes are shaded grey. NAPOR does not rank or pick an option. This replaces the old Decision Model and its ranking.</t>
  </si>
  <si>
    <t xml:space="preserve">Monthly Summary - strikes by each side, shipping/blockade incidents and diplomatic events per month, counted by formula from the Event Log's 'Kind of act' column (so sanctions, deployments and statements are no longer counted as strikes). It recalculates if you edit or add rows.</t>
  </si>
  <si>
    <t xml:space="preserve">Source standard</t>
  </si>
  <si>
    <t xml:space="preserve">Only credible news outlets and official statements count as sources (AP, Reuters, NPR, CBS, ABC, NBC, CNN, Al Jazeera, Axios, USNI News, The War Zone, Stars and Stripes, CENTCOM/DoD/Treasury). Wikipedia is not accepted: the first draft of this log cited it for 62 of 89 events, and every one of those was sent back to credible reporting. Event Log column K shows each row's source check (Verified / Corrected / Partly verified / Not supported / Pending / Date conflict / Not re-checked) and column L says what changed. The Reports sheet lists every news story behind each event, each with its own report ID. Casualty figures from Iranian officials or state media are labelled as claims. Wire stories were often read through syndicated copies on local-news sites: the underlying outlet is cited and the copy's host appears in the Reports sheet.</t>
  </si>
  <si>
    <t xml:space="preserve">Dates are as reported. US and Gulf time can differ by a day, so response times carry about +/-1 day of uncertainty; 'within 1 day' is the least fragile measure. Pair 21 is held out of all statistics because the event it points to (#76) looks like a duplicate of #75.</t>
  </si>
  <si>
    <t xml:space="preserve">Confidence column</t>
  </si>
  <si>
    <t xml:space="preserve">High = multiple corroborating sources / official confirmation. Medium = single-source or one-sided claim. Low = explicitly disputed or contested by another party. Use this to weight rows, don't drop Medium/Low - contested claims are still informative about intent, even when the damage figure isn't reliable.</t>
  </si>
  <si>
    <t xml:space="preserve">Known gaps / caveats</t>
  </si>
  <si>
    <t xml:space="preserve">1. This favors events involving Jordan, since that's the best-documented US-basing target. Bahrain/Kuwait/Qatar strikes are under-represented relative to how often they actually happened.</t>
  </si>
  <si>
    <t xml:space="preserve">2. This is a curated log of things that WERE reported, not a full census. The Action-Reaction Pairs and Factor Analysis sheets therefore only show 'how fast, GIVEN a reply happened'. The Trigger Census sheet adds the missing denominator (hostile acts that drew no reply) for strikes, seizures, blockade moves and sanctions; diplomatic moves are not covered, and the rows marked Unverified there have not been checked against outside sources yet.</t>
  </si>
  <si>
    <t xml:space="preserve">3. Casualty and damage figures often conflict between US/Israeli, Iranian, and Jordanian sources - where they conflict, that's noted in the Severity column rather than picked between.</t>
  </si>
  <si>
    <t xml:space="preserve">4. Individual tanker/shipping attacks (there were 40+) are not all logged here - only the ones that were a clear trigger or response, or were unusually severe. A fuller list would have to be compiled from UKMTO and CENTCOM incident reports.</t>
  </si>
  <si>
    <t xml:space="preserve">5. Row 68 (Aug 19) is an analyst's strategic assessment, not an event - kept for context on why the Aug-Sept escalation pattern looks different from June-July.</t>
  </si>
  <si>
    <t xml:space="preserve">Event matcher</t>
  </si>
  <si>
    <t xml:space="preserve">matcher.py (same folder) takes a new headline/snippet, checks it's Iran/US-war relevant, guesses which actor acted and which cost-category it falls in (Personnel/Casualty, Military/Property, Economic/Blockade, Political/Diplomatic), finds the closest past events by keyword overlap, and shows what historically followed them plus the base-rate stats for that category - all computed from the same data as the Factor Analysis sheet, so the two can never disagree. It's a keyword-rule matcher, not a trained model - with 86 events that's more honest than a model that would just memorize noise.</t>
  </si>
  <si>
    <t xml:space="preserve">Compiled: 2026-10-28. Sources are cited per row; see Event Log column J. Rows 83-86 were added by a live scanner test (Sept 27-29). Rows 90-105 were added on Oct 11 from credible-outlet research covering Oct 2-11 (no US/Israeli strike on Iran and no Iranian strike on a US base was found in that window; the two Houthi rows are context from the separate Saudi-Houthi front). Rows 106-115 were added by the weekly agent on Oct 19 (Oct 12-18 news, plus catch-up rows for Oct 6 and Oct 8); again no US strike on Iranian territory and no Iranian strike on US forces was found, while attacks on shipping hit a record. Rows 87-89 were added by a live matcher test on genuinely new Oct 1 news - the matcher correctly classified the sanctions and diplomatic-statement rows; it fell back to a generic 'Military/Property' guess on the naval force-posture row since that's a troop deployment, not a strike, and the keyword rules don't have a dedicated bucket for that yet. Source audit: 2 events are still Pending credible sourcing and 4 are Not supported as logged (including #76, a confirmed duplicate of #75); treat those rows, and the Partly verified rows that rest on one side's claims, as leads, not findings.</t>
  </si>
  <si>
    <t xml:space="preserve">ID</t>
  </si>
  <si>
    <t xml:space="preserve">Date</t>
  </si>
  <si>
    <t xml:space="preserve">Actor</t>
  </si>
  <si>
    <t xml:space="preserve">Action Type</t>
  </si>
  <si>
    <t xml:space="preserve">Target</t>
  </si>
  <si>
    <t xml:space="preserve">Detail</t>
  </si>
  <si>
    <t xml:space="preserve">Trigger ID</t>
  </si>
  <si>
    <t xml:space="preserve">Severity / Casualties</t>
  </si>
  <si>
    <t xml:space="preserve">Confidence</t>
  </si>
  <si>
    <t xml:space="preserve">Source (credible outlets only)</t>
  </si>
  <si>
    <t xml:space="preserve">Source Check</t>
  </si>
  <si>
    <t xml:space="preserve">Audit note</t>
  </si>
  <si>
    <t xml:space="preserve">Kind of act</t>
  </si>
  <si>
    <t xml:space="preserve">Reports</t>
  </si>
  <si>
    <t xml:space="preserve">Different outlets (independent + official)</t>
  </si>
  <si>
    <t xml:space="preserve">Credibility (0-1)</t>
  </si>
  <si>
    <t xml:space="preserve">Used in stats?</t>
  </si>
  <si>
    <t xml:space="preserve">War phase</t>
  </si>
  <si>
    <t xml:space="preserve">Chain (thread ID)</t>
  </si>
  <si>
    <t xml:space="preserve">War intensity (14 days before)</t>
  </si>
  <si>
    <t xml:space="preserve">US</t>
  </si>
  <si>
    <t xml:space="preserve">Authorization</t>
  </si>
  <si>
    <t xml:space="preserve">Iran</t>
  </si>
  <si>
    <t xml:space="preserve">Trump authorizes Operation Epic Fury aboard Air Force One</t>
  </si>
  <si>
    <t xml:space="preserve">n/a</t>
  </si>
  <si>
    <t xml:space="preserve">High</t>
  </si>
  <si>
    <t xml:space="preserve">AP 2026-03-02</t>
  </si>
  <si>
    <t xml:space="preserve">Verified</t>
  </si>
  <si>
    <t xml:space="preserve">Diplomatic</t>
  </si>
  <si>
    <t xml:space="preserve">Yes</t>
  </si>
  <si>
    <t xml:space="preserve">Pre-war standoff</t>
  </si>
  <si>
    <t xml:space="preserve">Quiet (0 pts)</t>
  </si>
  <si>
    <t xml:space="preserve">US/Israel</t>
  </si>
  <si>
    <t xml:space="preserve">Strike (war start)</t>
  </si>
  <si>
    <t xml:space="preserve">Operation Epic Fury opens: Pentagon says 1,000+ targets hit in the first 24 hours; Khamenei and ~40 senior officials killed; a strike near Minab hits a girls' school</t>
  </si>
  <si>
    <t xml:space="preserve">Khamenei + ~40 senior officials killed (AP). Minab school: Iranian authorities say at least 175 killed (AP); Minab mayor says 168 (NBC) - Iranian figures; no nation has claimed the strike (AP)</t>
  </si>
  <si>
    <t xml:space="preserve">AP 2026-03-02; AP 2026-03-04; NBC News 2026-03-03</t>
  </si>
  <si>
    <t xml:space="preserve">Corrected</t>
  </si>
  <si>
    <t xml:space="preserve">School toll is 168-175 (Iranian figures), not 148-168. '~900 strikes in 12 hrs' was a US-only figure from an unnamed official (via Fox), so it was dropped for the Pentagon's 1,000+ in 24 hrs.</t>
  </si>
  <si>
    <t xml:space="preserve">Kinetic</t>
  </si>
  <si>
    <t xml:space="preserve">Open war</t>
  </si>
  <si>
    <t xml:space="preserve">T01</t>
  </si>
  <si>
    <t xml:space="preserve">Strike</t>
  </si>
  <si>
    <t xml:space="preserve">US strikes hit Iran's navy from the first hours: drone carrier Shahid Bagheri attacked (CENTCOM); Bayandor and Naghdi reported sunk at Konarak (The War Zone)</t>
  </si>
  <si>
    <t xml:space="preserve">Only Shahid Bagheri confirmed hit by CENTCOM; Bayandor/Naghdi sinking per The War Zone, undated; Trump and CENTCOM claimed larger totals</t>
  </si>
  <si>
    <t xml:space="preserve">USNI News 2026-03-02; The War Zone 2026-03-02; Defense News 2026-03-01</t>
  </si>
  <si>
    <t xml:space="preserve">First draft said three ships sunk Feb 28. Credible outlets support 'struck', with only some sinkings reported.</t>
  </si>
  <si>
    <t xml:space="preserve">Blockade (de facto)</t>
  </si>
  <si>
    <t xml:space="preserve">Strait of Hormuz</t>
  </si>
  <si>
    <t xml:space="preserve">IRGC radios ships on VHF that 'no ship is allowed to pass'; Iran does not formally confirm a closure order (Reuters, citing UKMTO and EU Aspides); IRGC-linked Tasnim says the Strait is shut</t>
  </si>
  <si>
    <t xml:space="preserve">Reuters/Kpler: only 105 crossings Mar 1-18 vs ~120/day normal (&gt;95% drop)</t>
  </si>
  <si>
    <t xml:space="preserve">Reuters 2026-02-28; Reuters 2026-03-19</t>
  </si>
  <si>
    <t xml:space="preserve">No formal IRGC declaration found; the '~70% drop' figure was not found and was replaced with Reuters/Kpler data.</t>
  </si>
  <si>
    <t xml:space="preserve">Maritime</t>
  </si>
  <si>
    <t xml:space="preserve">Retaliation strike</t>
  </si>
  <si>
    <t xml:space="preserve">Israel/Gulf</t>
  </si>
  <si>
    <t xml:space="preserve">Iran fires missiles at Israel, Kuwait and other Gulf targets; a missile hits a residential block in Tel Aviv; Kuwait International Airport is hit by a drone</t>
  </si>
  <si>
    <t xml:space="preserve">Tel Aviv: 1 killed, 27 injured (Times of Israel); Kuwait airport: minor injuries to staff</t>
  </si>
  <si>
    <t xml:space="preserve">Medium</t>
  </si>
  <si>
    <t xml:space="preserve">Times of Israel 2026-03-01; Al Jazeera 2026-02-28</t>
  </si>
  <si>
    <t xml:space="preserve">Partly verified</t>
  </si>
  <si>
    <t xml:space="preserve">Tel Aviv casualty figures confirmed by Times of Israel (an Israeli outlet; its own pieces vary between 20 and 27 injured). The operation name 'True Promise IV' and the '49 intercepted over Jordan' detail were not found in any allowed outlet and were dropped from the wording.</t>
  </si>
  <si>
    <t xml:space="preserve">Jordan/Gulf</t>
  </si>
  <si>
    <t xml:space="preserve">Iranian strikes on US/allied radar and base sites across the Gulf and Jordan; one THAAD AN/TPY-2 radar in Jordan 'apparently destroyed'; strikes on Manama, Kuwait airport, Abu Dhabi airport and Erbil reported the same day</t>
  </si>
  <si>
    <t xml:space="preserve">One radar (Jordan) apparently destroyed per CNN satellite-image analysis; The War Zone says it 'appears' destroyed; no US confirmation. UAE and Saudi radar damage unclear</t>
  </si>
  <si>
    <t xml:space="preserve">CNN n.d.; The War Zone 2026-03-07; Al Jazeera 2026-03-01</t>
  </si>
  <si>
    <t xml:space="preserve">'Destroyed' applies to one radar only and rests on imagery analysis, not a US statement. Manama, Kuwait airport, Abu Dhabi airport and Erbil are confirmed by Al Jazeera; Riyadh was not found in the sources read.</t>
  </si>
  <si>
    <t xml:space="preserve">High (13 pts)</t>
  </si>
  <si>
    <t xml:space="preserve">Kuwait</t>
  </si>
  <si>
    <t xml:space="preserve">Strike on a makeshift operations center at the port of Shuaiba, Kuwait</t>
  </si>
  <si>
    <t xml:space="preserve">6 US killed - the first US combat deaths of the war (CENTCOM, AP, CNN)</t>
  </si>
  <si>
    <t xml:space="preserve">CNN 2026-03-02; AP 2026-03-02</t>
  </si>
  <si>
    <t xml:space="preserve">'Camp Arifjan' is not supported by the retrieved reporting and was dropped.</t>
  </si>
  <si>
    <t xml:space="preserve">CENTCOM says the Iranian frigate Jamaran was struck at Chabahar at the start of Epic Fury and is 'sinking'; Makran struck at Bandar Abbas (USNI imagery), sinking not confirmed</t>
  </si>
  <si>
    <t xml:space="preserve">1 frigate sinking per CENTCOM; 1 damaged</t>
  </si>
  <si>
    <t xml:space="preserve">AFP 2026-03-01; USNI News 2026-03-02; The War Zone 2026-03-02</t>
  </si>
  <si>
    <t xml:space="preserve">Mar 1 was the CENTCOM report date; the Jamaran strike was Feb 28. Makran sinking is unconfirmed.</t>
  </si>
  <si>
    <t xml:space="preserve">Bahrain/Kuwait</t>
  </si>
  <si>
    <t xml:space="preserve">Tanker Stena Imperative hit by suspected Iranian projectiles at a Bahrain port; smoke near the US embassy in Kuwait reported by a witness</t>
  </si>
  <si>
    <t xml:space="preserve">USNI: 1 shipyard worker killed and 2 injured ashore at the Bahrain port; crew unhurt. A strike on the Kuwait embassy itself is not confirmed</t>
  </si>
  <si>
    <t xml:space="preserve">USNI News 2026-03-02; Al Jazeera 2026-03-02</t>
  </si>
  <si>
    <t xml:space="preserve">The '1 killed, 2 injured' figure belongs to the Bahrain port incident only. Attribution is 'suspected' Iranian (USNI). 'US embassy Kuwait struck' rested on a witness seeing smoke.</t>
  </si>
  <si>
    <t xml:space="preserve">High (19 pts)</t>
  </si>
  <si>
    <t xml:space="preserve">Israel (IDF)</t>
  </si>
  <si>
    <t xml:space="preserve">IDF says it struck Iran's Supreme National Security Council complex in Tehran (Mar 2-3) and destroyed a secret underground site on Tehran's outskirts where Iran moved its nuclear work (IDF claim)</t>
  </si>
  <si>
    <t xml:space="preserve">n/a - all details are IDF claims; site name spelled 'Minzadehei' by Times of Israel</t>
  </si>
  <si>
    <t xml:space="preserve">Times of Israel 2026-03-04</t>
  </si>
  <si>
    <t xml:space="preserve">Attributed to Israel, not the US. The IDF claims come via Times of Israel. The Expediency Council building appears only in Iran International (not an allowed outlet), so it is not claimed here.</t>
  </si>
  <si>
    <t xml:space="preserve">Yes - use with caution</t>
  </si>
  <si>
    <t xml:space="preserve">T02</t>
  </si>
  <si>
    <t xml:space="preserve">High (23 pts)</t>
  </si>
  <si>
    <t xml:space="preserve">Saudi Arabia</t>
  </si>
  <si>
    <t xml:space="preserve">Two Iranian drones hit the US embassy in Riyadh; limited fire and minor damage per Saudi Defense Ministry (AP)</t>
  </si>
  <si>
    <t xml:space="preserve">No casualties reported</t>
  </si>
  <si>
    <t xml:space="preserve">AP 2026-03-03</t>
  </si>
  <si>
    <t xml:space="preserve">'CIA annex' is not in the AP reporting and was dropped. Exact date unconfirmed (AP page dated Mar 2-3).</t>
  </si>
  <si>
    <t xml:space="preserve">Qatar/Saudi</t>
  </si>
  <si>
    <t xml:space="preserve">Iranian missile hits the US base at Al Udeid, Qatar (Mar 3); separately a drone attack on Saudi Aramco's Ras Tanura refinery causes a precautionary shutdown (Mar 2, Iran-attributed)</t>
  </si>
  <si>
    <t xml:space="preserve">Al Udeid: 2 missiles launched, 1 intercepted, 1 struck the base, no casualties (Qatar Defense Ministry). Ras Tanura: fire from drone-interception debris, some operations halted, no injuries (Saudi energy ministry / SPA)</t>
  </si>
  <si>
    <t xml:space="preserve">Times of Israel 2026-03-03; AFP 2026-03-02</t>
  </si>
  <si>
    <t xml:space="preserve">The first draft lumped two events onto Mar 4. Al Udeid was hit Mar 3; Ras Tanura Mar 2. Iran has denied attacking Aramco, so that attribution rests on Gulf-state sources.</t>
  </si>
  <si>
    <t xml:space="preserve">A US submarine sinks IRIS Dena ~40nm off Sri Lanka (reported as USS Charlotte by CBS citing unnamed officials; the Pentagon did not name it)</t>
  </si>
  <si>
    <t xml:space="preserve">Sri Lankan navy: 87 bodies recovered, 32 rescued (Al Jazeera). Iran's army later claimed 104 killed (Reuters, Mar 8) - a claim</t>
  </si>
  <si>
    <t xml:space="preserve">Al Jazeera 2026-03-04; Reuters 2026-03-08; Stars and Stripes 2026-07-22</t>
  </si>
  <si>
    <t xml:space="preserve">'104 killed, 32 wounded' is an Iranian claim; Sri Lanka reported 87 bodies and 32 rescued.</t>
  </si>
  <si>
    <t xml:space="preserve">High (29 pts)</t>
  </si>
  <si>
    <t xml:space="preserve">Blockade escalation (mine-laying alleged)</t>
  </si>
  <si>
    <t xml:space="preserve">CENTCOM says US forces destroyed 16 Iranian minelayers near Hormuz on Mar 10; Trump said the US had 'no reports' of mines being laid. Pentagon: Iranian ballistic-missile launches down ~90%, drones ~83%</t>
  </si>
  <si>
    <t xml:space="preserve">16 minelayers claimed destroyed by CENTCOM the same day</t>
  </si>
  <si>
    <t xml:space="preserve">Reuters 2026-03-11; PBS NewsHour 2026-03-10; CBS News 2026-03-23</t>
  </si>
  <si>
    <t xml:space="preserve">Minelayers were claimed destroyed the same day, not later. The '~92%' figure looks like Israel's interception rate, not the fall in Iranian launches.</t>
  </si>
  <si>
    <t xml:space="preserve">High (33 pts)</t>
  </si>
  <si>
    <t xml:space="preserve">CENTCOM (Adm. Cooper, Mar 21) says the US has struck 8,000+ targets, including 130 Iranian vessels, since Feb 28. Iran's Tasnim says at least 16 cargo vessels burned at Bandar Lengeh/Kong after a US-Israeli attack (Mar 20)</t>
  </si>
  <si>
    <t xml:space="preserve">8,000 targets / 130 vessels are CENTCOM claims for the whole war to date; the 16 burned boats are an Iranian claim and Iran calls them civilian cargo boats</t>
  </si>
  <si>
    <t xml:space="preserve">Stars and Stripes 2026-03-21; AFP 2026-03-20</t>
  </si>
  <si>
    <t xml:space="preserve">This was not a campaign that 'began Mar 19': the figures cover the war so far. Re-dated to the Mar 21 CENTCOM briefing.</t>
  </si>
  <si>
    <t xml:space="preserve">Low (1 pts)</t>
  </si>
  <si>
    <t xml:space="preserve">US/Israel (alleged)</t>
  </si>
  <si>
    <t xml:space="preserve">Strike (alleged)</t>
  </si>
  <si>
    <t xml:space="preserve">Iran reports an attack on Natanz and blames the US and Israel; the Israeli military denied involvement and the IAEA saw no rise in off-site radiation</t>
  </si>
  <si>
    <t xml:space="preserve">n/a - no casualty or damage figures from credible outlets</t>
  </si>
  <si>
    <t xml:space="preserve">AFP 2026-03-21; AP 2026-03-21; Al Arabiya 2026-03-21</t>
  </si>
  <si>
    <t xml:space="preserve">No allowed outlet says this was a US bunker-buster strike; it is confirmed only as Iran's report. Pair 3 rests on Iran treating it as the trigger.</t>
  </si>
  <si>
    <t xml:space="preserve">T03</t>
  </si>
  <si>
    <t xml:space="preserve">Israel</t>
  </si>
  <si>
    <t xml:space="preserve">Iran strikes toward Dimona and Arad and calls it a 'response' to Natanz; Iran did not claim to target the Negev research center</t>
  </si>
  <si>
    <t xml:space="preserve">No deaths; at least 180 wounded (Israel's Health Ministry, via Al Jazeera)</t>
  </si>
  <si>
    <t xml:space="preserve">AFP 2026-03-21; Al Jazeera 2026-03-21; Euronews 2026-03-22</t>
  </si>
  <si>
    <t xml:space="preserve">Wounded count is at least 180, not 175; Iran framed it as a response to Natanz, not as an attack on the research center.</t>
  </si>
  <si>
    <t xml:space="preserve">Ultimatum</t>
  </si>
  <si>
    <t xml:space="preserve">Trump: 48-hour ultimatum to reopen Strait or face power-plant strikes</t>
  </si>
  <si>
    <t xml:space="preserve">Al Jazeera 2026-03-22; Axios 2026-03-22</t>
  </si>
  <si>
    <t xml:space="preserve">Diplomatic proposal</t>
  </si>
  <si>
    <t xml:space="preserve">US 15-point ceasefire plan is passed to Iran through Pakistani intermediaries (AP)</t>
  </si>
  <si>
    <t xml:space="preserve">Iran rejected it and offered a counter-plan (AP)</t>
  </si>
  <si>
    <t xml:space="preserve">AP 2026-03-25; Al Jazeera 2026-04-06</t>
  </si>
  <si>
    <t xml:space="preserve">Delivered via Pakistan on or before Mar 24; Mar 25 was the AP publication date.</t>
  </si>
  <si>
    <t xml:space="preserve">Medium (7 pts)</t>
  </si>
  <si>
    <t xml:space="preserve">Assassination strike</t>
  </si>
  <si>
    <t xml:space="preserve">Israel says it killed IRGC Navy commander Tangsiri and the IRGC Navy's intelligence chief Rezaei in Bandar Abbas (Israeli claim, Mar 26); Iran confirmed Tangsiri's death on Mar 30</t>
  </si>
  <si>
    <t xml:space="preserve">Tangsiri's death confirmed by the IRGC Mar 30; no Iranian confirmation of Rezaei found (Al Jazeera, AFP, AP)</t>
  </si>
  <si>
    <t xml:space="preserve">Al Jazeera 2026-03-26; AFP 2026-03-26; AP 2026-03-30</t>
  </si>
  <si>
    <t xml:space="preserve">Rezaei is the IRGC Navy's intelligence chief, not Iran's national intelligence chief. 'Blockade architect' label dropped as unverified.</t>
  </si>
  <si>
    <t xml:space="preserve">T04</t>
  </si>
  <si>
    <t xml:space="preserve">Medium (6 pts)</t>
  </si>
  <si>
    <t xml:space="preserve">Strikes Prince Sultan Air Base</t>
  </si>
  <si>
    <t xml:space="preserve">At least 15 US troops wounded, 5 seriously (AP, NPR, Al Jazeera); multiple KC-135 tankers damaged; E-3 AWACS damaged per unnamed sources (WSJ via Al Jazeera)</t>
  </si>
  <si>
    <t xml:space="preserve">AP 2026-03-27; NPR 2026-03-28; Al Jazeera 2026-03-29</t>
  </si>
  <si>
    <t xml:space="preserve">Credible outlets say at least 15 wounded; '29' looks like a cumulative count.</t>
  </si>
  <si>
    <t xml:space="preserve">Medium (8 pts)</t>
  </si>
  <si>
    <t xml:space="preserve">Blockade escalation</t>
  </si>
  <si>
    <t xml:space="preserve">IRGC statement bans shipping to/from ports of countries aligned with the US/Israel (reported via Iranian state media; not confirmed by an allowed outlet). Al Jazeera says the Strait was already declared closed on Mar 2</t>
  </si>
  <si>
    <t xml:space="preserve">The '20,000 mariners / 2,000 ships' figure is an IMO number from Mar 25, before this date</t>
  </si>
  <si>
    <t xml:space="preserve">Low</t>
  </si>
  <si>
    <t xml:space="preserve">Al Jazeera 2026-03-16</t>
  </si>
  <si>
    <t xml:space="preserve">Not supported</t>
  </si>
  <si>
    <t xml:space="preserve">Not a new 'total closure': Al Jazeera (Mar 16) says the Strait was declared closed Mar 2. The Mar 27 statement is sourced only to Iranian state media via non-allowed outlets.</t>
  </si>
  <si>
    <t xml:space="preserve">No - credibility below 0.50</t>
  </si>
  <si>
    <t xml:space="preserve">Joint Chiefs Chairman Caine announces the first overland B-52 missions (NYT, Mar 31); strikes on an Isfahan ammunition depot reported separately by the WSJ (not read directly)</t>
  </si>
  <si>
    <t xml:space="preserve">The New York Times 2026-03-31</t>
  </si>
  <si>
    <t xml:space="preserve">Mar 31 is the announcement date. No outlet read ties the B-52s to Isfahan or says when the flights began.</t>
  </si>
  <si>
    <t xml:space="preserve">Medium (10 pts)</t>
  </si>
  <si>
    <t xml:space="preserve">Pakistan/China</t>
  </si>
  <si>
    <t xml:space="preserve">Iran/US</t>
  </si>
  <si>
    <t xml:space="preserve">China-Pakistan '5-point initiative' ceasefire proposal</t>
  </si>
  <si>
    <t xml:space="preserve">Axios 2026-03-31</t>
  </si>
  <si>
    <t xml:space="preserve">Destroys B1 bridge (Tehran-Karaj) during a family holiday gathering below</t>
  </si>
  <si>
    <t xml:space="preserve">8 killed, 95 wounded per Iran's Alborz deputy governor (AFP; not independently verified); Iranian state TV first reported 2 (Al Jazeera headline: 2 killed)</t>
  </si>
  <si>
    <t xml:space="preserve">The War Zone 2026-04-02; AFP 2026-04-03; Al Jazeera 2026-04-06</t>
  </si>
  <si>
    <t xml:space="preserve">Casualty figures are Iranian claims and vary by outlet.</t>
  </si>
  <si>
    <t xml:space="preserve">High (12 pts)</t>
  </si>
  <si>
    <t xml:space="preserve">Air defense</t>
  </si>
  <si>
    <t xml:space="preserve">Iran shoots down a US F-15E over Iran (ABC); an A-10 is hit separately and crashes in an allied country, its pilot rescued</t>
  </si>
  <si>
    <t xml:space="preserve">F-15E: one crew member rescued, the other's status unknown when ABC reported on Apr 4; two rescue helicopters hit but landed safely</t>
  </si>
  <si>
    <t xml:space="preserve">ABC News 2026-04-04</t>
  </si>
  <si>
    <t xml:space="preserve">'Both crews rescued' is not confirmed by an allowed outlet; the A-10 did not go down over Iran.</t>
  </si>
  <si>
    <t xml:space="preserve">High (16 pts)</t>
  </si>
  <si>
    <t xml:space="preserve">Pakistan</t>
  </si>
  <si>
    <t xml:space="preserve">Pakistan-mediated 45-day ceasefire framework; Iran says it will not reopen the Strait for a temporary ceasefire and sends a 10-point response (Al Jazeera, Reuters)</t>
  </si>
  <si>
    <t xml:space="preserve">Iran did not accept; counter-proposal sent</t>
  </si>
  <si>
    <t xml:space="preserve">Al Jazeera 2026-04-06; Reuters 2026-04-06</t>
  </si>
  <si>
    <t xml:space="preserve">Date is Apr 6, not Apr 5. Iran did not flatly reject talks.</t>
  </si>
  <si>
    <t xml:space="preserve">US/Iran</t>
  </si>
  <si>
    <t xml:space="preserve">Ceasefire announcement</t>
  </si>
  <si>
    <t xml:space="preserve">-</t>
  </si>
  <si>
    <t xml:space="preserve">Trump announces a two-week ceasefire on Truth Social after Pakistan's PM Sharif asks him to extend his deadline; Iran's Supreme National Security Council accepts (Reuters, AP). Apr 7 US time / Apr 8 Gulf time</t>
  </si>
  <si>
    <t xml:space="preserve">Reuters 2026-04-07; AP 2026-04-07; AP 2026-04-08</t>
  </si>
  <si>
    <t xml:space="preserve">No credible outlet names VP Vance as the channel; Pakistan's leaders are named.</t>
  </si>
  <si>
    <t xml:space="preserve">T05</t>
  </si>
  <si>
    <t xml:space="preserve">US/Iran/Pakistan</t>
  </si>
  <si>
    <t xml:space="preserve">Ceasefire signed</t>
  </si>
  <si>
    <t xml:space="preserve">UNSUPPORTED AS LOGGED: no credible outlet reports a formally signed ceasefire with these terms. AP describes the Apr 7-8 ceasefire as built on a disputed 10-point Iranian plan with differing Farsi and English versions. Likely a duplicate of #28</t>
  </si>
  <si>
    <t xml:space="preserve">Merged</t>
  </si>
  <si>
    <t xml:space="preserve">AP 2026-04-07; AP 2026-04-08; Reuters 2026-04-07</t>
  </si>
  <si>
    <t xml:space="preserve">Searched; AP and Reuters report no signed document and none of the listed terms (sanctions relief, frozen-asset release). Row kept only because other rows point to it. Merged into #28 (same Apr 7-8 ceasefire; no signed document or listed terms were ever reported).</t>
  </si>
  <si>
    <t xml:space="preserve">No - merged duplicate</t>
  </si>
  <si>
    <t xml:space="preserve">Fragile ceasefire</t>
  </si>
  <si>
    <t xml:space="preserve">Ceasefire violation</t>
  </si>
  <si>
    <t xml:space="preserve">Lebanon</t>
  </si>
  <si>
    <t xml:space="preserve">Israel strikes 100+ targets across Beirut, southern Lebanon and the Bekaa in about 10 minutes, within hours of the ceasefire (AP)</t>
  </si>
  <si>
    <t xml:space="preserve">Lebanon's health ministry: at least 112 killed in the first count, later 182 (AP)</t>
  </si>
  <si>
    <t xml:space="preserve">AP 2026-04-08; Reuters 2026-04-09; Al Jazeera 2026-04-08</t>
  </si>
  <si>
    <t xml:space="preserve">'Operation Eternal Darkness' name appears only in Israeli outlets (ynet, i24), not in allowed ones, so it was dropped.</t>
  </si>
  <si>
    <t xml:space="preserve">Blockade re-escalation</t>
  </si>
  <si>
    <t xml:space="preserve">Iran restricts/resumes blockade, citing the Lebanon strikes as a ceasefire violation</t>
  </si>
  <si>
    <t xml:space="preserve">AP 2026-04-08; The War Zone 2026-04-09; Reuters 2026-04-09</t>
  </si>
  <si>
    <t xml:space="preserve">UAE</t>
  </si>
  <si>
    <t xml:space="preserve">Strike (covert)</t>
  </si>
  <si>
    <t xml:space="preserve">UAE strikes Lavan Island oil refinery (only revealed later via WSJ/Bloomberg, May 11)</t>
  </si>
  <si>
    <t xml:space="preserve">Major fire at the refinery; WSJ reportedly said a significant part of capacity was knocked out for several months (seen via a secondary summary only)</t>
  </si>
  <si>
    <t xml:space="preserve">Times of Israel 2026-04-08; Times of Israel 2026-05-12; Times of Israel 2026-05-30</t>
  </si>
  <si>
    <t xml:space="preserve">Event confirmed; details revealed May 11-12 (WSJ/Bloomberg). 'Crippled for months' is stronger than what could be read.</t>
  </si>
  <si>
    <t xml:space="preserve">Blockade-adjacent action</t>
  </si>
  <si>
    <t xml:space="preserve">US Navy destroyers transit the Strait for the first time since the war began (mine-clearance framing)</t>
  </si>
  <si>
    <t xml:space="preserve">Iran calls it a ceasefire violation</t>
  </si>
  <si>
    <t xml:space="preserve">USNI News 2026-04-11; Axios 2026-04-11</t>
  </si>
  <si>
    <t xml:space="preserve">High (15 pts)</t>
  </si>
  <si>
    <t xml:space="preserve">Diplomatic talks</t>
  </si>
  <si>
    <t xml:space="preserve">Islamabad Talks: 21 hours of negotiation, collapse without agreement</t>
  </si>
  <si>
    <t xml:space="preserve">Failed - Araghchi: 'inches away' but accused US of moving goalposts</t>
  </si>
  <si>
    <t xml:space="preserve">AP 2026-04-11; Axios 2026-04-12; Times of Israel 2026-04-12</t>
  </si>
  <si>
    <t xml:space="preserve">T06</t>
  </si>
  <si>
    <t xml:space="preserve">Blockade start</t>
  </si>
  <si>
    <t xml:space="preserve">US naval blockade of Iran begins</t>
  </si>
  <si>
    <t xml:space="preserve">USNI News 2026-04-11; Axios 2026-04-12; Al Jazeera 2026-04-13</t>
  </si>
  <si>
    <t xml:space="preserve">Iran announces the Strait closed again, citing continuation of the US blockade</t>
  </si>
  <si>
    <t xml:space="preserve">AP 2026-04-18</t>
  </si>
  <si>
    <t xml:space="preserve">Medium (9 pts)</t>
  </si>
  <si>
    <t xml:space="preserve">Seizure</t>
  </si>
  <si>
    <t xml:space="preserve">Iranian shipping</t>
  </si>
  <si>
    <t xml:space="preserve">US disables the Iranian container ship Touska with gunfire from USS Spruance (Apr 19, USNI); tankers Tifani and Majestic X interdicted in the Indian Ocean around Apr 22-24 (dates not confirmed by an allowed outlet)</t>
  </si>
  <si>
    <t xml:space="preserve">3 vessels</t>
  </si>
  <si>
    <t xml:space="preserve">USNI News 2026-04-19</t>
  </si>
  <si>
    <t xml:space="preserve">Touska is a container ship, not a tanker. Tifani/Majestic X dates conflict across outlets (Apr 22-24).</t>
  </si>
  <si>
    <t xml:space="preserve">T07</t>
  </si>
  <si>
    <t xml:space="preserve">Seizure (retaliation)</t>
  </si>
  <si>
    <t xml:space="preserve">Shipping</t>
  </si>
  <si>
    <t xml:space="preserve">IRGC seizes container ships MSC Epaminondas and MSC Francesca</t>
  </si>
  <si>
    <t xml:space="preserve">No casualties (AFP, Reuters)</t>
  </si>
  <si>
    <t xml:space="preserve">AFP 2026-04-22; Reuters 2026-04-23</t>
  </si>
  <si>
    <t xml:space="preserve">Reuters ties it to the US seizure of the Touska; the IRGC's own stated reasons were blockade and permit violations.</t>
  </si>
  <si>
    <t xml:space="preserve">Medium (11 pts)</t>
  </si>
  <si>
    <t xml:space="preserve">Incursion</t>
  </si>
  <si>
    <t xml:space="preserve">Bubiyan Island raid attempt: 6 IRGC troops by fishing boat, 4 detained, 2 escape; Kuwait announced it on May 12</t>
  </si>
  <si>
    <t xml:space="preserve">1 injured: a 'security official' (AP) or 'service member' (Al Jazeera); Iran says it was a navigation error</t>
  </si>
  <si>
    <t xml:space="preserve">Al Jazeera 2026-05-12; AP 2026-05-12</t>
  </si>
  <si>
    <t xml:space="preserve">Incident May 1, announced May 12. Injured person is described differently by AP and Al Jazeera.</t>
  </si>
  <si>
    <t xml:space="preserve">Low (3 pts)</t>
  </si>
  <si>
    <t xml:space="preserve">Operation</t>
  </si>
  <si>
    <t xml:space="preserve">Operation Project Freedom: announced May 3, began May 4; Navy escort mission for stranded ships; US says six boats sunk (Trump said seven); pause announced May 5 US time (May 6 Gulf time)</t>
  </si>
  <si>
    <t xml:space="preserve">Al Jazeera 2026-05-03; Reuters 2026-05-04; Al Jazeera 2026-05-06</t>
  </si>
  <si>
    <t xml:space="preserve">Operations began May 4 (announced May 3); pause announced May 5 US time. US says six boats sunk, Trump said seven.</t>
  </si>
  <si>
    <t xml:space="preserve">US Navy</t>
  </si>
  <si>
    <t xml:space="preserve">Missiles, drones and small boats attack 3 US destroyers transiting the Strait</t>
  </si>
  <si>
    <t xml:space="preserve">No casualties; none of the 3 destroyers (Truxtun, Rafael Peralta, Mason) was struck (CENTCOM)</t>
  </si>
  <si>
    <t xml:space="preserve">CNN 2026-05-07; The War Zone 2026-05-07</t>
  </si>
  <si>
    <t xml:space="preserve">Confirmed. US vs Gulf time can put this on May 7 or 8.</t>
  </si>
  <si>
    <t xml:space="preserve">T08</t>
  </si>
  <si>
    <t xml:space="preserve">Low (4 pts)</t>
  </si>
  <si>
    <t xml:space="preserve">US strikes sites near Bandar Abbas and Qeshm Island (CENTCOM did not name the IRGC)</t>
  </si>
  <si>
    <t xml:space="preserve">Confirmed; the 'IRGC facilities and missile sites' wording was not supported.</t>
  </si>
  <si>
    <t xml:space="preserve">Ceasefire (restored)</t>
  </si>
  <si>
    <t xml:space="preserve">Iran agrees to halt attacks on Israel after the two traded fire on Jun 6-7, the first exchange since the April ceasefire</t>
  </si>
  <si>
    <t xml:space="preserve">NPR 2026-06-08</t>
  </si>
  <si>
    <t xml:space="preserve">Corrected (NPR, Jun 8): the old text said Israel and Iran 'had not exchanged fire since'; in fact they traded fire Jun 6-7 and Iran then agreed to stop.</t>
  </si>
  <si>
    <t xml:space="preserve">T09</t>
  </si>
  <si>
    <t xml:space="preserve">Low (2 pts)</t>
  </si>
  <si>
    <t xml:space="preserve">Strike (ceasefire violation)</t>
  </si>
  <si>
    <t xml:space="preserve">Strikes kill members of Iran's air-defense units</t>
  </si>
  <si>
    <t xml:space="preserve">2+ killed</t>
  </si>
  <si>
    <t xml:space="preserve">AFP 2026-06-09</t>
  </si>
  <si>
    <t xml:space="preserve">Date corrected to Jun 8 (AFP via Al Arabiya, published Jun 9): the Israeli strikes were overnight into Monday Jun 8; Iranian state TV (a claim) said at least 2 air-defense personnel were killed (re-sourced Oct 28).</t>
  </si>
  <si>
    <t xml:space="preserve">Retaliation</t>
  </si>
  <si>
    <t xml:space="preserve">Downs a US Apache helicopter over the Strait (US says a Shahed drone did it)</t>
  </si>
  <si>
    <t xml:space="preserve">Both crew rescued</t>
  </si>
  <si>
    <t xml:space="preserve">CBS News 2026-06-09</t>
  </si>
  <si>
    <t xml:space="preserve">Date corrected to Jun 8 (CBS, updated Jun 9): the Apache went down Monday Jun 8 and both crew were rescued about two hours later by an unmanned surface drone; CBS sources say a Shahed drone (re-sourced Oct 28).</t>
  </si>
  <si>
    <t xml:space="preserve">US strikes Iranian air-defense, ground-control and surveillance radar sites near the Strait after Iran downs a US Apache (CENTCOM: 'proportional response')</t>
  </si>
  <si>
    <t xml:space="preserve">NPR 2026-06-09; CENTCOM 2026-06-09</t>
  </si>
  <si>
    <t xml:space="preserve">Corrected (NPR, CENTCOM): the named towns (Qeshm, Sirik, Jask, Bandar Abbas) are not in the Jun 9 reports; Al Jazeera's Jun 10 live page puts the next day's strikes at Sirik, Bandar Abbas and Qeshm.</t>
  </si>
  <si>
    <t xml:space="preserve">Jordan/Kuwait/Bahrain</t>
  </si>
  <si>
    <t xml:space="preserve">Strikes Muwaffaq Salti AB plus bases in Kuwait and Bahrain</t>
  </si>
  <si>
    <t xml:space="preserve">AP: Jordan shot down 5 missiles aimed at Muwaffaq Salti AB. Axios: a US official counted at least 4 ballistic missiles plus drones across the three countries. IRGC claim of 21 targets is unverified</t>
  </si>
  <si>
    <t xml:space="preserve">AP 2026-06-10; Axios (Barak Ravid), as summarised on Iran International page 2026-06-10; Petra 2026-06-11</t>
  </si>
  <si>
    <t xml:space="preserve">Rows 47 and 48 are separate waves, not an overlap. IRGC target claim is unverified.</t>
  </si>
  <si>
    <t xml:space="preserve">Jordan</t>
  </si>
  <si>
    <t xml:space="preserve">Iranian missile wave at a Jordan base near Azraq; Jordan says it intercepted all 20 incoming missiles</t>
  </si>
  <si>
    <t xml:space="preserve">Jordan (official statement): 20 missiles intercepted; the IRGC's own claim of 12 is not cited</t>
  </si>
  <si>
    <t xml:space="preserve">Petra 2026-06-11; AFP 2026-07-09</t>
  </si>
  <si>
    <t xml:space="preserve">Only allowed source is Jordan's official statement; the '12 missiles' figure was an IRGC claim.</t>
  </si>
  <si>
    <t xml:space="preserve">Ceasefire (interim MOU signed)</t>
  </si>
  <si>
    <t xml:space="preserve">Pakistan's PM announces agreed text of a US-Iran memorandum on Jun 12; Trump and Pezeshkian sign the 14-point interim deal digitally on Jun 17, extending the ceasefire by 60 days (Reuters)</t>
  </si>
  <si>
    <t xml:space="preserve">n/a - Iran later said (Aug 12, via Reuters) the interim deal never took effect</t>
  </si>
  <si>
    <t xml:space="preserve">Reuters 2026-06-12; Reuters 2026-06-17; Axios 2026-06-11</t>
  </si>
  <si>
    <t xml:space="preserve">'Terms agreed Jun 12' was only partly right: Jun 12 is when Pakistan announced the text; signing was Jun 17. This overlaps with event #50 (the same deal). Kept separate for now. Merged into #50 (same Jun 17 signing; Jun 12 was only Pakistan's announcement that the text was agreed).</t>
  </si>
  <si>
    <t xml:space="preserve">High (14 pts)</t>
  </si>
  <si>
    <t xml:space="preserve">Trump and Pezeshkian sign a 14-point interim memorandum electronically on Jun 17 (Iran's foreign ministry calls it the 'Islamabad Memorandum of Understanding'): fighting stops on all fronts incl. Lebanon; 60 days to negotiate; the US starts lifting the blockade at once and ends it within 30 days; Iran makes 'best efforts' for free passage through Hormuz; oil-sanctions waivers now, full relief only in a final deal</t>
  </si>
  <si>
    <t xml:space="preserve">Al Jazeera 2026-06-17; Al Jazeera 2026-06-18; NPR 2026-06-17; NPR 2026-06-19</t>
  </si>
  <si>
    <t xml:space="preserve">Confirmed by Reuters, Al Jazeera and NPR. Earlier wording said it 'ended the blockade and reopened the Strait' outright; it was phased. Iran later said (Aug 12) the deal never took effect. Also covers former row #49: Pakistan announced the agreed text on Jun 12.</t>
  </si>
  <si>
    <t xml:space="preserve">T10</t>
  </si>
  <si>
    <t xml:space="preserve">Blockade end</t>
  </si>
  <si>
    <t xml:space="preserve">US naval blockade of Iran officially ends</t>
  </si>
  <si>
    <t xml:space="preserve">Al Jazeera 2026-06-18</t>
  </si>
  <si>
    <t xml:space="preserve">Israeli strikes in Lebanon continue overnight after an Israel-Hezbollah ceasefire took effect Jun 19 (Reuters, AFP)</t>
  </si>
  <si>
    <t xml:space="preserve">20+ killed (Reuters); AFP: 16 in Nabatieh and 7 near Sidon</t>
  </si>
  <si>
    <t xml:space="preserve">Reuters 2026-06-20; Reuters 2026-06-19; AFP 2026-06-20</t>
  </si>
  <si>
    <t xml:space="preserve">Strikes came overnight into Saturday Jun 20, not Jun 19.</t>
  </si>
  <si>
    <t xml:space="preserve">T11</t>
  </si>
  <si>
    <t xml:space="preserve">Iran claims the Strait closed again, citing Israeli ceasefire violations in Lebanon</t>
  </si>
  <si>
    <t xml:space="preserve">AFP 2026-06-20; Al Jazeera 2026-06-20</t>
  </si>
  <si>
    <t xml:space="preserve">MOU violation</t>
  </si>
  <si>
    <t xml:space="preserve">Iranian drones attack the container ship Ever Lovely near Oman in the Strait; Trump calls it a 'foolish violation' of the Jun 17 memorandum</t>
  </si>
  <si>
    <t xml:space="preserve">No injuries</t>
  </si>
  <si>
    <t xml:space="preserve">Al Jazeera 2026-06-26</t>
  </si>
  <si>
    <t xml:space="preserve">Confirmed (Al Jazeera, Jun 26): four one-way attack drones per Trump, one hit the upper deck; no crew hurt.</t>
  </si>
  <si>
    <t xml:space="preserve">T12</t>
  </si>
  <si>
    <t xml:space="preserve">~1 hour of retaliatory strikes on missile/drone sites and coastal radar</t>
  </si>
  <si>
    <t xml:space="preserve">NPR 2026-06-27; Al Jazeera 2026-06-28; CENTCOM 2026-06-27</t>
  </si>
  <si>
    <t xml:space="preserve">Date confirmed: NPR (AP) and Al Jazeera put the roughly one-hour US strike on Fri Jun 26, after a projectile hit a container ship off Oman on Jun 25. A separate, larger CENTCOM round of about 10 targets followed on Jun 27 after the tanker Kiku was hit.</t>
  </si>
  <si>
    <t xml:space="preserve">Tanker Kiku hit by a one-way drone near Hormuz (Jun 27, per CENTCOM; Iran has not confirmed); overnight Jun 27-28 the IRGC fires drones and missiles at Kuwait (intercepted) and Bahrain</t>
  </si>
  <si>
    <t xml:space="preserve">Kuwait: intercepted. Bahrain: AP gives only its condemnation. No casualties found</t>
  </si>
  <si>
    <t xml:space="preserve">AP 2026-06-28; Al Jazeera 2026-06-28; CENTCOM 2026-06-27</t>
  </si>
  <si>
    <t xml:space="preserve">Split into tanker (Jun 27) and Gulf fire (overnight Jun 27-28). A pause afterwards is single-source: Axios (Jun 29) says both sides agreed to halt attacks, while AP's Jun 28 report mentions no pause and says the exchange strained the interim deal.</t>
  </si>
  <si>
    <t xml:space="preserve">MOU violation (major)</t>
  </si>
  <si>
    <t xml:space="preserve">Strikes three vessels in the Strait - second, larger MOU violation</t>
  </si>
  <si>
    <t xml:space="preserve">Significant damage, no casualties (US official via Axios); no one claimed the attacks (Reuters)</t>
  </si>
  <si>
    <t xml:space="preserve">Axios 2026-07-07; Reuters 2026-07-07</t>
  </si>
  <si>
    <t xml:space="preserve">Confirmed (Axios, Reuters): at least three commercial ships hit Jul 6-7. The old '49 to 25 vessels a day' traffic figure was not found in an allowed outlet and was dropped.</t>
  </si>
  <si>
    <t xml:space="preserve">T13</t>
  </si>
  <si>
    <t xml:space="preserve">Low (5 pts)</t>
  </si>
  <si>
    <t xml:space="preserve">Sanctions response</t>
  </si>
  <si>
    <t xml:space="preserve">Treasury withdraws the general license allowing Iranian oil sales (wind-down to Jul 17) after the tanker attacks</t>
  </si>
  <si>
    <t xml:space="preserve">Reuters 2026-07-07</t>
  </si>
  <si>
    <t xml:space="preserve">Confirmed (Reuters via Honolulu Star-Advertiser, Jul 7).</t>
  </si>
  <si>
    <t xml:space="preserve">Sanctions</t>
  </si>
  <si>
    <t xml:space="preserve">Ceasefire declared over</t>
  </si>
  <si>
    <t xml:space="preserve">Trump declares the ceasefire 'over' at the NATO summit</t>
  </si>
  <si>
    <t xml:space="preserve">NPR 2026-07-08</t>
  </si>
  <si>
    <t xml:space="preserve">Confirmed (NPR, published Jul 8): NPR dates Trump's remark to Tuesday, Jul 7, so the row date was moved from Jul 8 to Jul 7 (review, Oct 22).</t>
  </si>
  <si>
    <t xml:space="preserve">Strike (major escalation)</t>
  </si>
  <si>
    <t xml:space="preserve">About 90 targets along Iran's coast (air defenses, coastal surveillance, missile and drone storage, naval and logistics sites), the second night in a row after ~80 on Jul 7 (CENTCOM)</t>
  </si>
  <si>
    <t xml:space="preserve">CENTCOM 2026-07-08; Bloomberg 2026-07-09</t>
  </si>
  <si>
    <t xml:space="preserve">Corrected (CENTCOM, Bloomberg): no allowed outlet puts bridges among the Jul 8 targets. The bridge strikes (two bridges in Hormozgan, 3 killed per Iranian state TV) were on Jul 16-17 (AFP), inside the nightly campaign that is excluded from the census.</t>
  </si>
  <si>
    <t xml:space="preserve">Iran's IRGC says it fired 10 ballistic missiles at the Azraq base in Jordan (Muwaffaq Salti AB is at Azraq); Jordan says it intercepted 8</t>
  </si>
  <si>
    <t xml:space="preserve">Jordan: 8 intercepted, falling fragments only, no casualties or material damage (the other 2 are not accounted for)</t>
  </si>
  <si>
    <t xml:space="preserve">AFP 2026-07-09; Reuters 2026-07-09</t>
  </si>
  <si>
    <t xml:space="preserve">Confirmed by AFP and Reuters. Neither names Muwaffaq Salti, but it is the air base at Azraq.</t>
  </si>
  <si>
    <t xml:space="preserve">Retaliation strike (5 countries)</t>
  </si>
  <si>
    <t xml:space="preserve">Oman/Qatar/Kuwait/Bahrain/Jordan</t>
  </si>
  <si>
    <t xml:space="preserve">Simultaneous strikes framed as retaliation for a '3rd round of US strikes within a week' (~140 sites)</t>
  </si>
  <si>
    <t xml:space="preserve">Qatar: 3 wounded incl. a child</t>
  </si>
  <si>
    <t xml:space="preserve">Al Jazeera 2026-07-12</t>
  </si>
  <si>
    <t xml:space="preserve">Declares the Strait 'closed until the end of US interference'</t>
  </si>
  <si>
    <t xml:space="preserve">Bahrain</t>
  </si>
  <si>
    <t xml:space="preserve">IRGC claims strikes on US sites at Juffair, Bahrain (Jul 13) and says it destroyed a Patriot radar and other radars (Jul 14)</t>
  </si>
  <si>
    <t xml:space="preserve">IRGC claim only; no US or Bahraini confirmation or damage assessment found</t>
  </si>
  <si>
    <t xml:space="preserve">Tasnim 2026-07-14</t>
  </si>
  <si>
    <t xml:space="preserve">Everything about damage is an Iranian claim (Tasnim). Not confirmed by AP, Reuters, AFP or CNN in what was read.</t>
  </si>
  <si>
    <t xml:space="preserve">Attack on Muwaffaq Salti AB - deadliest Jordan-strike day of the war</t>
  </si>
  <si>
    <t xml:space="preserve">3 US dead: 2 killed in action plus 1 missing, later declared believed killed in action (Army/DoD, Jul 22); 4 medically evacuated</t>
  </si>
  <si>
    <t xml:space="preserve">AP 2026-07-18; Army.mil 2026-07-22; Stars and Stripes 2026-07-20</t>
  </si>
  <si>
    <t xml:space="preserve">Toll is 3 dead, not '2 KIA + 1 missing'. The attack was Fri Jul 17; some outlets say Jul 18.</t>
  </si>
  <si>
    <t xml:space="preserve">IRGC says ballistic missiles hit US aircraft at Aqaba airport (Jul 19); Jordan says it shot down 3 missiles and a 4th fell in open ground</t>
  </si>
  <si>
    <t xml:space="preserve">Damage is an IRGC claim only. Jordan and Israel report no damage or injuries (AFP)</t>
  </si>
  <si>
    <t xml:space="preserve">Times of Israel 2026-07-20; AFP 2026-07-19</t>
  </si>
  <si>
    <t xml:space="preserve">Strike confirmed by AFP. 'King Hussein International Airport' appears in the sources only as 'Aqaba airport'. The US embassy said Aqaba was evacuated over a 'credible threat'; Jordan denied any evacuation.</t>
  </si>
  <si>
    <t xml:space="preserve">IRGC claims it destroyed a missile-defense radar and an F-15 at a US base in Jordan (Jul 21). No US or Jordanian confirmation</t>
  </si>
  <si>
    <t xml:space="preserve">IRGC claim only</t>
  </si>
  <si>
    <t xml:space="preserve">No credible source found (see audit note)</t>
  </si>
  <si>
    <t xml:space="preserve">The claim exists only in non-allowed relays (Middle East Eye, APA citing Al Jazeera), so nothing here is verified. A different, later claim (Jul 23, AFP) names other equipment; do not conflate.</t>
  </si>
  <si>
    <t xml:space="preserve">Analyst</t>
  </si>
  <si>
    <t xml:space="preserve">Strategic assessment</t>
  </si>
  <si>
    <t xml:space="preserve">Trita Parsi assessment: Iran now believes it holds the military advantage, considers shifting from reaction to offense</t>
  </si>
  <si>
    <t xml:space="preserve">Analysis, not an event</t>
  </si>
  <si>
    <t xml:space="preserve">CNN 2026-08-19</t>
  </si>
  <si>
    <t xml:space="preserve">Confirmed as published and attributed: Trita Parsi is quoted in a CNN analysis by Tim Lister (Aug 19). It is an opinion, not an event, and was read through a credited republication.</t>
  </si>
  <si>
    <t xml:space="preserve">Other</t>
  </si>
  <si>
    <t xml:space="preserve">Low-intensity war</t>
  </si>
  <si>
    <t xml:space="preserve">Mine-clearance</t>
  </si>
  <si>
    <t xml:space="preserve">Mine clearance of the Traffic Separation Scheme; 100+ suspected mines found and removed (Axios: by private contractors; CENTCOM credits Navy divers, SEALs and air power)</t>
  </si>
  <si>
    <t xml:space="preserve">Axios 2026-08-25</t>
  </si>
  <si>
    <t xml:space="preserve">Axios says private contractors did the removal, not the Navy alone.</t>
  </si>
  <si>
    <t xml:space="preserve">Strikes 2 IRGC rocket launchers on Larak Island, said to be preparing sea mines</t>
  </si>
  <si>
    <t xml:space="preserve">Iranian state media (IRNA, a claim): at least 2 killed and several wounded; no US-confirmed casualty figure (CNN)</t>
  </si>
  <si>
    <t xml:space="preserve">CNN 2026-08-30</t>
  </si>
  <si>
    <t xml:space="preserve">Casualty figure is an Iranian claim.</t>
  </si>
  <si>
    <t xml:space="preserve">T14</t>
  </si>
  <si>
    <t xml:space="preserve">'Punishment of the Aggressor': strikes King Hussein AB and Al Azraq AB</t>
  </si>
  <si>
    <t xml:space="preserve">8 intercepted per Jordan, no injuries (disputed)</t>
  </si>
  <si>
    <t xml:space="preserve">Al Jazeera 2026-08-30; CBS News None</t>
  </si>
  <si>
    <t xml:space="preserve">Disputed</t>
  </si>
  <si>
    <t xml:space="preserve">Tanker attack (cause disputed)</t>
  </si>
  <si>
    <t xml:space="preserve">Saudi (Bahri) tanker Sidr hit late Aug 31; a second tanker, Senegal Prosperity, reported hit by 3 projectiles the same night. IRGC says mines; CENTCOM calls that false; Saudi Arabia blames Iran; Iran denies</t>
  </si>
  <si>
    <t xml:space="preserve">2 Filipino crew killed (Bahri)</t>
  </si>
  <si>
    <t xml:space="preserve">CBS News None; Bloomberg 2026-09-01; AFP 2026-09-02</t>
  </si>
  <si>
    <t xml:space="preserve">First draft framed this as an accident that undercut the mine-clearance claim and listed '1 tanker damaged'. Credible outlets show a disputed attack with 2 killed.</t>
  </si>
  <si>
    <t xml:space="preserve">New strike wave: Kenerak, Bandar Abbas, Qeshm Island</t>
  </si>
  <si>
    <t xml:space="preserve">n/a - trigger: ongoing mine-laying/shipping attacks</t>
  </si>
  <si>
    <t xml:space="preserve">CENTCOM 2026-09-01; Al Jazeera 2026-09-01; CBS News 2026-09-02</t>
  </si>
  <si>
    <t xml:space="preserve">Strike (controversial)</t>
  </si>
  <si>
    <t xml:space="preserve">Kuhestak/Sirik wedding strike, part of the same wave as #73</t>
  </si>
  <si>
    <t xml:space="preserve">4-5 killed incl. 2 children, 50+ wounded</t>
  </si>
  <si>
    <t xml:space="preserve">Al Jazeera 2026-09-02; CBS News 2026-09-02; AFP 2026-09-02</t>
  </si>
  <si>
    <t xml:space="preserve">Strikes Camp Titin and Prince Hassan AB</t>
  </si>
  <si>
    <t xml:space="preserve">'Several aircraft' destroyed, claimed</t>
  </si>
  <si>
    <t xml:space="preserve">Al Jazeera 2026-09-01; Al Jazeera 2026-09-02; Times of Israel 2026-09-02</t>
  </si>
  <si>
    <t xml:space="preserve">Jordan reported the attack early Sep 2 local time (Sep 1 evening US time); date left as logged. The 'several aircraft destroyed' item is an IRGC claim that the US and Jordan denied. Event #76 is a duplicate of this event (two outlets describe one exchange).</t>
  </si>
  <si>
    <t xml:space="preserve">Retaliation strike (major)</t>
  </si>
  <si>
    <t xml:space="preserve">DUPLICATE OF #75: Al Jazeera's Sep 1 and Sep 2 stories describe one Iranian response (Jordan intercepted 10 of 13 missiles). No allowed outlet reports a separate, larger wave on Sep 2</t>
  </si>
  <si>
    <t xml:space="preserve">Confirmed duplicate by two independent checks. The 'most extensive since the ceasefire' wording comes from a Persian-language outlet that fails the source standard. Excluded from all statistics. Pair 21 is permanently held out. Merged into #75 (same Sep 1-2 attack on Jordan, reported over two days).</t>
  </si>
  <si>
    <t xml:space="preserve">High (18 pts)</t>
  </si>
  <si>
    <t xml:space="preserve">Strikes 3 Iranian crude tankers (MT Kylo and others)</t>
  </si>
  <si>
    <t xml:space="preserve">3 tankers disabled - trigger: IRGC missiles at US warships</t>
  </si>
  <si>
    <t xml:space="preserve">CENTCOM 2026-09-05</t>
  </si>
  <si>
    <t xml:space="preserve">IRGC fires ballistic missiles at a US warship for the second time in two days</t>
  </si>
  <si>
    <t xml:space="preserve">Evaded, no casualties</t>
  </si>
  <si>
    <t xml:space="preserve">CENTCOM 2026-09-08; Al Jazeera 2026-09-09; Reuters 2026-09-09</t>
  </si>
  <si>
    <t xml:space="preserve">Confirmed by CENTCOM's Sep 8 release: the IRGC targeted a US warship with ballistic missiles twice over the previous two days; it evaded both, no one hurt. Exact launch times are not published.</t>
  </si>
  <si>
    <t xml:space="preserve">T15</t>
  </si>
  <si>
    <t xml:space="preserve">High (20 pts)</t>
  </si>
  <si>
    <t xml:space="preserve">CENTCOM destroys five IRGC crude oil carriers (four in the Gulf of Oman, one near Kharg Island) after the IRGC's missile attempts on a US warship</t>
  </si>
  <si>
    <t xml:space="preserve">5 tankers destroyed</t>
  </si>
  <si>
    <t xml:space="preserve">CENTCOM 2026-09-08; Reuters 2026-09-09; Al Jazeera 2026-09-09; CBS News 2026-09-09</t>
  </si>
  <si>
    <t xml:space="preserve">Date corrected from Sep 9 to Sep 8 (CENTCOM release, Reuters dateline, Al Jazeera 'late Tuesday'). The 'tanker for tanker' label was not found; Secretary of State Rubio said Iran 'is going to lose tankers'.</t>
  </si>
  <si>
    <t xml:space="preserve">Strikes Muwaffaq Salti AB: 1 A-10 loses a wing, ~8 F-15s lightly damaged</t>
  </si>
  <si>
    <t xml:space="preserve">1 A-10 lost a wing, ~8 F-15s lightly damaged (CBS, anonymous US sources; CENTCOM had not confirmed). More than 30 Patriot interceptors fired per CBS; 'roughly 30' per a US official (Reuters/AAP). Jordan: 18 of 20 missiles intercepted</t>
  </si>
  <si>
    <t xml:space="preserve">CBS News 2026-09-10; CBS News 2026-09-09; Times of Israel 2026-09-10; AAP (report by Idrees Ali, Reuters) via Newcastle Herald 2026-09-11; Al Jazeera 2026-09-09</t>
  </si>
  <si>
    <t xml:space="preserve">Sep 9 is right for Jordan local time (overnight Sep 8-9); in US time it began the evening of Sep 8. Damage details rest on anonymous US sources. The AAP/Reuters piece also cites CSIS: fewer than 850 Patriot interceptors left.</t>
  </si>
  <si>
    <t xml:space="preserve">FM Araghchi's 7-day roadmap at UNGA: ceasefire, blockade lift, Strait reopens on day 7</t>
  </si>
  <si>
    <t xml:space="preserve">Pending at time of writing</t>
  </si>
  <si>
    <t xml:space="preserve">Al Jazeera 2026-09-26</t>
  </si>
  <si>
    <t xml:space="preserve">Holding pattern</t>
  </si>
  <si>
    <t xml:space="preserve">T16</t>
  </si>
  <si>
    <t xml:space="preserve">Diplomatic rejection</t>
  </si>
  <si>
    <t xml:space="preserve">Trump rejects the proposal; officials say he expects to resume bombing after the November midterms</t>
  </si>
  <si>
    <t xml:space="preserve">Al Jazeera 2026-09-26; Times of Israel 2026-09-26</t>
  </si>
  <si>
    <t xml:space="preserve">Iran (suspected)/UK</t>
  </si>
  <si>
    <t xml:space="preserve">Terror plot (foiled)</t>
  </si>
  <si>
    <t xml:space="preserve">United Kingdom</t>
  </si>
  <si>
    <t xml:space="preserve">5 men in their 20s are arrested on Sep 27 on suspicion of explosives offences after three suspicious vehicles head toward RAF Fairford (a base used for US bombers); Rubio says it 'clearly involves the hands of a foreign actor', Trump says it 'might be' linked to Iran, and UK PM Burnham says there are 'strong indications that Iran played a part' (Iran denies)</t>
  </si>
  <si>
    <t xml:space="preserve">No casualties - plot reportedly disrupted before execution; suspects later released on bail, which Trump publicly criticized the UK over</t>
  </si>
  <si>
    <t xml:space="preserve">Stars and Stripes 2026-09-30</t>
  </si>
  <si>
    <t xml:space="preserve">Wording corrected (Stars and Stripes, Sep 30): the source does not say the men planned to do 'big damage'; it says they are suspected of planning a terrorist attack near the base. They were released on bail Sep 28 and Trump questioned the bail (re-sourced Oct 28).</t>
  </si>
  <si>
    <t xml:space="preserve">T17</t>
  </si>
  <si>
    <t xml:space="preserve">Iran (unclear/disputed)</t>
  </si>
  <si>
    <t xml:space="preserve">Strike (shipping)</t>
  </si>
  <si>
    <t xml:space="preserve">At least 3 commercial vessels struck by projectiles in the Hormuz region; IRGC says 'military conflict' continues there daily</t>
  </si>
  <si>
    <t xml:space="preserve">Al Jazeera liveblog, Sept 30</t>
  </si>
  <si>
    <t xml:space="preserve">Not re-checked</t>
  </si>
  <si>
    <t xml:space="preserve">Caution (Oct 11 check): trade press says one ship was hit the evening of Sep 28 and three tankers on Sep 29, so this row may merge two days. Not yet checked against UKMTO.</t>
  </si>
  <si>
    <t xml:space="preserve">Treasury imposes new sanctions on 10 individuals/entities for supporting Iran's military supply chain</t>
  </si>
  <si>
    <t xml:space="preserve">Al Jazeera 2026-09-29; AP 2026-09-29</t>
  </si>
  <si>
    <t xml:space="preserve">Date corrected to Sep 29 (Al Jazeera; AP via PBS): Treasury announced the sanctions on Tuesday, Sep 29, not Sep 28.</t>
  </si>
  <si>
    <t xml:space="preserve">Diplomatic proposal (counter-offer)</t>
  </si>
  <si>
    <t xml:space="preserve">US sends a formal counter-proposal via Qatari mediators responding to Iran's 7-day roadmap; US insists nuclear talks be included</t>
  </si>
  <si>
    <t xml:space="preserve">Pending Iranian review as of Sept 30</t>
  </si>
  <si>
    <t xml:space="preserve">Al Jazeera liveblog / CBS News liveblog</t>
  </si>
  <si>
    <t xml:space="preserve">Treasury sanctions Iran's automotive and rail sectors and a shadow banking network, calling the targets 'some of the last significant elements of Iran's failing industrial infrastructure'</t>
  </si>
  <si>
    <t xml:space="preserve">Treasury 2026-10-01</t>
  </si>
  <si>
    <t xml:space="preserve">Wording corrected (Treasury press release, Oct 1): Treasury says 'failing industrial infrastructure', not 'IRGC-linked industrial base', and its release does not tie the banking network to Russia, so the Russia claim was dropped (re-sourced Oct 28).</t>
  </si>
  <si>
    <t xml:space="preserve">Diplomatic statement</t>
  </si>
  <si>
    <t xml:space="preserve">Trump tells TIME Iran is 'ready to fold up'; says military action could resume after the Nov midterms if talks fail; says he doesn't believe lasting peace with Iran is possible</t>
  </si>
  <si>
    <t xml:space="preserve">n/a - rhetoric, not a formal proposal/action</t>
  </si>
  <si>
    <t xml:space="preserve">CBS News / TIME interview, Oct 1 (matcher live test)</t>
  </si>
  <si>
    <t xml:space="preserve">Force posture</t>
  </si>
  <si>
    <t xml:space="preserve">Middle East region</t>
  </si>
  <si>
    <t xml:space="preserve">3 ships carrying 7,000+ sailors and 2,000 Marines deploy to the region; projected to push US presence above 20,000 personnel plus hundreds of aircraft by month's end</t>
  </si>
  <si>
    <t xml:space="preserve">n/a - posture change, not a strike</t>
  </si>
  <si>
    <t xml:space="preserve">CBS News live updates, Oct 1 (matcher live test)</t>
  </si>
  <si>
    <t xml:space="preserve">Posture</t>
  </si>
  <si>
    <t xml:space="preserve">Iran (suspected)</t>
  </si>
  <si>
    <t xml:space="preserve">Cluster of projectile and drone attacks on tankers in and near Hormuz, Oct 2-5; Reuters' maritime security sources counted at least 12 tanker attacks in Sep 28-Oct 5, the most of any week of the war</t>
  </si>
  <si>
    <t xml:space="preserve">No deaths reported; damage not itemised (Reuters, USNI)</t>
  </si>
  <si>
    <t xml:space="preserve">Reuters 2026-10-07; USNI News 2026-10-09</t>
  </si>
  <si>
    <t xml:space="preserve">Force posture (withdrawal)</t>
  </si>
  <si>
    <t xml:space="preserve">RAF Fairford, UK</t>
  </si>
  <si>
    <t xml:space="preserve">Pentagon confirms all US bombers at RAF Fairford have returned to home bases; US officials told Reuters it was over a suspected Iranian drone-attack plot</t>
  </si>
  <si>
    <t xml:space="preserve">Reuters 2026-10-06</t>
  </si>
  <si>
    <t xml:space="preserve">Carrier George H.W. Bush leaves CENTCOM for the Pacific (port call in Phuket Oct 4), leaving the George Washington as the only US carrier in the Middle East</t>
  </si>
  <si>
    <t xml:space="preserve">The War Zone 2026-10-06</t>
  </si>
  <si>
    <t xml:space="preserve">President Pezeshkian calls negotiations with Washington 'futile', saying the US attacked Iran three times after talks</t>
  </si>
  <si>
    <t xml:space="preserve">Al Jazeera 2026-10-07; Al Jazeera 2026-10-09</t>
  </si>
  <si>
    <t xml:space="preserve">Unknown (Iran suspected)</t>
  </si>
  <si>
    <t xml:space="preserve">Panama-flagged tanker On Peace hit by a projectile while crossing the strait; India condemns the attack (possibly Oct 5)</t>
  </si>
  <si>
    <t xml:space="preserve">12 crew injured, 11 of them Indian (India's foreign ministry, via AFP and Al Jazeera)</t>
  </si>
  <si>
    <t xml:space="preserve">AFP 2026-10-06; Al Jazeera 2026-10-07; Reuters 2026-10-07</t>
  </si>
  <si>
    <t xml:space="preserve">Diplomatic demand</t>
  </si>
  <si>
    <t xml:space="preserve">VP Vance tells Reuters Iran must make a 'meaningful' cut to uranium enrichment to end the war - read by analysts as possibly softer than the earlier zero-enrichment demand</t>
  </si>
  <si>
    <t xml:space="preserve">Unknown</t>
  </si>
  <si>
    <t xml:space="preserve">Qatar (inside the Gulf)</t>
  </si>
  <si>
    <t xml:space="preserve">UKMTO reports a tanker struck off northern Qatar, well west of the strait</t>
  </si>
  <si>
    <t xml:space="preserve">Not stated by allowed sources</t>
  </si>
  <si>
    <t xml:space="preserve">USNI News 2026-10-09; Reuters 2026-10-09</t>
  </si>
  <si>
    <t xml:space="preserve">Ceasefire statement</t>
  </si>
  <si>
    <t xml:space="preserve">Trump says on Truth Social the US 'will not be attacking Iran at any time prior to the Midterm Elections' (Nov 3), citing 'productive discussions'</t>
  </si>
  <si>
    <t xml:space="preserve">AP 2026-10-08; Al Jazeera 2026-10-09</t>
  </si>
  <si>
    <t xml:space="preserve">T18</t>
  </si>
  <si>
    <t xml:space="preserve">Houthis (Iran-backed)</t>
  </si>
  <si>
    <t xml:space="preserve">Strike (proxy front)</t>
  </si>
  <si>
    <t xml:space="preserve">Houthis fire a ballistic missile at Riyadh's King Khalid airport, citing Saudi strikes on Sanaa and Hodeidah; part of the separate Saudi-Houthi front</t>
  </si>
  <si>
    <t xml:space="preserve">3 killed, several wounded (Saudi aviation authority, via Al Jazeera)</t>
  </si>
  <si>
    <t xml:space="preserve">Al Jazeera 2026-10-09</t>
  </si>
  <si>
    <t xml:space="preserve">Context row: Saudi-Houthi front, not a direct Iran-US act. Kept because an American was killed on Oct 10 and Trump said he is weighing a response.</t>
  </si>
  <si>
    <t xml:space="preserve">T19</t>
  </si>
  <si>
    <t xml:space="preserve">Diplomatic response pending</t>
  </si>
  <si>
    <t xml:space="preserve">FM Araghchi says Iran is reviewing the US counter-proposal and will answer 'within the next few days'; talks continue through mediators</t>
  </si>
  <si>
    <t xml:space="preserve">Al Jazeera 2026-10-09; AP 2026-10-08</t>
  </si>
  <si>
    <t xml:space="preserve">Unknown (no claim)</t>
  </si>
  <si>
    <t xml:space="preserve">Unidentified projectile hits the laden supertanker GEM NO.2 at anchor off the UAE, outside the Hormuz area; fire put out (UKMTO)</t>
  </si>
  <si>
    <t xml:space="preserve">Fire; crew status and damage unknown (Reuters)</t>
  </si>
  <si>
    <t xml:space="preserve">Reuters 2026-10-09; USNI News 2026-10-09</t>
  </si>
  <si>
    <t xml:space="preserve">Iran (IRGC claim)</t>
  </si>
  <si>
    <t xml:space="preserve">Strike (shipping) + threat</t>
  </si>
  <si>
    <t xml:space="preserve">IRGC Navy CLAIMS it hit the LPG carrier NV Sunshine on an 'illegal route' and warns ships using unauthorised passages</t>
  </si>
  <si>
    <t xml:space="preserve">Engine-room fire (IRGC claim via Tasnim; unverified)</t>
  </si>
  <si>
    <t xml:space="preserve">Tasnim 2026-10-09</t>
  </si>
  <si>
    <t xml:space="preserve">Iranian claim only (Tasnim); no allowed outlet confirms the hit.</t>
  </si>
  <si>
    <t xml:space="preserve">Second, deadlier missile attack shuts Riyadh airport; Trump calls it 'terrible' and says he is weighing a response</t>
  </si>
  <si>
    <t xml:space="preserve">At least 12 killed incl. one American, 309 wounded (Saudi aviation authority via Al Jazeera; CNN: at least 12 killed)</t>
  </si>
  <si>
    <t xml:space="preserve">Al Jazeera 2026-10-10; CNN 2026-10-10</t>
  </si>
  <si>
    <t xml:space="preserve">Context row: Saudi-Houthi front. One American killed; Trump said he is weighing a response. CNN read as a snippet only.</t>
  </si>
  <si>
    <t xml:space="preserve">Strike (shipping, claimed mine)</t>
  </si>
  <si>
    <t xml:space="preserve">IRGC Navy CLAIMS an unnamed supertanker on an unauthorised route hit a naval mine and caught fire, and threatens other tankers</t>
  </si>
  <si>
    <t xml:space="preserve">Fire (IRGC claim; unverified)</t>
  </si>
  <si>
    <t xml:space="preserve">Al Jazeera 2026-10-11</t>
  </si>
  <si>
    <t xml:space="preserve">Iranian claim reported by Al Jazeera; the mine strike is not independently confirmed.</t>
  </si>
  <si>
    <t xml:space="preserve">Blockade enforcement strike</t>
  </si>
  <si>
    <t xml:space="preserve">CENTCOM releases footage of a fighter jet bombing the stern of a cargo ship it says was running the blockade of Iranian ports, disabling it (strike Oct 10 or 11)</t>
  </si>
  <si>
    <t xml:space="preserve">Propulsion disabled; no casualty figure (CENTCOM, via Al Jazeera)</t>
  </si>
  <si>
    <t xml:space="preserve">UKMTO: an unidentified projectile hits an outbound tanker in the strait; separately the UAE coastguard rescues 22 crew from a tanker fire of unknown cause</t>
  </si>
  <si>
    <t xml:space="preserve">22 crew rescued; no casualties reported (Al Jazeera citing UKMTO, UAE coastguard)</t>
  </si>
  <si>
    <t xml:space="preserve">Strike (IRGC-linked boat)</t>
  </si>
  <si>
    <t xml:space="preserve">IRGC-linked shipping (Gulf of Oman)</t>
  </si>
  <si>
    <t xml:space="preserve">US forces destroy an Iranian-affiliated dhow that CENTCOM says was 'conducting surveillance and targeting U.S. Navy ships' in the Gulf of Oman; crew removed first (announced Oct 14)</t>
  </si>
  <si>
    <t xml:space="preserve">No casualties: crew removed before the boat was destroyed (CENTCOM, via Reuters/Times of Israel)</t>
  </si>
  <si>
    <t xml:space="preserve">Times of Israel 2026-10-14; Al Jazeera 2026-10-14</t>
  </si>
  <si>
    <t xml:space="preserve">Catch-up row: the strike was on Oct 6 but CENTCOM announced it only on Oct 14. Surveillance, not an attack, is what CENTCOM describes.</t>
  </si>
  <si>
    <t xml:space="preserve">Treasury sanctions 17 companies and 17 'shadow fleet' tankers carrying Iranian oil (Operation Economic Outcast)</t>
  </si>
  <si>
    <t xml:space="preserve">Treasury 2026-10-08</t>
  </si>
  <si>
    <t xml:space="preserve">Security chief Mohsen Rezaei says the US answer to Iran's seven conditions for reopening Hormuz is 'insufficient' and asks Washington to clarify points</t>
  </si>
  <si>
    <t xml:space="preserve">Times of Israel 2026-10-11; Haaretz 2026-10-12</t>
  </si>
  <si>
    <t xml:space="preserve">Iran (per CENTCOM)</t>
  </si>
  <si>
    <t xml:space="preserve">Singapore-flagged container ship GFS Pride hit by a projectile in the strait and sinks; a tanker is hit the same day (UKMTO). Iran said a mine sank it; CENTCOM said an IRGC projectile</t>
  </si>
  <si>
    <t xml:space="preserve">GFS Pride sank; all 21 crew evacuated (Singapore MPA via Reuters). No casualties reported on the tanker</t>
  </si>
  <si>
    <t xml:space="preserve">Reuters via Internazionale 2026-10-14; Al Jazeera 2026-10-14; Al Jazeera 2026-10-17; CNN 2026-10-15</t>
  </si>
  <si>
    <t xml:space="preserve">UKMTO counted 10-12 confirmed attacks on ships in the week to Oct 16 (CBS, Al Jazeera); only the incidents with details are logged as rows. Attacker per CENTCOM (IRGC); Iran claimed a mine.</t>
  </si>
  <si>
    <t xml:space="preserve">Treasury sanctions 10 entities and 16 people in Iran's shadow-banking and exchange-house network, plus Iranian religious-charity networks; State sanctions a Cuban bank serving an Iranian bank</t>
  </si>
  <si>
    <t xml:space="preserve">Treasury 2026-10-15</t>
  </si>
  <si>
    <t xml:space="preserve">Diplomatic statement (reported war plans)</t>
  </si>
  <si>
    <t xml:space="preserve">CBS: White House and Pentagon have prepared plans for a strike on Iran that could use the 'mother of all bombs'; White House says Trump 'keeps all options on the table'. Trump (Newsmax, Oct 15) rules out nuclear use and ground troops, expects a deal after the Nov 3 midterms</t>
  </si>
  <si>
    <t xml:space="preserve">CBS News 2026-10-18; Al Jazeera 2026-10-18; Al Jazeera 2026-10-15; CNN 2026-10-18</t>
  </si>
  <si>
    <t xml:space="preserve">Plans rest on unnamed sources (CBS); no decision reported. Trump's no-strike pledge before Nov 3 (#97) still stands.</t>
  </si>
  <si>
    <t xml:space="preserve">Saudi Arabia (inside the Gulf)</t>
  </si>
  <si>
    <t xml:space="preserve">Two tankers hit off Saudi Arabia, Oct 16-17: one by an unknown projectile, one by a rocket-propelled grenade from a small boat about 78 nautical miles northeast of Jubail</t>
  </si>
  <si>
    <t xml:space="preserve">Hull damage; crew of the RPG-hit tanker reported safe (CBS, Al Jazeera)</t>
  </si>
  <si>
    <t xml:space="preserve">Al Jazeera 2026-10-17; CBS News 2026-10-18; Al Jazeera 2026-10-18</t>
  </si>
  <si>
    <t xml:space="preserve">IRGC CLAIMS two supertankers, each carrying about 2 million barrels, hit naval mines on an 'unauthorised' route and caught fire (Oct 17-18); CENTCOM says the strait is cleared of mines and ships are being hit by projectiles</t>
  </si>
  <si>
    <t xml:space="preserve">Fires (IRGC claim via IRNA/Press TV; unverified). No names or casualties given</t>
  </si>
  <si>
    <t xml:space="preserve">Al Jazeera 2026-10-18; Al Jazeera 2026-10-17</t>
  </si>
  <si>
    <t xml:space="preserve">Iranian claim reported by Al Jazeera/AFP; CENTCOM disputes the mine account. Iran's army separately said two tankers caught fire in its 'prohibited zone' in the Gulf of Oman on Oct 15-16 (not logged; in the review queue).</t>
  </si>
  <si>
    <t xml:space="preserve">UKMTO: a tug is struck by two unknown projectiles off the UAE; damaged but continuing its route</t>
  </si>
  <si>
    <t xml:space="preserve">Damage; no casualties reported (CBS citing UKMTO)</t>
  </si>
  <si>
    <t xml:space="preserve">CBS News 2026-10-18</t>
  </si>
  <si>
    <t xml:space="preserve">FM Araghchi says Tehran is reviewing US 'comments' on its proposal; if the US complies, 'the Strait of Hormuz will reopen on the sixth day' and negotiations start on the seventh</t>
  </si>
  <si>
    <t xml:space="preserve">Strike (exchange with Israel)</t>
  </si>
  <si>
    <t xml:space="preserve">Iran and Israel trade fire over the weekend of Jun 6-7, the first exchange since the April ceasefire; Iran then agrees to halt attacks (see #43)</t>
  </si>
  <si>
    <t xml:space="preserve">No casualty figures in the source read</t>
  </si>
  <si>
    <t xml:space="preserve">Iraq (northern Gulf)</t>
  </si>
  <si>
    <t xml:space="preserve">UKMTO: an unknown projectile hits a tanker about 30 nautical miles southeast of Iraq's Faw port (Tuesday Oct 20, reported Oct 21)</t>
  </si>
  <si>
    <t xml:space="preserve">No damage; crew reported safe (Reuters citing UKMTO)</t>
  </si>
  <si>
    <t xml:space="preserve">Reuters 2026-10-21</t>
  </si>
  <si>
    <t xml:space="preserve">UKMTO: a tanker 11 nautical miles off Bukha, Oman, at the Strait of Hormuz, is hit by an unknown projectile and catches fire; now at anchor</t>
  </si>
  <si>
    <t xml:space="preserve">Fire; all crew reported safe (AFP citing UKMTO)</t>
  </si>
  <si>
    <t xml:space="preserve">Times of Israel 2026-10-21</t>
  </si>
  <si>
    <t xml:space="preserve">Treasury sanctions 4 entities, 5 people and 9 vessels in Iran's shadow-fleet oil network (Operation Economic Outcast)</t>
  </si>
  <si>
    <t xml:space="preserve">Treasury 2026-10-21</t>
  </si>
  <si>
    <t xml:space="preserve">Force posture (drawdown)</t>
  </si>
  <si>
    <t xml:space="preserve">State orders non-emergency staff and families out of Saudi Arabia (Oct 21), citing Houthi attacks, and on Oct 23 cuts staff at embassies in Jordan, Lebanon, Qatar and the UAE; US officials say the military is quietly reducing its footprint at Middle East posts, partly over direct threats from Iran</t>
  </si>
  <si>
    <t xml:space="preserve">CBS News 2026-10-21; Reuters 2026-10-21; CBS News 2026-10-26</t>
  </si>
  <si>
    <t xml:space="preserve">Strike (shipping, claimed)</t>
  </si>
  <si>
    <t xml:space="preserve">IRGC CLAIMS seven tankers were hit overnight into Oct 22 (four struck while transferring oil, three by mines) and warns the conflict 'will extend to' US bases if the US keeps helping tankers through; Trump says Iran is 'making up fake hits, mines'; CENTCOM says the mine claims are incorrect and Iran is using missiles and drones</t>
  </si>
  <si>
    <t xml:space="preserve">Fires and damage (IRGC claim; unverified). No names or casualties given</t>
  </si>
  <si>
    <t xml:space="preserve">PENDING - no credible source confirmed yet</t>
  </si>
  <si>
    <t xml:space="preserve">Pending</t>
  </si>
  <si>
    <t xml:space="preserve">Diplomatic statement (threat)</t>
  </si>
  <si>
    <t xml:space="preserve">Trump tells a Florida rally the US 'may do another little Epic Fury' and asks whether to 'finish it off' or let Iran 'wither' under the blockade and sanctions; Ambassador Tom Barrack says a strike 'this weekend' is 'Absolutely' possible</t>
  </si>
  <si>
    <t xml:space="preserve">CBS News 2026-10-26; Al Jazeera 2026-10-24</t>
  </si>
  <si>
    <t xml:space="preserve">Strike (shipping, claimed mine) + threat</t>
  </si>
  <si>
    <t xml:space="preserve">IRGC CLAIMS two supertankers hit mines; Iranian state TV says movement of 'non-compliant' ships through Hormuz has been halted and threatens 'much more forceful' action if US escorts resume</t>
  </si>
  <si>
    <t xml:space="preserve">Not stated (IRGC claim; unverified)</t>
  </si>
  <si>
    <t xml:space="preserve">Diplomatic statement (intelligence warning)</t>
  </si>
  <si>
    <t xml:space="preserve">Axios and the NYT report a memo from DNI Jay Clayton to Secretary Rubio saying Iran has 'substantially increased efforts to target US personnel' abroad, with plots at 'advanced stages'; Washington does not comment publicly</t>
  </si>
  <si>
    <t xml:space="preserve">Al Jazeera 2026-10-24; CBS News 2026-10-26</t>
  </si>
  <si>
    <t xml:space="preserve">Armed forces chief Ali Abdollahi says US warships will not enter the Gulf 'under any circumstances'; Iran's ambassador to Pakistan says Tehran is still open to talks under the June Pakistan-brokered interim deal</t>
  </si>
  <si>
    <t xml:space="preserve">Trump: 'do I make a deal with them, or do I finish them off?' and, asked about a strike, 'No. There will not be a strike today'</t>
  </si>
  <si>
    <t xml:space="preserve">CBS News 2026-10-26</t>
  </si>
  <si>
    <t xml:space="preserve">Diplomatic contact (via intermediaries)</t>
  </si>
  <si>
    <t xml:space="preserve">Iran's foreign ministry says messages are still being passed to the US through intermediaries; FM Araghchi says that with or without war 'our policies remain the same'</t>
  </si>
  <si>
    <t xml:space="preserve">Saudi Arabia/Pakistan/Turkey</t>
  </si>
  <si>
    <t xml:space="preserve">Diplomatic talks (regional)</t>
  </si>
  <si>
    <t xml:space="preserve">Saudi, Pakistani and Turkish officials meet in Tehran with Iran's security chief to discuss the fallout of the war and the fighting in Yemen; the US is not part of the meeting (a day after an eight-country foreign ministers' meeting in Istanbul on Oct 23 without the US or Iran)</t>
  </si>
  <si>
    <t xml:space="preserve">Al Jazeera 2026-10-26; Al Jazeera 2026-10-24</t>
  </si>
  <si>
    <t xml:space="preserve">Force posture (deployment)</t>
  </si>
  <si>
    <t xml:space="preserve">Middle East</t>
  </si>
  <si>
    <t xml:space="preserve">US sends the Abraham Lincoln carrier strike group and a bomber task force to the Middle East as a warning to Iran (Bolton)</t>
  </si>
  <si>
    <t xml:space="preserve">Al Jazeera 2019-05-06</t>
  </si>
  <si>
    <t xml:space="preserve">Maximum-pressure crisis</t>
  </si>
  <si>
    <t xml:space="preserve">Iran (suspected; a UAE-led probe blamed a 'state actor')</t>
  </si>
  <si>
    <t xml:space="preserve">Sabotage (shipping)</t>
  </si>
  <si>
    <t xml:space="preserve">UAE (off Fujairah)</t>
  </si>
  <si>
    <t xml:space="preserve">Four commercial ships, including two Saudi tankers, damaged by sabotage off Fujairah</t>
  </si>
  <si>
    <t xml:space="preserve">Hull damage; no casualties reported</t>
  </si>
  <si>
    <t xml:space="preserve">Al Jazeera 2019-05-13; AP 2019-05-12</t>
  </si>
  <si>
    <t xml:space="preserve">Iran (per US; Iran denies)</t>
  </si>
  <si>
    <t xml:space="preserve">Gulf of Oman</t>
  </si>
  <si>
    <t xml:space="preserve">Tankers Front Altair and Kokuka Courageous attacked in the Gulf of Oman; the US blames Iran, which denies it</t>
  </si>
  <si>
    <t xml:space="preserve">Fires on both tankers; crews evacuated, no deaths reported</t>
  </si>
  <si>
    <t xml:space="preserve">Al Jazeera 2019-06-14; NPR 2019-06-13</t>
  </si>
  <si>
    <t xml:space="preserve">P01</t>
  </si>
  <si>
    <t xml:space="preserve">Pentagon announces about 1,000 more troops for the Middle East, citing hostile Iranian behaviour</t>
  </si>
  <si>
    <t xml:space="preserve">CBS News 2019-06-17; PBS NewsHour 2019-06-17</t>
  </si>
  <si>
    <t xml:space="preserve">Shootdown (US drone)</t>
  </si>
  <si>
    <t xml:space="preserve">US Navy drone</t>
  </si>
  <si>
    <t xml:space="preserve">IRGC shoots down a US Navy RQ-4 Global Hawk near the Strait of Hormuz; Trump later says he called off retaliatory strikes</t>
  </si>
  <si>
    <t xml:space="preserve">Drone destroyed; no casualties</t>
  </si>
  <si>
    <t xml:space="preserve">Al Jazeera 2019-06-20; Times of Israel 2019-06-20</t>
  </si>
  <si>
    <t xml:space="preserve">P02</t>
  </si>
  <si>
    <t xml:space="preserve">Trump signs an executive order sanctioning Supreme Leader Khamenei and his office</t>
  </si>
  <si>
    <t xml:space="preserve">ABC News 2019-06-24</t>
  </si>
  <si>
    <t xml:space="preserve">Air defense (drone shot down)</t>
  </si>
  <si>
    <t xml:space="preserve">Iranian drone</t>
  </si>
  <si>
    <t xml:space="preserve">USS Boxer downs an Iranian drone that came close to it in the Strait of Hormuz, Trump says; Iran denies losing one</t>
  </si>
  <si>
    <t xml:space="preserve">Drone destroyed (US claim)</t>
  </si>
  <si>
    <t xml:space="preserve">Al Jazeera 2019-07-18; USNI News 2019-07-18</t>
  </si>
  <si>
    <t xml:space="preserve">Treasury sanctions Foreign Minister Javad Zarif</t>
  </si>
  <si>
    <t xml:space="preserve">Al Jazeera 2019-08-01; CNN 2019-07-31</t>
  </si>
  <si>
    <t xml:space="preserve">Iran (per US; the Houthis claimed it)</t>
  </si>
  <si>
    <t xml:space="preserve">Strike (oil facilities)</t>
  </si>
  <si>
    <t xml:space="preserve">Saudi Arabia (Abqaiq, Khurais)</t>
  </si>
  <si>
    <t xml:space="preserve">Drone and missile attack on Saudi oil facilities knocks out about half of Saudi output; the Houthis claim it, the US blames Iran</t>
  </si>
  <si>
    <t xml:space="preserve">No deaths reported; major damage to oil output</t>
  </si>
  <si>
    <t xml:space="preserve">CBS News 2019-09-14; Times of Israel 2019-09-14</t>
  </si>
  <si>
    <t xml:space="preserve">P03</t>
  </si>
  <si>
    <t xml:space="preserve">Treasury sanctions Iran's central bank and national development fund after the Saudi oil attack</t>
  </si>
  <si>
    <t xml:space="preserve">Al Jazeera 2019-09-20</t>
  </si>
  <si>
    <t xml:space="preserve">Saudi Arabia/UAE</t>
  </si>
  <si>
    <t xml:space="preserve">Pentagon announces troops and air-defense equipment for Saudi Arabia and the UAE after the oil attack</t>
  </si>
  <si>
    <t xml:space="preserve">NPR 2019-09-20; Axios 2019-09-20</t>
  </si>
  <si>
    <t xml:space="preserve">Kataib Hezbollah (Iran-backed, per US)</t>
  </si>
  <si>
    <t xml:space="preserve">Strike (rockets)</t>
  </si>
  <si>
    <t xml:space="preserve">K-1 base, Kirkuk (Iraq)</t>
  </si>
  <si>
    <t xml:space="preserve">Rocket attack on the K-1 base near Kirkuk kills a US contractor; the US blames Kataib Hezbollah</t>
  </si>
  <si>
    <t xml:space="preserve">1 US contractor killed; US and Iraqi personnel wounded</t>
  </si>
  <si>
    <t xml:space="preserve">Al Jazeera 2019-12-29; The War Zone 2019-12-29</t>
  </si>
  <si>
    <t xml:space="preserve">P04</t>
  </si>
  <si>
    <t xml:space="preserve">Strike (militia sites)</t>
  </si>
  <si>
    <t xml:space="preserve">Kataib Hezbollah, Iraq/Syria</t>
  </si>
  <si>
    <t xml:space="preserve">US strikes five Kataib Hezbollah sites in Iraq and Syria in retaliation for the K-1 attack</t>
  </si>
  <si>
    <t xml:space="preserve">About 25 militia fighters killed</t>
  </si>
  <si>
    <t xml:space="preserve">Kataib Hezbollah supporters (Iran-backed)</t>
  </si>
  <si>
    <t xml:space="preserve">Raid (embassy breach)</t>
  </si>
  <si>
    <t xml:space="preserve">US embassy, Baghdad</t>
  </si>
  <si>
    <t xml:space="preserve">Militia supporters storm the outer compound of the US embassy in Baghdad after the US strikes</t>
  </si>
  <si>
    <t xml:space="preserve">Property damage; no US casualties reported</t>
  </si>
  <si>
    <t xml:space="preserve">AP 2019-12-31</t>
  </si>
  <si>
    <t xml:space="preserve">Iran (IRGC Quds Force)</t>
  </si>
  <si>
    <t xml:space="preserve">US drone strike at Baghdad airport kills IRGC Quds Force commander Qassem Soleimani and militia leader Abu Mahdi al-Muhandis</t>
  </si>
  <si>
    <t xml:space="preserve">Soleimani, al-Muhandis and others killed</t>
  </si>
  <si>
    <t xml:space="preserve">Al Jazeera 2020-01-03; AP 2020-01-03</t>
  </si>
  <si>
    <t xml:space="preserve">Ain al-Asad and Erbil bases (Iraq)</t>
  </si>
  <si>
    <t xml:space="preserve">Iran fires ballistic missiles at bases housing US troops in Iraq in revenge for Soleimani</t>
  </si>
  <si>
    <t xml:space="preserve">No deaths; more than 100 US troops later diagnosed with brain injuries</t>
  </si>
  <si>
    <t xml:space="preserve">Al Jazeera 2020-01-08; PBS NewsHour 2020</t>
  </si>
  <si>
    <t xml:space="preserve">Treasury sanctions Iran's steel and metals sectors and senior officials after the missile attack</t>
  </si>
  <si>
    <t xml:space="preserve">Bloomberg 2020-01-10</t>
  </si>
  <si>
    <t xml:space="preserve">Camp Taji (Iraq)</t>
  </si>
  <si>
    <t xml:space="preserve">Rocket attack on Camp Taji kills two US troops and a British soldier</t>
  </si>
  <si>
    <t xml:space="preserve">3 killed (2 US, 1 UK)</t>
  </si>
  <si>
    <t xml:space="preserve">Stars and Stripes 2020-03-12</t>
  </si>
  <si>
    <t xml:space="preserve">P05</t>
  </si>
  <si>
    <t xml:space="preserve">Strike (militia weapons sites)</t>
  </si>
  <si>
    <t xml:space="preserve">Kataib Hezbollah, Iraq</t>
  </si>
  <si>
    <t xml:space="preserve">US strikes Kataib Hezbollah weapons storage sites in Iraq after the Taji attack</t>
  </si>
  <si>
    <t xml:space="preserve">Casualty figures not from allowed outlets</t>
  </si>
  <si>
    <t xml:space="preserve">Unknown (Iran-backed militia suspected)</t>
  </si>
  <si>
    <t xml:space="preserve">At least 25 rockets hit Camp Taji a day after the US strikes; no group named</t>
  </si>
  <si>
    <t xml:space="preserve">3 US service members (2 seriously) and 2 Iraqi soldiers wounded (AP)</t>
  </si>
  <si>
    <t xml:space="preserve">AP 2020-03-14</t>
  </si>
  <si>
    <t xml:space="preserve">Seizure (fuel cargoes)</t>
  </si>
  <si>
    <t xml:space="preserve">US seizes four Iranian fuel cargoes bound for Venezuela</t>
  </si>
  <si>
    <t xml:space="preserve">Al Jazeera 2020-08-15; Bloomberg 2020-08-14</t>
  </si>
  <si>
    <t xml:space="preserve">Shadow conflict</t>
  </si>
  <si>
    <t xml:space="preserve">Strike (militia facilities)</t>
  </si>
  <si>
    <t xml:space="preserve">Iran-backed militias, eastern Syria</t>
  </si>
  <si>
    <t xml:space="preserve">First strikes under Biden hit facilities used by Iran-backed militias at a Syria-Iraq border crossing, after a rocket attack in Erbil</t>
  </si>
  <si>
    <t xml:space="preserve">AP 2021-02-25</t>
  </si>
  <si>
    <t xml:space="preserve">Iran-backed militias, Iraq-Syria border</t>
  </si>
  <si>
    <t xml:space="preserve">US strikes facilities used by Iran-backed militias near the Iraq-Syria border</t>
  </si>
  <si>
    <t xml:space="preserve">Stars and Stripes 2021-06-28</t>
  </si>
  <si>
    <t xml:space="preserve">P06</t>
  </si>
  <si>
    <t xml:space="preserve">US forces, eastern Syria</t>
  </si>
  <si>
    <t xml:space="preserve">Rockets fired at US forces in eastern Syria the day after the US strikes</t>
  </si>
  <si>
    <t xml:space="preserve">No US injuries reported</t>
  </si>
  <si>
    <t xml:space="preserve">Stars and Stripes 2021-06-28; AP 2021-06-28</t>
  </si>
  <si>
    <t xml:space="preserve">Strike (militia bunkers)</t>
  </si>
  <si>
    <t xml:space="preserve">IRGC-backed militias, Deir ez-Zor (Syria)</t>
  </si>
  <si>
    <t xml:space="preserve">US strikes bunkers in Deir ez-Zor used by militias backed by the IRGC; the US later says 4 militia members were killed</t>
  </si>
  <si>
    <t xml:space="preserve">4 militia members killed (US)</t>
  </si>
  <si>
    <t xml:space="preserve">AP 2022-08-25; Al Jazeera 2022-08-24</t>
  </si>
  <si>
    <t xml:space="preserve">P07</t>
  </si>
  <si>
    <t xml:space="preserve">Militias (Iran-backed, per US)</t>
  </si>
  <si>
    <t xml:space="preserve">US bases, northeast Syria</t>
  </si>
  <si>
    <t xml:space="preserve">Militia rockets hit Green Village and the Conoco gas field within hours of the US strikes</t>
  </si>
  <si>
    <t xml:space="preserve">3 US service members treated for minor injuries (AP)</t>
  </si>
  <si>
    <t xml:space="preserve">AP 2022-08-25</t>
  </si>
  <si>
    <t xml:space="preserve">Militia (Iranian-made drone, per US)</t>
  </si>
  <si>
    <t xml:space="preserve">Strike (drone)</t>
  </si>
  <si>
    <t xml:space="preserve">US facility near Hasakah (Syria)</t>
  </si>
  <si>
    <t xml:space="preserve">A drone of Iranian origin hits a US maintenance facility near Hasakah, killing a US contractor</t>
  </si>
  <si>
    <t xml:space="preserve">1 US contractor killed; 5 US troops and another contractor wounded</t>
  </si>
  <si>
    <t xml:space="preserve">ABC News 2023-03-24; ABC News 2023-03-23</t>
  </si>
  <si>
    <t xml:space="preserve">P08</t>
  </si>
  <si>
    <t xml:space="preserve">Strike (IRGC-affiliated facilities)</t>
  </si>
  <si>
    <t xml:space="preserve">IRGC-affiliated groups, eastern Syria</t>
  </si>
  <si>
    <t xml:space="preserve">US F-15s strike facilities in eastern Syria used by groups affiliated with the IRGC</t>
  </si>
  <si>
    <t xml:space="preserve">No deaths reported by allowed outlets</t>
  </si>
  <si>
    <t xml:space="preserve">ABC News 2023-03-24</t>
  </si>
  <si>
    <t xml:space="preserve">Militias (Iran-backed, suspected)</t>
  </si>
  <si>
    <t xml:space="preserve">Strike (rockets and drones)</t>
  </si>
  <si>
    <t xml:space="preserve">Rockets and drones target US bases in northeast Syria the day after the US strikes</t>
  </si>
  <si>
    <t xml:space="preserve">1 US service member wounded (ABC)</t>
  </si>
  <si>
    <t xml:space="preserve">Seizure (tanker)</t>
  </si>
  <si>
    <t xml:space="preserve">Shipping (Gulf of Oman)</t>
  </si>
  <si>
    <t xml:space="preserve">IRGC Navy seizes the US-bound tanker Advantage Sweet in the Gulf of Oman</t>
  </si>
  <si>
    <t xml:space="preserve">Ship and crew held</t>
  </si>
  <si>
    <t xml:space="preserve">Al Jazeera 2023-04-27; Al Jazeera 2023-04-29</t>
  </si>
  <si>
    <t xml:space="preserve">Gulf region</t>
  </si>
  <si>
    <t xml:space="preserve">Pentagon sends a destroyer, F-35s and F-16s to protect merchant ships after Iranian seizure attempts</t>
  </si>
  <si>
    <t xml:space="preserve">USNI News 2023-07-17; Al Jazeera 2023-07-15</t>
  </si>
  <si>
    <t xml:space="preserve">Diplomatic proposal (prisoner deal)</t>
  </si>
  <si>
    <t xml:space="preserve">US and Iran agree a prisoner swap that releases about $6 billion in frozen Iranian funds (completed Sep 18)</t>
  </si>
  <si>
    <t xml:space="preserve">AP 2023-09-11; Al Jazeera 2023-09-12</t>
  </si>
  <si>
    <t xml:space="preserve">Strike (IRGC-linked facilities)</t>
  </si>
  <si>
    <t xml:space="preserve">IRGC and affiliated groups, eastern Syria</t>
  </si>
  <si>
    <t xml:space="preserve">US strikes two facilities in eastern Syria used by the IRGC and affiliated groups after attacks on US forces</t>
  </si>
  <si>
    <t xml:space="preserve">Axios 2023-10-27</t>
  </si>
  <si>
    <t xml:space="preserve">Strike (IRGC-linked weapons storage)</t>
  </si>
  <si>
    <t xml:space="preserve">US strikes an IRGC-linked weapons storage facility in eastern Syria</t>
  </si>
  <si>
    <t xml:space="preserve">Al Jazeera 2023-11-09</t>
  </si>
  <si>
    <t xml:space="preserve">Erbil air base (Iraq)</t>
  </si>
  <si>
    <t xml:space="preserve">Drone attack on Erbil air base wounds three US service members</t>
  </si>
  <si>
    <t xml:space="preserve">3 US service members wounded, one critically</t>
  </si>
  <si>
    <t xml:space="preserve">CBS News 2023-12-25</t>
  </si>
  <si>
    <t xml:space="preserve">P09</t>
  </si>
  <si>
    <t xml:space="preserve">US strikes three sites used by Kataib Hezbollah after the Erbil drone attack</t>
  </si>
  <si>
    <t xml:space="preserve">Al Jazeera 2023-12-26; CBS News 2023-12-25</t>
  </si>
  <si>
    <t xml:space="preserve">Strike (militia commander)</t>
  </si>
  <si>
    <t xml:space="preserve">Harakat al-Nujaba, Baghdad</t>
  </si>
  <si>
    <t xml:space="preserve">US drone strike in Baghdad kills a Harakat al-Nujaba commander</t>
  </si>
  <si>
    <t xml:space="preserve">Commander killed</t>
  </si>
  <si>
    <t xml:space="preserve">NPR 2024-01-04</t>
  </si>
  <si>
    <t xml:space="preserve">Islamic Resistance in Iraq (Iran-backed)</t>
  </si>
  <si>
    <t xml:space="preserve">Tower 22 (Jordan)</t>
  </si>
  <si>
    <t xml:space="preserve">Drone attack on Tower 22 in Jordan kills three US soldiers and wounds dozens</t>
  </si>
  <si>
    <t xml:space="preserve">3 US soldiers killed, dozens wounded</t>
  </si>
  <si>
    <t xml:space="preserve">Al Jazeera 2024-01-29</t>
  </si>
  <si>
    <t xml:space="preserve">P10</t>
  </si>
  <si>
    <t xml:space="preserve">Kataib Hezbollah (Iran-backed)</t>
  </si>
  <si>
    <t xml:space="preserve">Pause announcement</t>
  </si>
  <si>
    <t xml:space="preserve">US forces</t>
  </si>
  <si>
    <t xml:space="preserve">Kataib Hezbollah announces it is suspending attacks on US forces</t>
  </si>
  <si>
    <t xml:space="preserve">Al Jazeera 2024-01-31; Times of Israel 2024-01-30</t>
  </si>
  <si>
    <t xml:space="preserve">Strike (IRGC Quds Force and militia sites)</t>
  </si>
  <si>
    <t xml:space="preserve">IRGC Quds Force and affiliated militias, Iraq/Syria</t>
  </si>
  <si>
    <t xml:space="preserve">US strikes more than 85 targets in Iraq and Syria linked to the IRGC Quds Force and affiliated militias, in retaliation for Tower 22</t>
  </si>
  <si>
    <t xml:space="preserve">Deaths reported by Iraq and Syria; figures not from allowed outlets</t>
  </si>
  <si>
    <t xml:space="preserve">AP 2024-02-02; Bloomberg 2024-02-02</t>
  </si>
  <si>
    <t xml:space="preserve">Al-Omar base (Syria)</t>
  </si>
  <si>
    <t xml:space="preserve">Drone attack on al-Omar base, which houses US troops, kills six US-allied Kurdish fighters</t>
  </si>
  <si>
    <t xml:space="preserve">6 SDF fighters killed; no US troops hurt (AP)</t>
  </si>
  <si>
    <t xml:space="preserve">AP 2024-02-05</t>
  </si>
  <si>
    <t xml:space="preserve">Kataib Hezbollah commander, Baghdad</t>
  </si>
  <si>
    <t xml:space="preserve">US drone strike in Baghdad kills a senior Kataib Hezbollah commander</t>
  </si>
  <si>
    <t xml:space="preserve">Commander and others killed</t>
  </si>
  <si>
    <t xml:space="preserve">Al Jazeera 2024-02-07</t>
  </si>
  <si>
    <t xml:space="preserve">Strike (direct attack on Israel)</t>
  </si>
  <si>
    <t xml:space="preserve">Iran launches hundreds of drones and missiles at Israel in its first direct attack; US forces help intercept them</t>
  </si>
  <si>
    <t xml:space="preserve">Most intercepted</t>
  </si>
  <si>
    <t xml:space="preserve">Al Jazeera 2024-04-13</t>
  </si>
  <si>
    <t xml:space="preserve">P11</t>
  </si>
  <si>
    <t xml:space="preserve">US and UK sanction Iran's drone program after the attack on Israel</t>
  </si>
  <si>
    <t xml:space="preserve">AP 2024-04-18</t>
  </si>
  <si>
    <t xml:space="preserve">Strike (missiles at Israel)</t>
  </si>
  <si>
    <t xml:space="preserve">Iran fires dozens of ballistic missiles at Israel</t>
  </si>
  <si>
    <t xml:space="preserve">Al Jazeera 2024-10-01</t>
  </si>
  <si>
    <t xml:space="preserve">P12</t>
  </si>
  <si>
    <t xml:space="preserve">US sends a THAAD missile-defense battery and troops to operate it to Israel</t>
  </si>
  <si>
    <t xml:space="preserve">Al Jazeera 2024-10-13; Axios 2024-10-13</t>
  </si>
  <si>
    <t xml:space="preserve">Sanctions response (maximum pressure)</t>
  </si>
  <si>
    <t xml:space="preserve">Trump signs a memorandum restoring 'maximum pressure' on Iran, aiming to drive its oil exports to zero</t>
  </si>
  <si>
    <t xml:space="preserve">Al Jazeera 2025-02-06</t>
  </si>
  <si>
    <t xml:space="preserve">First round of US-Iran nuclear talks in Muscat (Witkoff and Araghchi), mediated by Oman</t>
  </si>
  <si>
    <t xml:space="preserve">Axios 2025-04-12; Al Jazeera 2025-04-12</t>
  </si>
  <si>
    <t xml:space="preserve">Second round of talks in Rome; both sides report progress</t>
  </si>
  <si>
    <t xml:space="preserve">Al Jazeera 2025-04-19</t>
  </si>
  <si>
    <t xml:space="preserve">Third round of talks in Muscat, with expert-level meetings</t>
  </si>
  <si>
    <t xml:space="preserve">Fourth round of talks in Muscat; Iran calls it 'difficult but useful'</t>
  </si>
  <si>
    <t xml:space="preserve">AP 2025-05-11</t>
  </si>
  <si>
    <t xml:space="preserve">Fifth round of talks in Rome ends without a breakthrough</t>
  </si>
  <si>
    <t xml:space="preserve">Al Jazeera 2025-05-23</t>
  </si>
  <si>
    <t xml:space="preserve">Israel launches strikes on Iranian nuclear and military sites, starting a 12-day war</t>
  </si>
  <si>
    <t xml:space="preserve">n/a in this log</t>
  </si>
  <si>
    <t xml:space="preserve">Al Jazeera 2025-06-14</t>
  </si>
  <si>
    <t xml:space="preserve">Twelve-day war</t>
  </si>
  <si>
    <t xml:space="preserve">P13</t>
  </si>
  <si>
    <t xml:space="preserve">Iran answers with waves of ballistic missiles at Israel, which continue until the Jun 24 ceasefire</t>
  </si>
  <si>
    <t xml:space="preserve">Deaths in Israel (figures not from allowed outlets)</t>
  </si>
  <si>
    <t xml:space="preserve">Strike (nuclear sites)</t>
  </si>
  <si>
    <t xml:space="preserve">Iran (Fordow, Natanz, Isfahan)</t>
  </si>
  <si>
    <t xml:space="preserve">Operation Midnight Hammer: US bombers and missiles strike Iran's Fordow, Natanz and Isfahan nuclear sites</t>
  </si>
  <si>
    <t xml:space="preserve">Heavy damage claimed by the US; no casualty figures</t>
  </si>
  <si>
    <t xml:space="preserve">Al Jazeera 2025-06-22</t>
  </si>
  <si>
    <t xml:space="preserve">Al Udeid air base (Qatar)</t>
  </si>
  <si>
    <t xml:space="preserve">Iran fires 19 missiles at Al Udeid air base; one hits; Trump thanks Iran for 'early notice'</t>
  </si>
  <si>
    <t xml:space="preserve">No deaths or injuries (Al Jazeera)</t>
  </si>
  <si>
    <t xml:space="preserve">Al Jazeera 2025-06-23</t>
  </si>
  <si>
    <t xml:space="preserve">Israel/Iran</t>
  </si>
  <si>
    <t xml:space="preserve">Trump announces a ceasefire between Israel and Iran, phased in over 24 hours</t>
  </si>
  <si>
    <t xml:space="preserve">Largest US sanctions on Iran since 2018 target a shipping network linked to the son of senior official Ali Shamkhani</t>
  </si>
  <si>
    <t xml:space="preserve">Al Jazeera 2025-07-31</t>
  </si>
  <si>
    <t xml:space="preserve">A US 'armada' led by the Abraham Lincoln carrier group forms in the Middle East as Washington and Tehran trade threats</t>
  </si>
  <si>
    <t xml:space="preserve">Al Jazeera 2026-01-27</t>
  </si>
  <si>
    <t xml:space="preserve">US-Iran nuclear talks open in Oman</t>
  </si>
  <si>
    <t xml:space="preserve">Al Jazeera 2026-02-06</t>
  </si>
  <si>
    <t xml:space="preserve">Trump orders a second aircraft carrier to the Middle East</t>
  </si>
  <si>
    <t xml:space="preserve">Al Jazeera 2026-02-13</t>
  </si>
  <si>
    <t xml:space="preserve">US-Iran nuclear talks resume in Geneva</t>
  </si>
  <si>
    <t xml:space="preserve">Bloomberg Government 2026-02</t>
  </si>
  <si>
    <t xml:space="preserve">Ain al-Asad air base (Iraq)</t>
  </si>
  <si>
    <t xml:space="preserve">Rockets hit Ain al-Asad air base, which hosts US troops; a US civilian contractor dies during the attack</t>
  </si>
  <si>
    <t xml:space="preserve">1 US civilian contractor died (NPR)</t>
  </si>
  <si>
    <t xml:space="preserve">NPR 2021-03-03; CBS News 2021-03-03</t>
  </si>
  <si>
    <t xml:space="preserve">Seizure (weapons shipment)</t>
  </si>
  <si>
    <t xml:space="preserve">Iranian arms bound for the Houthis (Arabian Sea)</t>
  </si>
  <si>
    <t xml:space="preserve">USS Normandy's boarding team seizes 150 Iranian-made Dehlavieh anti-tank missiles, 3 Iranian-made surface-to-air missiles and other parts from a dhow (seized Feb 9, announced Feb 13; logged on the announcement date)</t>
  </si>
  <si>
    <t xml:space="preserve">USNI News 2020-02-13; Al Jazeera 2020-02-13</t>
  </si>
  <si>
    <t xml:space="preserve">Iranian arms bound for the Houthis (Gulf of Oman)</t>
  </si>
  <si>
    <t xml:space="preserve">US Navy patrol ships intercept a fishing vessel carrying 2,116 AK-47s on a route from Iran to Yemen (seized Jan 6, announced Jan 10; logged on the announcement date)</t>
  </si>
  <si>
    <t xml:space="preserve">NAVCENT 2023-01-10; NBC News 2023-01</t>
  </si>
  <si>
    <t xml:space="preserve">Pair ID</t>
  </si>
  <si>
    <t xml:space="preserve">Trigger Date</t>
  </si>
  <si>
    <t xml:space="preserve">Trigger Actor</t>
  </si>
  <si>
    <t xml:space="preserve">Trigger Action</t>
  </si>
  <si>
    <t xml:space="preserve">Response ID</t>
  </si>
  <si>
    <t xml:space="preserve">Response Date</t>
  </si>
  <si>
    <t xml:space="preserve">Response Actor</t>
  </si>
  <si>
    <t xml:space="preserve">Response Action</t>
  </si>
  <si>
    <t xml:space="preserve">Response Time (days)</t>
  </si>
  <si>
    <t xml:space="preserve">Trigger Category</t>
  </si>
  <si>
    <t xml:space="preserve">Response Caused Casualties</t>
  </si>
  <si>
    <t xml:space="preserve">Notes</t>
  </si>
  <si>
    <t xml:space="preserve">Personnel/Casualty</t>
  </si>
  <si>
    <t xml:space="preserve">Y</t>
  </si>
  <si>
    <t xml:space="preserve">Iran's opening retaliation wave, same day as the initial US/Israeli strikes that killed Khamenei and, per Iranian officials, 168-175 at a school</t>
  </si>
  <si>
    <t xml:space="preserve">Military/Property</t>
  </si>
  <si>
    <t xml:space="preserve">N</t>
  </si>
  <si>
    <t xml:space="preserve">Retaliation against a symbolic/soft target (embassy annex) rather than in kind</t>
  </si>
  <si>
    <t xml:space="preserve">Iran hits Israeli nuclear-adjacent sites in response to a US strike on Natanz</t>
  </si>
  <si>
    <t xml:space="preserve">Retaliation for Israel's strike that it says killed the IRGC Navy commander and its intelligence chief (Iran confirmed only the commander, Mar 30)</t>
  </si>
  <si>
    <t xml:space="preserve">Political/Diplomatic</t>
  </si>
  <si>
    <t xml:space="preserve">Iran treats an Israeli action as breaking a US-brokered ceasefire</t>
  </si>
  <si>
    <t xml:space="preserve">Failed talks preceded the US blockade decision</t>
  </si>
  <si>
    <t xml:space="preserve">Economic/Blockade</t>
  </si>
  <si>
    <t xml:space="preserve">Iran reopens hostilities citing the new US blockade</t>
  </si>
  <si>
    <t xml:space="preserve">Direct tit-for-tat ship seizures</t>
  </si>
  <si>
    <t xml:space="preserve">US strikes back same day after its destroyers are attacked (no casualties)</t>
  </si>
  <si>
    <t xml:space="preserve">Iran/US disagree on mechanism, but timing ties this to the preceding Israeli strike that killed air-defense personnel</t>
  </si>
  <si>
    <t xml:space="preserve">US retaliates for the downed Apache within hours (crew survived)</t>
  </si>
  <si>
    <t xml:space="preserve">Iran retaliates against Jordan for the US's Qeshm/Sirik counterstrikes</t>
  </si>
  <si>
    <t xml:space="preserve">First MOU violation (drone hits a cargo ship, no injuries) draws a same-week US retaliatory strike</t>
  </si>
  <si>
    <t xml:space="preserve">Iran answers the US retaliation with fire at Bahrain/Kuwait (Axios says both sides then agreed to halt Jun 29; AP mentions no pause)</t>
  </si>
  <si>
    <t xml:space="preserve">US chooses a non-kinetic (sanctions) response to a major MOU violation</t>
  </si>
  <si>
    <t xml:space="preserve">Ceasefire declared over, followed immediately by the most intense US strike wave since April</t>
  </si>
  <si>
    <t xml:space="preserve">Iran hits Jordan the day after the 90-target US strike wave</t>
  </si>
  <si>
    <t xml:space="preserve">A second, five-country Iranian response to the same US escalation, days later</t>
  </si>
  <si>
    <t xml:space="preserve">Larak Island strike (Iran reports unspecified casualties) draws 'Punishment of the Aggressor' response within a day</t>
  </si>
  <si>
    <t xml:space="preserve">Sirik/Kuhestak strike (about 4-5 killed per Iranian figures, which vary) draws an Iranian missile salvo at Jordan within a day</t>
  </si>
  <si>
    <t xml:space="preserve">US retaliates against Iranian tankers after IRGC targets a US warship twice (missiles evaded, no casualties)</t>
  </si>
  <si>
    <t xml:space="preserve">Iran hits back at Jordan within roughly a day of the US destroying 5 Iranian crude carriers (crews were told to abandon ship first)</t>
  </si>
  <si>
    <t xml:space="preserve">US rejects Iran's ceasefire roadmap days after it is proposed</t>
  </si>
  <si>
    <t xml:space="preserve">Despite the flat rejection, the US comes back with a formal counter-proposal 3 days later via Qatari mediators - talks continue rather than collapsing</t>
  </si>
  <si>
    <t xml:space="preserve">US answers the deadly K-1 rocket attack with strikes on Kataib Hezbollah two days later</t>
  </si>
  <si>
    <t xml:space="preserve">Militia supporters storm the US embassy compound two days after the strikes</t>
  </si>
  <si>
    <t xml:space="preserve">Iran's missile revenge for Soleimani: no deaths, but more than 100 US troops with brain injuries</t>
  </si>
  <si>
    <t xml:space="preserve">US strikes Kataib Hezbollah the day after two US troops are killed at Taji</t>
  </si>
  <si>
    <t xml:space="preserve">Rockets hit Taji again two days after the US strikes (no group named)</t>
  </si>
  <si>
    <t xml:space="preserve">Rockets at US forces in Syria the day after strikes on militia facilities</t>
  </si>
  <si>
    <t xml:space="preserve">Militia rockets hit two US bases within hours of the US strikes</t>
  </si>
  <si>
    <t xml:space="preserve">US strikes IRGC-affiliated facilities hours after a drone kills a US contractor</t>
  </si>
  <si>
    <t xml:space="preserve">Rockets and drones at US bases the day after the US strikes</t>
  </si>
  <si>
    <t xml:space="preserve">US strikes 85+ targets five days after three US soldiers are killed at Tower 22</t>
  </si>
  <si>
    <t xml:space="preserve">Iran-backed group's drone kills 6 US-allied fighters two days after the US strikes</t>
  </si>
  <si>
    <t xml:space="preserve">Iran answers the strikes on its nuclear sites with a telegraphed missile attack on Al Udeid</t>
  </si>
  <si>
    <t xml:space="preserve">Average response time (days):</t>
  </si>
  <si>
    <t xml:space="preserve">Median response time (days):</t>
  </si>
  <si>
    <t xml:space="preserve">Number of pairs (n):</t>
  </si>
  <si>
    <t xml:space="preserve">Share responded within 1 day:</t>
  </si>
  <si>
    <t xml:space="preserve">Pairs on hold (not counted in any statistic):</t>
  </si>
  <si>
    <t xml:space="preserve">Pair 21: trigger #75 -&gt; response #76 (Military/Property). Iran follows up with a larger second wave the next day, after a strike that destroyed aircraft but killed no one Held because: event #76 is likely a duplicate of #75.</t>
  </si>
  <si>
    <t xml:space="preserve">Which factor drives a fast, reliable response?</t>
  </si>
  <si>
    <t xml:space="preserve">Each action-reaction pair is tagged by what kind of cost the trigger imposed on the side that responded. Grouping by that tag shows which kind of cost provokes the fastest, most reliable comeback - this is the closest thing this dataset has to 'which factor the country weighs most.'</t>
  </si>
  <si>
    <t xml:space="preserve">n (pairs)</t>
  </si>
  <si>
    <t xml:space="preserve">Mean response time (days)</t>
  </si>
  <si>
    <t xml:space="preserve">Share responded within 1 day</t>
  </si>
  <si>
    <t xml:space="preserve">95% CI low</t>
  </si>
  <si>
    <t xml:space="preserve">95% CI high</t>
  </si>
  <si>
    <t xml:space="preserve">Share responded within 2 days</t>
  </si>
  <si>
    <t xml:space="preserve">Share of responses that cause casualties</t>
  </si>
  <si>
    <t xml:space="preserve">Reading this table: 'Personnel/Casualty' pairs are triggers that killed or injured someone (an assassination, a strike that hit a school or a wedding, an attack on air-defense crews). 'Economic/Blockade' pairs are triggers about ships, seizures, sanctions, or oil - no one was hurt.</t>
  </si>
  <si>
    <t xml:space="preserve">What it shows, two ways: (1) SPEED/RELIABILITY - triggers that cost human lives get answered faster and more reliably than triggers that only cost money or equipment; economic/blockade moves are the slowest and least certain. (2) COST OF THE COMEBACK - the last column shows how often the response itself produces real casualties, not just a symbolic hit. Personnel/Casualty triggers are answered both fastest AND with the highest chance of a genuinely costly response. Economic/Blockade and Political/Diplomatic triggers have never (in this dataset) drawn a response that killed or injured anyone - the retaliation happens, but it stays contained to property and equipment.</t>
  </si>
  <si>
    <t xml:space="preserve">The 95% CI columns are Wilson score intervals on the 'within 1 day' share - the honest range given how few examples each category has. Notice how wide these are (often 30-40 points wide) for the n=4-5 categories - that's the real uncertainty, not a flaw in the formula. Treat the RANKING across categories as solid; treat any single percentage as a rough midpoint of a wide range.</t>
  </si>
  <si>
    <t xml:space="preserve">Sample-size warning: each group has 4-10 pairs. This is a real, directionally consistent pattern, not a precise coefficient.</t>
  </si>
  <si>
    <t xml:space="preserve">Important limit: every share on this sheet is measured only among pairs where a reply happened. It says how fast and how costly replies are, not whether one comes. For the chance a reply happens at all, see the Trigger Census sheet.</t>
  </si>
  <si>
    <t xml:space="preserve">How often does a hostile act actually get a reply?</t>
  </si>
  <si>
    <t xml:space="preserve">Factor Analysis only sees pairs where a reply happened, so it overstates how reliable replies are. This sheet lists every countable hostile act (strikes, seizures, blockade moves, sanctions) and whether the other side hit back within about 5 days - including the ones where nothing followed. Diplomatic moves are not covered.</t>
  </si>
  <si>
    <t xml:space="preserve">Acts counted</t>
  </si>
  <si>
    <t xml:space="preserve">Got a reply</t>
  </si>
  <si>
    <t xml:space="preserve">No reply found</t>
  </si>
  <si>
    <t xml:space="preserve">Unclear</t>
  </si>
  <si>
    <t xml:space="preserve">Unverified (not counted)</t>
  </si>
  <si>
    <t xml:space="preserve">P(any reply) LOW</t>
  </si>
  <si>
    <t xml:space="preserve">P(any reply) BEST</t>
  </si>
  <si>
    <t xml:space="preserve">P(any reply) HIGH</t>
  </si>
  <si>
    <t xml:space="preserve">95% CI low (BEST)</t>
  </si>
  <si>
    <t xml:space="preserve">95% CI high (BEST)</t>
  </si>
  <si>
    <t xml:space="preserve">PROVISIONAL. These statuses were first assigned from the Wikipedia-based log and a research pass that used some weak outlets. The log has since been re-sourced to credible outlets (see Event Log column K), which found real errors. Most unclear census rows have now been re-checked (see Evidence quality); a few Unverified rows are still left out of the rates. Many 'reply' calls are R-weak, meaning only timing links the reply to the act. Treat every rate on this sheet as a rough draft. Samples are tiny (about 4-12 acts per category), so the ranges matter more than the point estimates.</t>
  </si>
  <si>
    <t xml:space="preserve">Continuous-fighting rule: triggers dated Feb 28-Apr 7 and Jul 7-25 are excluded (except the acts that started those stretches), because while both sides strike each other daily every act is automatically 'answered'. The exclusion list at the bottom names every row moved out.</t>
  </si>
  <si>
    <t xml:space="preserve">Status codes: R-strong = reply is in the log with an explicit link. R-weak = a distinct hostile act followed within 5 days but only timing links it. N = checked against outside sources, no reply found (a pause, talks, or rhetoric only). Unclear = sources conflict or are too thin. Unverified = not checked yet, so left out of every rate below.</t>
  </si>
  <si>
    <t xml:space="preserve">Three estimates because the coding involves judgment. LOW counts only R-strong as replies and treats R-weak, N and Unclear all as no reply. BEST counts R-strong and R-weak as replies and ignores Unclear. HIGH also counts every Unclear as a reply. If a conclusion only holds under one of the three, it is not solid.</t>
  </si>
  <si>
    <t xml:space="preserve">The 95% CI is a Wilson interval around the BEST estimate and shows the sampling uncertainty on top of that judgment range. Samples are small (10-13 acts per category), so treat these as ranges, not points.</t>
  </si>
  <si>
    <t xml:space="preserve">Preliminary: the rows marked Unverified (see the Unverified column) have not been checked against outside sources. They are left out of the rates, not assumed to be replies or non-replies.</t>
  </si>
  <si>
    <t xml:space="preserve">What happened</t>
  </si>
  <si>
    <t xml:space="preserve">Status</t>
  </si>
  <si>
    <t xml:space="preserve">Evidence / note</t>
  </si>
  <si>
    <t xml:space="preserve">Evidence quality</t>
  </si>
  <si>
    <t xml:space="preserve">R-strong</t>
  </si>
  <si>
    <t xml:space="preserve">Opening wave; Iran's big retaliation came the same day (pair 1). The act that started the war counts; the rest of Feb 28-Mar 4 is excluded.</t>
  </si>
  <si>
    <t xml:space="preserve">Trigger: Corrected. Reply #5: Partly verified</t>
  </si>
  <si>
    <t xml:space="preserve">R-weak</t>
  </si>
  <si>
    <t xml:space="preserve">Iran keeps the Strait mostly shut after the Apr 8 ceasefire, citing Lebanon strikes. The US announced its blockade Apr 12 (in force Apr 13), but outlets tie it to the collapse of the Islamabad talks, not to Iran's restriction. Timing only.</t>
  </si>
  <si>
    <t xml:space="preserve">Re-checked (Times of Israel, NPR snippets, Al Jazeera): blockade came Apr 12-13, tied to failed talks. NPR pages were seen only as snippets.</t>
  </si>
  <si>
    <t xml:space="preserve">US destroyers transit the Strait, Apr 11-12. Iran only issued warnings; no kinetic action found Apr 11-16.</t>
  </si>
  <si>
    <t xml:space="preserve">Re-checked (Reuters Apr 12, USNI, The War Zone, NPR): only an IRGC warning; no Iranian attacks Apr 11-17.</t>
  </si>
  <si>
    <t xml:space="preserve">US blockade begins -&gt; Iran closes the Strait again (pair 7).</t>
  </si>
  <si>
    <t xml:space="preserve">Trigger: Verified. Reply #36: Verified</t>
  </si>
  <si>
    <t xml:space="preserve">Iran re-closes the Strait Apr 18 over the US blockade. The US seized the container ship Touska about Apr 19 (NPR), but NPR does not say it answers the closure; it is blockade enforcement that was already under way. Timing only.</t>
  </si>
  <si>
    <t xml:space="preserve">Re-checked (NPR, Al Jazeera): Touska seized about Apr 19; NPR does not link it to the closure.</t>
  </si>
  <si>
    <t xml:space="preserve">US tanker seizures -&gt; Iran seizes two container ships (pair 8).</t>
  </si>
  <si>
    <t xml:space="preserve">Trigger: Corrected. Reply #38: Verified</t>
  </si>
  <si>
    <t xml:space="preserve">Unverified</t>
  </si>
  <si>
    <t xml:space="preserve">Iran seizes two container ships, Apr 22. US reply not checked yet.</t>
  </si>
  <si>
    <t xml:space="preserve">Trigger: Verified. Status itself pending credible re-verification</t>
  </si>
  <si>
    <t xml:space="preserve">Project Freedom began May 4 (paused May 5). Iran hit the UAE, a tanker and a cargo ship May 4 (CBS, Al Jazeera), but Al Jazeera stops short of calling it retaliation. Timing only.</t>
  </si>
  <si>
    <t xml:space="preserve">Re-checked (CBS, Al Jazeera): Iran attacked the UAE and ships May 4; no outlet calls it retaliation.</t>
  </si>
  <si>
    <t xml:space="preserve">Iran attacks 3 US destroyers -&gt; US strikes back same day (pair 9).</t>
  </si>
  <si>
    <t xml:space="preserve">Trigger: Verified. Reply #42: Verified</t>
  </si>
  <si>
    <t xml:space="preserve">US strikes near Bandar Abbas/Qeshm, May 7. The UAE said it intercepted Iranian missiles and drones May 8 (Reuters), but Iran claimed no reply and CENTCOM disputed Iran's claimed counterattack. Weak call.</t>
  </si>
  <si>
    <t xml:space="preserve">Re-checked (Reuters): weak. Reply is the UAE intercepting Iranian missiles May 8, which Iran did not claim.</t>
  </si>
  <si>
    <t xml:space="preserve">Israeli strike kills air-defense crews -&gt; Iran downs a US Apache (pair 10).</t>
  </si>
  <si>
    <t xml:space="preserve">Trigger: Corrected. Reply #45: Corrected</t>
  </si>
  <si>
    <t xml:space="preserve">Apache downed -&gt; US self-defense strikes within hours (pair 11).</t>
  </si>
  <si>
    <t xml:space="preserve">Trigger: Corrected. Reply #46: Corrected</t>
  </si>
  <si>
    <t xml:space="preserve">US self-defense strikes -&gt; Iran hits Jordan/Kuwait/Bahrain (pair 12).</t>
  </si>
  <si>
    <t xml:space="preserve">Trigger: Corrected. Reply #47: Verified</t>
  </si>
  <si>
    <t xml:space="preserve">Iranian strikes, Jun 10. CENTCOM 'self-defense' strikes on Bandar Abbas/Minab/Sirik followed Jun 11; timing link only.</t>
  </si>
  <si>
    <t xml:space="preserve">12 missiles at Jordan, Jun 11 (intercepted). The Jun 11 US strikes may have come before it, so the order is unclear.</t>
  </si>
  <si>
    <t xml:space="preserve">Trigger: Corrected. Status itself pending credible re-verification</t>
  </si>
  <si>
    <t xml:space="preserve">Iran claims the Strait closed again, Jun 20. The US reply that day was verbal only (CENTCOM: Iran 'does not control' the Strait). US-Iran talks opened Jun 21; the next US strike was Jun 26 and outlets tie it to a Jun 25 ship attack.</t>
  </si>
  <si>
    <t xml:space="preserve">Re-checked (Times of Israel, Al Jazeera, NPR): verbal reply only; talks Jun 21; next US strike Jun 26 tied to a Jun 25 ship attack.</t>
  </si>
  <si>
    <t xml:space="preserve">First MOU violation -&gt; US retaliatory strikes next day (pair 13).</t>
  </si>
  <si>
    <t xml:space="preserve">Trigger: Verified. Reply #55: Verified</t>
  </si>
  <si>
    <t xml:space="preserve">US retaliatory strikes -&gt; Iran hits Bahrain/Kuwait (pair 14).</t>
  </si>
  <si>
    <t xml:space="preserve">Trigger: Verified. Reply #56: Corrected</t>
  </si>
  <si>
    <t xml:space="preserve">Iran's tanker hit (Kiku) and Bahrain/Kuwait fire, Jun 27-28. NPR and AP: CENTCOM struck about 10 targets as retaliation; Iran's Bahrain/Kuwait fire on Jun 28 answered those strikes. Both sides agreed to halt Jun 29 (Axios).</t>
  </si>
  <si>
    <t xml:space="preserve">Re-checked (NPR, AP, Axios): CENTCOM struck ~10 targets in retaliation; Iran answered Jun 28; both sides halted Jun 29.</t>
  </si>
  <si>
    <t xml:space="preserve">Major MOU violation -&gt; US revokes oil license, then ends ceasefire (pair 15).</t>
  </si>
  <si>
    <t xml:space="preserve">Trigger: Corrected. Reply #58: Verified</t>
  </si>
  <si>
    <t xml:space="preserve">90-target US strike wave -&gt; Iran hits Jordan next day and five countries days later (pairs 17-18). The act that started the nightly campaign counts; the rest of Jul 7-25 is excluded.</t>
  </si>
  <si>
    <t xml:space="preserve">Trigger: Corrected. Reply #61: Verified, #62: Verified</t>
  </si>
  <si>
    <t xml:space="preserve">Larak Island strike -&gt; 'Punishment of the Aggressor' next day (pair 19).</t>
  </si>
  <si>
    <t xml:space="preserve">Trigger: Corrected. Reply #71: Verified</t>
  </si>
  <si>
    <t xml:space="preserve">Iran strikes King Hussein/Azraq, Aug 31 -&gt; US strike wave Sep 1 (event 73 names this as its trigger).</t>
  </si>
  <si>
    <t xml:space="preserve">Trigger: Verified. Reply #73: Verified</t>
  </si>
  <si>
    <t xml:space="preserve">Sirik wedding strike (4-5 killed) -&gt; same-day Iranian strike on Jordan (pair 20).</t>
  </si>
  <si>
    <t xml:space="preserve">Trigger: Verified. Reply #75: Corrected</t>
  </si>
  <si>
    <t xml:space="preserve">Its only logged reply (#76) is held out as a likely duplicate of #75. Not counted until resolved.</t>
  </si>
  <si>
    <t xml:space="preserve">US strikes 3 tankers, Sep 5. Iran fired ballistic missiles at a US warship Sep 6-7 (CENTCOM); not framed as a reply.</t>
  </si>
  <si>
    <t xml:space="preserve">Re-checked (CENTCOM): two IRGC missile attempts on a US warship before Sep 8; only Iran's own framing ties them to the Sep 5 strikes.</t>
  </si>
  <si>
    <t xml:space="preserve">Iran fires at US warship -&gt; US destroys 5 tankers (pair 22).</t>
  </si>
  <si>
    <t xml:space="preserve">Trigger: Verified. Reply #79: Corrected</t>
  </si>
  <si>
    <t xml:space="preserve">US destroys 5 tankers -&gt; Iran hits Jordan base (pair 23).</t>
  </si>
  <si>
    <t xml:space="preserve">Trigger: Corrected. Reply #80: Corrected</t>
  </si>
  <si>
    <t xml:space="preserve">Iran hits Muwaffaq Salti AB, Sep 8-9. No credible report of any US strike on Iran Sep 10-Oct 6; WSJ and a Time interview say Trump expects to resume bombing after the midterms.</t>
  </si>
  <si>
    <t xml:space="preserve">Re-checked (WSJ via ANI, Time interview, Reuters/AAP): no US strike on Iran Sep 10-Oct 6.</t>
  </si>
  <si>
    <t xml:space="preserve">US sanctions, Sep 29 (date corrected from Sep 28). About 12 tankers were hit Sep 29-Oct 5, but no source ties them to the sanctions. Window overlaps #87.</t>
  </si>
  <si>
    <t xml:space="preserve">Re-checked (Reuters, UKMTO, AFP): tanker hits reported with no one blamed; no outlet links them to the sanctions.</t>
  </si>
  <si>
    <t xml:space="preserve">US sanctions on auto/rail/shadow banking, Oct 1. Only rhetoric found through Oct 6. Window overlaps #85.</t>
  </si>
  <si>
    <t xml:space="preserve">US jet disables a blockade runner, Oct 10-11. No Iranian attack on US forces, bases or US-flagged ships Oct 11-16 (forecast F001 resolved NO). But attacks on commercial shipping surged (GFS Pride sunk Oct 13), and Iran said it was stepping up strikes over the blockade and sanctions; no outlet ties them to this strike. [Proposed: N, as for #85/#87.]</t>
  </si>
  <si>
    <t xml:space="preserve">US destroys an IRGC-linked surveillance dhow, Oct 6 (announced Oct 14). No Iranian attack on US forces found Oct 6-11; shipping attacks continued (#94, #96, #100, #101). No outlet links them. [Proposed: N.]</t>
  </si>
  <si>
    <t xml:space="preserve">US shadow-fleet sanctions, Oct 8. Shipping attacks continued Oct 9-13 (#100, #101, #103, #105, #109); no outlet ties them to these sanctions specifically. [Proposed: N, as for #85/#87.]</t>
  </si>
  <si>
    <t xml:space="preserve">US shadow-banking sanctions, Oct 15 (checked Oct 26). No Iranian attack on US forces, bases or US-flagged ships Oct 15-20. Shipping attacks continued (#112, #113, #114, #117); no outlet ties them to these sanctions. [Proposed: N, as for #85/#87.]</t>
  </si>
  <si>
    <t xml:space="preserve">US shadow-fleet sanctions, Oct 21. Window runs to Oct 26; check next week. So far: IRGC claims of tanker hits Oct 22-23 (#121, #123) and a threat against US bases, no attack on US forces found.</t>
  </si>
  <si>
    <t xml:space="preserve">Khamenei sanctions, Jun 24, 2019. No Iranian attack on US forces or ships found Jun 25-29.</t>
  </si>
  <si>
    <t xml:space="preserve">Zarif sanctions, Jul 31, 2019. No Iranian attack on US forces or ships found Aug 1-5. Iran seized a small Iraqi fuel-smuggling tanker on Aug 4 (Al Jazeera, https://www.aljazeera.com/news/2019/08/iranian-forces-capture-foreign-tanker-smuggling-fuel-state-tv-190804090043971.html), not aimed at the US.</t>
  </si>
  <si>
    <t xml:space="preserve">Central-bank sanctions, Sep 20, 2019. No Iranian attack found Sep 21-25.</t>
  </si>
  <si>
    <t xml:space="preserve">R-proxy</t>
  </si>
  <si>
    <t xml:space="preserve">Strikes on Kataib Hezbollah (about 25 killed), Dec 29, 2019 -&gt; militia supporters storm the US embassy compound Dec 31 (AP). Reply by an Iran-backed group.</t>
  </si>
  <si>
    <t xml:space="preserve">Trigger: Verified. Reply #214: Verified</t>
  </si>
  <si>
    <t xml:space="preserve">Soleimani killed, Jan 3, 2020 -&gt; Iran fires ballistic missiles at Ain al-Asad and Erbil, Jan 8, and calls it revenge for Soleimani.</t>
  </si>
  <si>
    <t xml:space="preserve">Trigger: Verified. Reply #216: Verified</t>
  </si>
  <si>
    <t xml:space="preserve">Metals sanctions, Jan 10, 2020. Iran stood down after Jan 8; no attack found Jan 11-15.</t>
  </si>
  <si>
    <t xml:space="preserve">Strikes on Kataib Hezbollah weapons sites, Mar 12, 2020 -&gt; 25+ rockets hit Camp Taji Mar 14, wounding 3 US troops (AP). No group named; timing only.</t>
  </si>
  <si>
    <t xml:space="preserve">Trigger: Verified. Reply #220: Verified</t>
  </si>
  <si>
    <t xml:space="preserve">Seizure of four Iranian fuel cargoes, Aug 14, 2020. Iran denied owning them; no Iranian action found Aug 15-19.</t>
  </si>
  <si>
    <t xml:space="preserve">Strikes in Syria, Feb 25, 2021. The next attack on US forces was the Mar 3 rocket attack on Ain al-Asad (#263, CBS, NPR), 6 days later: outside the 5-day window.</t>
  </si>
  <si>
    <t xml:space="preserve">Strikes near the Iraq-Syria border, Jun 27, 2021 -&gt; rockets at US forces in eastern Syria Jun 28, no injuries (Stars and Stripes). Timing only.</t>
  </si>
  <si>
    <t xml:space="preserve">Trigger: Verified. Reply #224: Verified</t>
  </si>
  <si>
    <t xml:space="preserve">Strikes on militia bunkers in Deir ez-Zor, Aug 24, 2022 -&gt; militia rockets hit two US bases within hours, 3 troops treated for minor injuries (AP).</t>
  </si>
  <si>
    <t xml:space="preserve">Trigger: Verified. Reply #226: Verified</t>
  </si>
  <si>
    <t xml:space="preserve">Strikes on IRGC-affiliated facilities, Mar 23, 2023 -&gt; rockets and drones at US bases Mar 24, 1 US service member wounded (ABC).</t>
  </si>
  <si>
    <t xml:space="preserve">Trigger: Verified. Reply #229: Verified</t>
  </si>
  <si>
    <t xml:space="preserve">85+ targets struck in Iraq and Syria, Feb 2, 2024 -&gt; Islamic Resistance in Iraq drone kills 6 US-allied Kurdish fighters at al-Omar base Feb 4 (AP).</t>
  </si>
  <si>
    <t xml:space="preserve">Trigger: Verified. Reply #241: Verified</t>
  </si>
  <si>
    <t xml:space="preserve">Kataib Hezbollah commander killed, Feb 7, 2024. The group had paused attacks on Jan 30 and no attack on US forces is logged Feb 8-12.</t>
  </si>
  <si>
    <t xml:space="preserve">Drone-program sanctions, Apr 18, 2024. No Iranian attack on US forces found Apr 19-23.</t>
  </si>
  <si>
    <t xml:space="preserve">'Maximum pressure' restored, Feb 4, 2025. No Iranian attack found Feb 5-9.</t>
  </si>
  <si>
    <t xml:space="preserve">Operation Midnight Hammer, Jun 22, 2025 -&gt; Iran fires 19 missiles at Al Udeid, Jun 23; one hit, no casualties; Trump said Iran gave 'early notice' (Al Jazeera).</t>
  </si>
  <si>
    <t xml:space="preserve">Trigger: Verified. Reply #256: Verified</t>
  </si>
  <si>
    <t xml:space="preserve">Shipping-network sanctions, Jul 30, 2025. No Iranian attack found Jul 31-Aug 4.</t>
  </si>
  <si>
    <t xml:space="preserve">Seizure of Iranian-made missiles bound for the Houthis, announced Feb 13, 2020. Rockets hit a coalition base in Baghdad's Green Zone on Feb 16 with no injuries and no group named (Axios, https://www.axios.com/2020/02/16/iraq-us-coalition-base-baghdad-rockets); no outlet ties them to the seizure, so not counted as a reply (same call as #85/#87).</t>
  </si>
  <si>
    <t xml:space="preserve">Seizure of 2,116 rifles shipped from Iran, announced Jan 10, 2023. No attack by Iran or an Iran-backed group on US forces found Jan 11-15; the next was a drone attack on the al-Tanf base on Jan 20 (Al Jazeera, https://www.aljazeera.com/news/2023/1/20/drone-attack-hits-us-led-coalition-base-in-southern-syria), outside the window.</t>
  </si>
  <si>
    <t xml:space="preserve">Not counted, and why</t>
  </si>
  <si>
    <t xml:space="preserve">Continuous war, Feb 28 - Apr 7 (until the first ceasefire): both sides were striking each other every day, so every act has a 'reply' by default, which would inflate the rate. Event 2, the act that started the war, is counted; later events in that stretch are not.</t>
  </si>
  <si>
    <t xml:space="preserve">Nightly US campaign, Jul 7-25 (events 58 and 61-67): same reason. Events 57 and 60, which started it, are counted. Event 65 (US troops killed Jul 17) was followed by a US strike on Jul 18 that officials said was to 'punish' the IRGC, but it is excluded here for consistency.</t>
  </si>
  <si>
    <t xml:space="preserve">Diplomatic and ceasefire moves (events 18, 19, 24, 27-30, 34, 43, 49-52, 59, 81, 82, 86, 88): their 'reply' is a formal answer, which this log does not track reliably. Not covered yet.</t>
  </si>
  <si>
    <t xml:space="preserve">Covert, defensive, accidental or not hostile (events 1, 26, 32, 68, 69, 72, 83, 89): covert acts the other side could not respond to, a defensive shootdown, an accident, an analyst note, a mine-clearing mission, a foiled plot, and a troop deployment.</t>
  </si>
  <si>
    <t xml:space="preserve">Disputed attribution (event 84, low confidence) and same-wave duplicates (event 73, same wave as event 74).</t>
  </si>
  <si>
    <t xml:space="preserve">Candidates moved out of the census by the continuous-war rule: #14, #15, #16, #17, #20, #21, #22, #23, #25, #58.</t>
  </si>
  <si>
    <t xml:space="preserve">Bubiyan Island raid (May 1): Kuwait did not announce it until May 12, so no one could reply within 5 days. Kuwait's reply on May 12 was a protest and an ambassador summons, not a hostile act. Not counted.</t>
  </si>
  <si>
    <t xml:space="preserve">Pre-war continuous fighting: Oct 17, 2023 - Jan 29, 2024, Iran-backed militias attacked US forces almost daily, so US strikes in that stretch (#233, #234, #236, #237) are context only. The twelve-day war (Jun 13-24, 2025) is treated the same way; the US strike that brought the US in (#255) is counted.</t>
  </si>
  <si>
    <t xml:space="preserve">Pre-war rows not counted: #207 (defensive drone shootdown), #211/#231/#246/#259/#261 (deployments, measured separately), talks (#248-#252, #260, #262).</t>
  </si>
  <si>
    <t xml:space="preserve">Left out by the credibility rule (event credibility under 0.50, or a merged duplicate): #76.</t>
  </si>
  <si>
    <t xml:space="preserve">Options and their risks - NAPOR does not rank or pick an option</t>
  </si>
  <si>
    <t xml:space="preserve">Situation as of 2026-10-26: war phase = Holding pattern. No direct US-Iran strikes since Sep 9; attacks on shipping continue; Trump says no US strikes before the Nov 3 midterms; Iran is expected to answer the US counter-offer.</t>
  </si>
  <si>
    <t xml:space="preserve">How to read it: each risk is 'x of n' past cases, so you can see how much evidence is behind it. The range is a 95% Wilson interval: with this few cases, the true chance could be anywhere in it. 'Very thin' means 1-3 past cases.</t>
  </si>
  <si>
    <t xml:space="preserve">Important: almost all past cases come from the fragile ceasefire and low-intensity phases, when nearly every hostile act drew a reply. The current quiet phase has only been tested by sanctions (0 of 2 drew a reply). Whether a US strike now would be answered the same way is unknown.</t>
  </si>
  <si>
    <t xml:space="preserve">Risk profile: every option on the same five risks, plus pros. Each cell says what was measured (x of n past cases) or 'not measured'.</t>
  </si>
  <si>
    <t xml:space="preserve">Option</t>
  </si>
  <si>
    <t xml:space="preserve">What it means</t>
  </si>
  <si>
    <t xml:space="preserve">1. Harm to people</t>
  </si>
  <si>
    <t xml:space="preserve">2. Escalation</t>
  </si>
  <si>
    <t xml:space="preserve">3. Military cost</t>
  </si>
  <si>
    <t xml:space="preserve">4. Economic harm</t>
  </si>
  <si>
    <t xml:space="preserve">5. Political / diplomatic</t>
  </si>
  <si>
    <t xml:space="preserve">Pros (analyst notes)</t>
  </si>
  <si>
    <t xml:space="preserve">Other notes on harms (analyst notes)</t>
  </si>
  <si>
    <t xml:space="preserve">Evidence strength</t>
  </si>
  <si>
    <t xml:space="preserve">A. Hold: no new action</t>
  </si>
  <si>
    <t xml:space="preserve">Keep the current posture: blockade stays, no new strikes or sanctions.</t>
  </si>
  <si>
    <t xml:space="preserve">Ship crews: attacks on shipping continue at ~2.4 a week (e.g. On Peace, Oct 6: 12 crew injured). No new US act to answer.</t>
  </si>
  <si>
    <t xml:space="preserve">No new US trigger. Iranian or unidentified attacks on shipping keep happening anyway (baseline). Whether holding back changes Iran's behaviour: not measured.</t>
  </si>
  <si>
    <t xml:space="preserve">No added interceptor use from a US act; the blockade and patrols continue to cost what they cost now (not measured).</t>
  </si>
  <si>
    <t xml:space="preserve">Baseline: ~2.4 attacks on shipping a week in the current phase. Oil prices and shipping costs: not measured.</t>
  </si>
  <si>
    <t xml:space="preserve">Iran is expected to answer the US counter-offer; Trump's no-strike pledge stands until Nov 3. Strain with allies: not measured.</t>
  </si>
  <si>
    <t xml:space="preserve">No new US act for Iran to answer, so no added risk of retaliation from it. Keeps Trump's stated no-strike pledge before Nov 3. Leaves room for Iran's expected reply to the US counter-offer. Uses no interceptors.</t>
  </si>
  <si>
    <t xml:space="preserve">Attacks on shipping continue at about 1-2 a week (baseline), injuring crews (On Peace: 12 hurt) and raising shipping risk. Whether holding back weakens deterrence cannot be measured from this log.</t>
  </si>
  <si>
    <t xml:space="preserve">No data</t>
  </si>
  <si>
    <t xml:space="preserve">B. Diplomatic move</t>
  </si>
  <si>
    <t xml:space="preserve">Answer Iran's expected reply to the US counter-offer, make a new offer, or ask a mediator to push talks.</t>
  </si>
  <si>
    <t xml:space="preserve">No direct casualties from the move itself.</t>
  </si>
  <si>
    <t xml:space="preserve">Iran struck within 7 days after 3 of 16 past conciliatory US moves (timing only, not shown to be replies). Reply rate to diplomacy: not measured (not in the census).</t>
  </si>
  <si>
    <t xml:space="preserve">No interceptor use expected from the move itself.</t>
  </si>
  <si>
    <t xml:space="preserve">Attacks on shipping, 7 days before -&gt; after past cases: 5 -&gt; 10 (total). Oil prices and shipping costs: not measured.</t>
  </si>
  <si>
    <t xml:space="preserve">Talks within 14 days after: 8 of 16 (statements and threats do not count). Strain with allies (Jordan, Gulf states, UK): not measured.</t>
  </si>
  <si>
    <t xml:space="preserve">No direct casualties. In the log, US diplomatic moves were usually followed by more diplomacy within two weeks (see measured column). A deal is the only option that addresses all the goals at once: the June memorandum included phased Hormuz reopening and an end to the blockade.</t>
  </si>
  <si>
    <t xml:space="preserve">Past deals did not hold: the April ceasefire was violated the same day, and the June deal collapsed on Jul 7 (Iran later said it never took effect). Shipping attacks continued during talks. Political costs of concessions are not measured here.</t>
  </si>
  <si>
    <t xml:space="preserve">16 past cases (timing only)</t>
  </si>
  <si>
    <t xml:space="preserve">C. New sanctions</t>
  </si>
  <si>
    <t xml:space="preserve">More Treasury sanctions on Iranian industries, networks or people.</t>
  </si>
  <si>
    <t xml:space="preserve">No direct casualties. Harm to ordinary Iranians from sanctions: not measured.</t>
  </si>
  <si>
    <t xml:space="preserve">Iran replied within ~5 days: 0 of 9 (0%) (range 0%-30%). Fast (within 2 days): No past replies to measure. Back-and-forth past one reply: No past replies. In the current quiet phase: 0 of 2.</t>
  </si>
  <si>
    <t xml:space="preserve">Attacks on shipping, 7 days before -&gt; after past cases: 9 -&gt; 15 (total). Oil prices and shipping costs: not measured.</t>
  </si>
  <si>
    <t xml:space="preserve">Talks within 14 days after: 4 of 11 (statements and threats do not count). Strain with allies (Jordan, Gulf states, UK): not measured.</t>
  </si>
  <si>
    <t xml:space="preserve">Economic pressure without casualties or interceptor use. Neither past case drew an Iranian military reply.</t>
  </si>
  <si>
    <t xml:space="preserve">No measured effect on shipping attacks (they rose in the following week, during the record week, so this may be coincidence). Possible economic harm to ordinary Iranians is not measured. Iran's president called talks 'futile' days later (no causal link shown).</t>
  </si>
  <si>
    <t xml:space="preserve">OK</t>
  </si>
  <si>
    <t xml:space="preserve">D. Naval pressure (blockade enforcement, transits, seizures)</t>
  </si>
  <si>
    <t xml:space="preserve">Tighten or enforce the blockade: stop or disable blockade runners, escort or transit warships.</t>
  </si>
  <si>
    <t xml:space="preserve">Iranian replies that hurt people: 0 of 2. US personnel hurt in these logged replies: 0 of 2 (US troops were killed on Jul 17, #65, during the July campaign, which is outside these counts). Civilian harm reported in the US act itself: 0 of 7 reported.</t>
  </si>
  <si>
    <t xml:space="preserve">Iran replied within ~5 days: 2 of 6 (33%) (range 10%-70%). Fast (within 2 days): 0 of 2. Back-and-forth past one reply: ~37% (all chains, n=27). In the current quiet phase: Not tested in this phase yet.</t>
  </si>
  <si>
    <t xml:space="preserve">Patriot interceptors: ~10 if the reply is a missile salvo like Sep 8-9. Confirmed US equipment losses in past replies: none logged.</t>
  </si>
  <si>
    <t xml:space="preserve">Attacks on shipping, 7 days before -&gt; after past cases: 7 -&gt; 7 (total). Oil prices and shipping costs: not measured.</t>
  </si>
  <si>
    <t xml:space="preserve">Talks within 14 days after: 1 of 7 (statements and threats do not count). Strain with allies (Jordan, Gulf states, UK): not measured.</t>
  </si>
  <si>
    <t xml:space="preserve">Aims directly at the blockade and Hormuz goals. In the April cases, no direct Iranian strike followed within 7 days, and the replies that came caused no casualties (0 of 2).</t>
  </si>
  <si>
    <t xml:space="preserve">In 2026, Iran answered 2 of 3 counted cases at sea (re-closing the Strait, seizing ships), so pressure at sea can spread at sea. Risk to the crews of disabled ships. The Oct 10-11 case drew no attack on US forces (forecast F001: NO), but shipping attacks surged the same week; whether that counts as a reply is not settled.</t>
  </si>
  <si>
    <t xml:space="preserve">Thin</t>
  </si>
  <si>
    <t xml:space="preserve">E. Strike Iranian shipping (e.g. tankers)</t>
  </si>
  <si>
    <t xml:space="preserve">Destroy IRGC-linked tankers or vessels, as on Sep 5 and Sep 8.</t>
  </si>
  <si>
    <t xml:space="preserve">Iranian replies that hurt people: 0 of 1. US personnel hurt in these logged replies: 0 of 1 (US troops were killed on Jul 17, #65, during the July campaign, which is outside these counts). Civilian harm reported in the US act itself: 0 of 3 reported.</t>
  </si>
  <si>
    <t xml:space="preserve">Iran replied within ~5 days: 2 of 2 (100%) (range 34%-100%). Fast (within 2 days): 1 of 1. Back-and-forth past one reply: ~37% (all chains, n=27). In the current quiet phase: Not tested in this phase yet.</t>
  </si>
  <si>
    <t xml:space="preserve">Patriot interceptors: ~30 if the reply is a missile salvo like Sep 8-9. Confirmed US equipment losses in past replies: Sep 8-9 Jordan: 1 A-10 lost a wing, ~8 F-15s lightly damaged (CBS, anonymous US sources).</t>
  </si>
  <si>
    <t xml:space="preserve">Attacks on shipping, 7 days before -&gt; after past cases: 2 -&gt; 5 (total). Oil prices and shipping costs: not measured.</t>
  </si>
  <si>
    <t xml:space="preserve">Talks within 14 days after: 1 of 3 (statements and threats do not count). Strain with allies (Jordan, Gulf states, UK): not measured.</t>
  </si>
  <si>
    <t xml:space="preserve">In both past cases, logged attacks on shipping dropped to zero the following week. Hits IRGC oil revenue (US claim). Crews were told to abandon ship before the Sep 8 strike, and no deaths were reported.</t>
  </si>
  <si>
    <t xml:space="preserve">Both cases drew Iranian missile fire within days (at a US warship, then at a Jordan base, where an A-10 was badly damaged, ~8 F-15s were lightly damaged and ~30 Patriots were used). Possible environmental damage from destroyed laden tankers is not measured.</t>
  </si>
  <si>
    <t xml:space="preserve">Very thin</t>
  </si>
  <si>
    <t xml:space="preserve">F. Strike military sites (equipment, not people)</t>
  </si>
  <si>
    <t xml:space="preserve">Hit launchers, radars, missile or drone sites, aiming to avoid casualties.</t>
  </si>
  <si>
    <t xml:space="preserve">Iranian replies that hurt people: 5 of 10 (#62 Qatar: 3 wounded incl. a child; #220 3 US service members (2 seriously) and 2 Iraqi soldiers wounded (AP); #226 3 US service members treated for minor injuries (AP); #229 1 US service member wounded (ABC); #241 6 SDF fighters killed; no US troops hurt (AP)). US personnel hurt in these logged replies: 0 of 10 (US troops were killed on Jul 17, #65, during the July campaign, which is outside these counts). Civilian harm reported in the US act itself: 0 of 12 reported.</t>
  </si>
  <si>
    <t xml:space="preserve">Iran replied within ~5 days: 11 of 12 (92%) (range 65%-99%). Fast (within 2 days): 9 of 10. Back-and-forth past one reply: ~37% (all chains, n=27). In the current quiet phase: Not tested in this phase yet.</t>
  </si>
  <si>
    <t xml:space="preserve">Patriot interceptors: ~28 if the reply is a missile salvo like Sep 8-9. Confirmed US equipment losses in past replies: none logged.</t>
  </si>
  <si>
    <t xml:space="preserve">Attacks on shipping, 7 days before -&gt; after past cases: 3 -&gt; 1 (total). Oil prices and shipping costs: not measured.</t>
  </si>
  <si>
    <t xml:space="preserve">Talks within 14 days after: 2 of 12 (statements and threats do not count). Strain with allies (Jordan, Gulf states, UK): not measured.</t>
  </si>
  <si>
    <t xml:space="preserve">Aims to reduce Iran's ability to launch missiles, drones and mines (military effect is claimed by CENTCOM, not independently measured). In 1 of 4 logged replies did anyone get hurt.</t>
  </si>
  <si>
    <t xml:space="preserve">Every past case drew a reply; Iranian strikes followed within 7 days in most. One logged reply wounded civilians in Qatar. Bridges were hit later in the July campaign (two in Hormozgan, Jul 16-17, 3 killed per Iranian state TV via AFP), outside the counted cases. Untested in the current quiet phase: it could restart the cycle.</t>
  </si>
  <si>
    <t xml:space="preserve">G. Strike that risks killing personnel</t>
  </si>
  <si>
    <t xml:space="preserve">Strikes on IRGC units or sites where people are likely to be killed.</t>
  </si>
  <si>
    <t xml:space="preserve">Iranian replies that hurt people: 2 of 6 (#5 Tel Aviv: 1 killed, 27 injured (Times of Israel); Kuwait airport: mino; #216 No deaths; more than 100 US troops later diagnosed with brain injuries). US personnel hurt in these logged replies: 0 of 6 (US troops were killed on Jul 17, #65, during the July campaign, which is outside these counts). Civilian harm reported in the US act itself: 2 of 7: #2 Minab girls' school: Iranian authorities say 168-175 killed; no country has claimed the strike (AP, NBC); #74 Kuhestak wedding: Iranian figures 4-5 killed incl. children, 50+ wounded; the US said it was investigating.</t>
  </si>
  <si>
    <t xml:space="preserve">Iran replied within ~5 days: 6 of 7 (86%) (range 49%-97%). Fast (within 2 days): 5 of 6. Back-and-forth past one reply: ~37% (all chains, n=27). In the current quiet phase: Not tested in this phase yet.</t>
  </si>
  <si>
    <t xml:space="preserve">Patriot interceptors: ~26 if the reply is a missile salvo like Sep 8-9. Confirmed US equipment losses in past replies: Jun 9: a US Apache helicopter downed over the Strait (crew rescued).</t>
  </si>
  <si>
    <t xml:space="preserve">Attacks on shipping, 7 days before -&gt; after past cases: 1 -&gt; 1 (total). Oil prices and shipping costs: not measured.</t>
  </si>
  <si>
    <t xml:space="preserve">Can remove commanders or units preparing attacks (e.g. the Aug 30 Larak strike hit launchers said to be preparing sea mines). Military effect is claimed, not independently measured.</t>
  </si>
  <si>
    <t xml:space="preserve">Every past case drew a fast reply, mostly the same day. Civilians were reported killed in 2 of 4 past cases (Iranian figures). One logged reply killed a civilian in Tel Aviv. Highest risk of a longer back-and-forth.</t>
  </si>
  <si>
    <t xml:space="preserve">H. Change force posture (deploy or withdraw)</t>
  </si>
  <si>
    <t xml:space="preserve">Send more ships, aircraft or troops to the region, or pull some back.</t>
  </si>
  <si>
    <t xml:space="preserve">Iran struck within 7 days after 1 of 10 past posture changes (all early October). Not tested as triggers.</t>
  </si>
  <si>
    <t xml:space="preserve">Attacks on shipping, 7 days before -&gt; after past cases: 6 -&gt; 14 (total). Oil prices and shipping costs: not measured.</t>
  </si>
  <si>
    <t xml:space="preserve">Talks within 14 days after: 5 of 10 (statements and threats do not count). Strain with allies (Jordan, Gulf states, UK): not measured.</t>
  </si>
  <si>
    <t xml:space="preserve">No direct harm. Adding forces strengthens defence; pulling back reduces exposure (bombers left RAF Fairford after a suspected Iranian drone plot).</t>
  </si>
  <si>
    <t xml:space="preserve">Deployments in early October were followed by more shipping attacks, but that was the record week anyway. No data on how Iran reads deployments or withdrawals.</t>
  </si>
  <si>
    <t xml:space="preserve">10 past cases (timing only)</t>
  </si>
  <si>
    <t xml:space="preserve">Details behind the numbers</t>
  </si>
  <si>
    <t xml:space="preserve">Chance of an Iranian hostile reply within ~5 days (past cases)</t>
  </si>
  <si>
    <t xml:space="preserve">Plausible range (95%)</t>
  </si>
  <si>
    <t xml:space="preserve">In the current phase</t>
  </si>
  <si>
    <t xml:space="preserve">Reply within 2 days (of replies)</t>
  </si>
  <si>
    <t xml:space="preserve">Reply caused casualties (of replies)</t>
  </si>
  <si>
    <t xml:space="preserve">Chance a back-and-forth goes past one reply</t>
  </si>
  <si>
    <t xml:space="preserve">Patriot interceptors likely used</t>
  </si>
  <si>
    <t xml:space="preserve">Avg credibility of cases</t>
  </si>
  <si>
    <t xml:space="preserve">Past cases used</t>
  </si>
  <si>
    <t xml:space="preserve">What we don't know</t>
  </si>
  <si>
    <t xml:space="preserve">Not measured</t>
  </si>
  <si>
    <t xml:space="preserve">Shipping attacks have kept coming without any new US move (see the baseline line). Trump has said there will be no US strikes before Nov 3; what Iran does if that holds is not in the data.</t>
  </si>
  <si>
    <t xml:space="preserve">Diplomatic moves are not in the census, so there is no reply rate. The last rounds (Sep 23 - Oct 9) drew rejections and counter-offers, not attacks. Iran called the US answer 'insufficient' (Oct 11) and on Oct 18 said it was still reviewing US 'comments'.</t>
  </si>
  <si>
    <t xml:space="preserve">0 of 9 (0%)</t>
  </si>
  <si>
    <t xml:space="preserve">0%-30%</t>
  </si>
  <si>
    <t xml:space="preserve">0 of 2</t>
  </si>
  <si>
    <t xml:space="preserve">No past replies to measure</t>
  </si>
  <si>
    <t xml:space="preserve">No past replies</t>
  </si>
  <si>
    <t xml:space="preserve">Unlikely to need any</t>
  </si>
  <si>
    <t xml:space="preserve">0.72</t>
  </si>
  <si>
    <t xml:space="preserve">#85, #87, #206, #208, #210, #217, #244, #247, #258 (+ unclear: #107, #110)</t>
  </si>
  <si>
    <t xml:space="preserve">Both past cases are from the current quiet phase, and neither drew a linked attack. Tanker attacks continued that week, but no outlet tied them to the sanctions.</t>
  </si>
  <si>
    <t xml:space="preserve">2 of 6 (33%)</t>
  </si>
  <si>
    <t xml:space="preserve">10%-70%</t>
  </si>
  <si>
    <t xml:space="preserve">Not tested in this phase yet</t>
  </si>
  <si>
    <t xml:space="preserve">~37% (all chains, n=27)</t>
  </si>
  <si>
    <t xml:space="preserve">~10 if the reply is a missile salvo like Sep 8-9</t>
  </si>
  <si>
    <t xml:space="preserve">0.92</t>
  </si>
  <si>
    <t xml:space="preserve">#33, #35, #37, #221, #264, #265 (+ unclear: #104)</t>
  </si>
  <si>
    <t xml:space="preserve">Small sample. The pre-war cases (a 2020 fuel-cargo seizure and two seizures of Iranian arms bound for the Houthis, 2020 and 2023) drew no reply. In 2026, Iran answered the blockade start and a ship seizure, but not a warship transit. The Oct 10-11 strike on a blockade runner drew no Iranian attack on US forces within 5 days (F001: NO), but attacks on commercial shipping surged; how to score it is waiting for Sidd (census row #104 is 'Unclear').</t>
  </si>
  <si>
    <t xml:space="preserve">2 of 2 (100%)</t>
  </si>
  <si>
    <t xml:space="preserve">34%-100%</t>
  </si>
  <si>
    <t xml:space="preserve">1 of 1</t>
  </si>
  <si>
    <t xml:space="preserve">0 of 1</t>
  </si>
  <si>
    <t xml:space="preserve">~30 if the reply is a missile salvo like Sep 8-9</t>
  </si>
  <si>
    <t xml:space="preserve">0.90</t>
  </si>
  <si>
    <t xml:space="preserve">#77, #79 (+ unclear: #106)</t>
  </si>
  <si>
    <t xml:space="preserve">Only 2 cases, both in early September; both drew Iranian missile fire (at a US warship, then at a Jordan base).</t>
  </si>
  <si>
    <t xml:space="preserve">11 of 12 (92%)</t>
  </si>
  <si>
    <t xml:space="preserve">65%-99%</t>
  </si>
  <si>
    <t xml:space="preserve">9 of 10</t>
  </si>
  <si>
    <t xml:space="preserve">5 of 10</t>
  </si>
  <si>
    <t xml:space="preserve">~28 if the reply is a missile salvo like Sep 8-9</t>
  </si>
  <si>
    <t xml:space="preserve">0.84</t>
  </si>
  <si>
    <t xml:space="preserve">#40, #42, #46, #55, #60, #219, #222, #223, #225, #228, #240, #255</t>
  </si>
  <si>
    <t xml:space="preserve">Every past case drew a reply, but all were before the current quiet phase. One logged reply caused casualties (Qatar, Jul 12: 3 wounded, including a child).</t>
  </si>
  <si>
    <t xml:space="preserve">6 of 7 (86%)</t>
  </si>
  <si>
    <t xml:space="preserve">49%-97%</t>
  </si>
  <si>
    <t xml:space="preserve">5 of 6</t>
  </si>
  <si>
    <t xml:space="preserve">2 of 6</t>
  </si>
  <si>
    <t xml:space="preserve">~26 if the reply is a missile salvo like Sep 8-9</t>
  </si>
  <si>
    <t xml:space="preserve">0.85</t>
  </si>
  <si>
    <t xml:space="preserve">#2, #44, #70, #74, #213, #215, #242</t>
  </si>
  <si>
    <t xml:space="preserve">Every past case drew a fast reply, mostly the same day. One logged reply caused casualties (Tel Aviv, Feb 28: 1 killed, 27 injured). None in the current quiet phase.</t>
  </si>
  <si>
    <t xml:space="preserve">No data: deployments and withdrawals are logged but not tested as triggers. The US recently pulled bombers from RAF Fairford and one carrier left the region.</t>
  </si>
  <si>
    <t xml:space="preserve">Baseline (what happens with no new US move): in the current phase, 16 hostile acts by Iran or unknown attackers were logged over 6.7 weeks (about 2.4 per week), almost all attacks on shipping: #84, #90, #94, #96, #100, #101, #103, #105, #109, #112, #113, #114, #117, #118, #121, #123. Houthi strikes on Saudi Arabia are a separate front and not counted.</t>
  </si>
  <si>
    <t xml:space="preserve">Back-and-forth column: across all 27 logged chains with a hostile act, about a third went past one reply (longest: 3 rounds). It is not broken down by option because each option has too few chains.</t>
  </si>
  <si>
    <t xml:space="preserve">Interceptors: one measured salvo (Sep 8-9, Jordan) used about 30 Patriots ('roughly 30' per a US official; 'more than 30' per CBS). The column multiplies that by the reply chance. CSIS estimated fewer than 850 Patriots left theater-wide (Sep). Not independently re-checked.</t>
  </si>
  <si>
    <t xml:space="preserve">Only events with credibility 0.50+ are used. Every number here is recomputed from the Event Log by napor_options.py when the workbook is rebuilt.</t>
  </si>
  <si>
    <t xml:space="preserve">Month</t>
  </si>
  <si>
    <t xml:space="preserve">US/Israel strikes (on territory/forces)</t>
  </si>
  <si>
    <t xml:space="preserve">Iran strikes (on territory/forces)</t>
  </si>
  <si>
    <t xml:space="preserve">Shipping/blockade incidents (any side)</t>
  </si>
  <si>
    <t xml:space="preserve">Diplomatic events (talks, proposals, ceasefires)</t>
  </si>
  <si>
    <t xml:space="preserve">Ceasefire status</t>
  </si>
  <si>
    <t xml:space="preserve">Feb 2026</t>
  </si>
  <si>
    <t xml:space="preserve">No ceasefire - war start</t>
  </si>
  <si>
    <t xml:space="preserve">War start (Feb 28)</t>
  </si>
  <si>
    <t xml:space="preserve">Mar 2026</t>
  </si>
  <si>
    <t xml:space="preserve">No ceasefire</t>
  </si>
  <si>
    <t xml:space="preserve">Highest-intensity month of the initial campaign</t>
  </si>
  <si>
    <t xml:space="preserve">Apr 2026</t>
  </si>
  <si>
    <t xml:space="preserve">Two-week ceasefire announced Apr 7-8 (no signed text found), violated same day, collapsing through month</t>
  </si>
  <si>
    <t xml:space="preserve">Ceasefire signed and broken within hours</t>
  </si>
  <si>
    <t xml:space="preserve">May 2026</t>
  </si>
  <si>
    <t xml:space="preserve">Nominal ceasefire, blockade/counter-blockade ongoing</t>
  </si>
  <si>
    <t xml:space="preserve">Blockade/counter-blockade tit-for-tat, lower kinetic tempo</t>
  </si>
  <si>
    <t xml:space="preserve">Jun 2026</t>
  </si>
  <si>
    <t xml:space="preserve">New ceasefire Jun 8, MOU signed Jun 17</t>
  </si>
  <si>
    <t xml:space="preserve">Two ceasefires reached; MOU by month end</t>
  </si>
  <si>
    <t xml:space="preserve">Jul 2026</t>
  </si>
  <si>
    <t xml:space="preserve">MOU collapses Jul 7-8; heaviest fighting month</t>
  </si>
  <si>
    <t xml:space="preserve">MOU collapse; deadliest month for US troops</t>
  </si>
  <si>
    <t xml:space="preserve">Aug 2026</t>
  </si>
  <si>
    <t xml:space="preserve">No ceasefire, lower-intensity than July</t>
  </si>
  <si>
    <t xml:space="preserve">Relative lull; Larak Island strike late month</t>
  </si>
  <si>
    <t xml:space="preserve">Sep 2026</t>
  </si>
  <si>
    <t xml:space="preserve">No ceasefire; new Iranian proposal Sep 23, rejected Sep 26</t>
  </si>
  <si>
    <t xml:space="preserve">Partial month - renewed escalation, then a new peace proposal</t>
  </si>
  <si>
    <t xml:space="preserve">Oct 2026 (to Oct 26)</t>
  </si>
  <si>
    <t xml:space="preserve">No ceasefire; Trump says no US strikes on Iran before the Nov 3 midterms (Oct 8); strike plans reported (Oct 16); Trump weighs 'a deal' or renewed strikes (Oct 23-25)</t>
  </si>
  <si>
    <t xml:space="preserve">Partial month. Record attacks on shipping (GFS Pride sunk Oct 13); US bombers leave RAF Fairford; more US sanctions; US staff drawdown from Gulf posts (Oct 21-23); no US-Iran strikes</t>
  </si>
  <si>
    <t xml:space="preserve">Report ID</t>
  </si>
  <si>
    <t xml:space="preserve">Event ID</t>
  </si>
  <si>
    <t xml:space="preserve">Outlet</t>
  </si>
  <si>
    <t xml:space="preserve">Kind of source</t>
  </si>
  <si>
    <t xml:space="preserve">Headline</t>
  </si>
  <si>
    <t xml:space="preserve">Published</t>
  </si>
  <si>
    <t xml:space="preserve">URL</t>
  </si>
  <si>
    <t xml:space="preserve">Read as</t>
  </si>
  <si>
    <t xml:space="preserve">Logged under</t>
  </si>
  <si>
    <t xml:space="preserve">Source score</t>
  </si>
  <si>
    <t xml:space="preserve">Fit score</t>
  </si>
  <si>
    <t xml:space="preserve">Weight (counts if 0.30+)</t>
  </si>
  <si>
    <t xml:space="preserve">R0001</t>
  </si>
  <si>
    <t xml:space="preserve">AP (syndicated on KSAT/click2houston)</t>
  </si>
  <si>
    <t xml:space="preserve">Independent outlet</t>
  </si>
  <si>
    <t xml:space="preserve">How the US-Israeli strikes on Iran unfolded, moment by moment</t>
  </si>
  <si>
    <t xml:space="preserve">2026-03-02</t>
  </si>
  <si>
    <t xml:space="preserve">https://www.click2houston.com/news/world/2026/03/02/how-the-us-israeli-strikes-on-iran-unfolded-moment-by-moment/</t>
  </si>
  <si>
    <t xml:space="preserve">full text</t>
  </si>
  <si>
    <t xml:space="preserve">R0002</t>
  </si>
  <si>
    <t xml:space="preserve">AP (syndicated on WJXT/news4jax)</t>
  </si>
  <si>
    <t xml:space="preserve">This is how the US-Israeli strikes on Iran played out</t>
  </si>
  <si>
    <t xml:space="preserve">https://www.news4jax.com/news/world/2026/03/02/this-is-how-the-us-israeli-strikes-on-iran-played-out/</t>
  </si>
  <si>
    <t xml:space="preserve">R0003</t>
  </si>
  <si>
    <t xml:space="preserve">R0004</t>
  </si>
  <si>
    <t xml:space="preserve">NBC News (via AOL)</t>
  </si>
  <si>
    <t xml:space="preserve">What we know about the strike on a school in Iran as the death toll rises</t>
  </si>
  <si>
    <t xml:space="preserve">2026-03-03</t>
  </si>
  <si>
    <t xml:space="preserve">https://www.aol.com/articles/know-strike-school-iran-death-223303330.html</t>
  </si>
  <si>
    <t xml:space="preserve">R0005</t>
  </si>
  <si>
    <t xml:space="preserve">AP (syndicated on Alaska Dispatch News/adn.com)</t>
  </si>
  <si>
    <t xml:space="preserve">Iranians mourn elementary school students killed in missile strike</t>
  </si>
  <si>
    <t xml:space="preserve">2026-03-04</t>
  </si>
  <si>
    <t xml:space="preserve">https://www.adn.com/nation-world/2026/03/04/iranians-mourn-elementary-school-students-killed-in-missile-strike/</t>
  </si>
  <si>
    <t xml:space="preserve">R0006</t>
  </si>
  <si>
    <t xml:space="preserve">Defense News (Military Times)</t>
  </si>
  <si>
    <t xml:space="preserve">9 Iranian naval ships have been destroyed and sunk, Trump says</t>
  </si>
  <si>
    <t xml:space="preserve">2026-03-01</t>
  </si>
  <si>
    <t xml:space="preserve">https://www.defensenews.com/news/your-military/2026/03/01/9-iranian-naval-ships-have-been-destroyed-and-sunk-trump-says/</t>
  </si>
  <si>
    <t xml:space="preserve">R0007</t>
  </si>
  <si>
    <t xml:space="preserve">The War Zone</t>
  </si>
  <si>
    <t xml:space="preserve">Iran's Key Naval Base On Strait Of Hormuz Set Ablaze From Strikes</t>
  </si>
  <si>
    <t xml:space="preserve">https://www.twz.com/news-features/irans-key-naval-base-on-strait-of-hormuz-set-ablaze-from-strikes</t>
  </si>
  <si>
    <t xml:space="preserve">R0008</t>
  </si>
  <si>
    <t xml:space="preserve">USNI News</t>
  </si>
  <si>
    <t xml:space="preserve">Iranian Naval Forces are Major Target in Operation Epic Fury Strikes</t>
  </si>
  <si>
    <t xml:space="preserve">https://news.usni.org/?p=121082</t>
  </si>
  <si>
    <t xml:space="preserve">R0009</t>
  </si>
  <si>
    <t xml:space="preserve">Reuters (via Yahoo)</t>
  </si>
  <si>
    <t xml:space="preserve">IRGC tell ships passage through Strait of Hormuz 'not allowed'</t>
  </si>
  <si>
    <t xml:space="preserve">2026-02-28</t>
  </si>
  <si>
    <t xml:space="preserve">https://www.yahoo.com/news/articles/irgc-tell-ships-passage-strait-190331404.html</t>
  </si>
  <si>
    <t xml:space="preserve">R0010</t>
  </si>
  <si>
    <t xml:space="preserve">Reuters (via Malay Mail)</t>
  </si>
  <si>
    <t xml:space="preserve">How the Strait of Hormuz blockade is choking global shipping and oil flows</t>
  </si>
  <si>
    <t xml:space="preserve">2026-03-19</t>
  </si>
  <si>
    <t xml:space="preserve">https://www.malaymail.com/news/world/2026/03/19/how-the-strait-of-hormuz-blockade-is-choking-global-shipping-and-oil-flows/213223</t>
  </si>
  <si>
    <t xml:space="preserve">R0011</t>
  </si>
  <si>
    <t xml:space="preserve">Al Jazeera</t>
  </si>
  <si>
    <t xml:space="preserve">Multiple Arab states that host US assets targeted in Iran retaliation</t>
  </si>
  <si>
    <t xml:space="preserve">https://www.aljazeera.com/news/2026/2/28/multiple-gulf-arab-states-that-host-us-assets-targeted-in-iran-retaliation</t>
  </si>
  <si>
    <t xml:space="preserve">R0012</t>
  </si>
  <si>
    <t xml:space="preserve">Times of Israel</t>
  </si>
  <si>
    <t xml:space="preserve">Woman killed, dozens injured as Iranian missile strikes Tel Aviv residential block</t>
  </si>
  <si>
    <t xml:space="preserve">https://www.timesofisrael.com/woman-killed-dozens-injured-as-iranian-missile-strikes-tel-aviv-residential-block/</t>
  </si>
  <si>
    <t xml:space="preserve">R0013</t>
  </si>
  <si>
    <t xml:space="preserve">Times of Israel (liveblog)</t>
  </si>
  <si>
    <t xml:space="preserve">Medics: Woman injured in Tel Aviv missile strike dies of her wounds</t>
  </si>
  <si>
    <t xml:space="preserve">https://www.timesofisrael.com/liveblog_entry/medics-woman-injured-in-tel-aviv-missile-strike-dies-of-her-wounds/</t>
  </si>
  <si>
    <t xml:space="preserve">R0014</t>
  </si>
  <si>
    <t xml:space="preserve">More blasts rock Dubai, Doha and Manama as Iran targets US assets in Gulf</t>
  </si>
  <si>
    <t xml:space="preserve">https://www.aljazeera.com/amp/news/2026/3/1/more-blasts-rock-dubai-doha-and-manama-as-iran-targets-us-assets-in-gulf</t>
  </si>
  <si>
    <t xml:space="preserve">R0015</t>
  </si>
  <si>
    <t xml:space="preserve">Iranian Attacks On Prized Missile Defense Radars Are A Wake-Up Call</t>
  </si>
  <si>
    <t xml:space="preserve">2026-03-07</t>
  </si>
  <si>
    <t xml:space="preserve">https://www.twz.com/news-features/iranian-attacks-on-critical-missile-defense-radars-are-a-wake-up-call</t>
  </si>
  <si>
    <t xml:space="preserve">R0016</t>
  </si>
  <si>
    <t xml:space="preserve">CNN (via Yahoo syndication)</t>
  </si>
  <si>
    <t xml:space="preserve">Radar bases housing key US missile interceptor hit in Jordan, Saudi Arabia, and UAE, satellite images show</t>
  </si>
  <si>
    <t xml:space="preserve">n.d.</t>
  </si>
  <si>
    <t xml:space="preserve">https://www.yahoo.com/news/articles/radar-bases-housing-key-us-201757584.html</t>
  </si>
  <si>
    <t xml:space="preserve">R0017</t>
  </si>
  <si>
    <t xml:space="preserve">AP (via KMPH)</t>
  </si>
  <si>
    <t xml:space="preserve">Hegseth insists US-Israel strikes on Iran are 'not Iraq, not endless'</t>
  </si>
  <si>
    <t xml:space="preserve">https://kmph.com/news/nation-world/defense-secretary-pete-hegseth-insists-us-israel-joint-strikes-on-iran-are-not-iraq-not-endless-operation-epic-fury-president-donald-trump-pentagon-department-of-war-joint-chiefs-gen-caine-centcom</t>
  </si>
  <si>
    <t xml:space="preserve">R0018</t>
  </si>
  <si>
    <t xml:space="preserve">CNN (via KEYT)</t>
  </si>
  <si>
    <t xml:space="preserve">'No warning, no siren': Six US service members killed in Iranian strike that hit makeshift operations center in Kuwait</t>
  </si>
  <si>
    <t xml:space="preserve">https://keyt.com/politics/cnn-us-politics/2026/03/02/no-warning-no-siren-six-us-service-members-killed-in-iranian-strike-that-hit-makeshift-operations-center-in-kuwait/</t>
  </si>
  <si>
    <t xml:space="preserve">R0019</t>
  </si>
  <si>
    <t xml:space="preserve">AFP (via Al Arabiya)</t>
  </si>
  <si>
    <t xml:space="preserve">Trump says US strikes have sunk nine Iranian naval ships and hit navy headquarters</t>
  </si>
  <si>
    <t xml:space="preserve">https://english.alarabiya.net/News/middle-east/2026/03/01/us-military-says-iranian-warship-hit-sinking-in-gulf-of-oman</t>
  </si>
  <si>
    <t xml:space="preserve">R0020</t>
  </si>
  <si>
    <t xml:space="preserve">R0021</t>
  </si>
  <si>
    <t xml:space="preserve">R0022</t>
  </si>
  <si>
    <t xml:space="preserve">Explosions across Qatar, UAE, Kuwait as Iran's retaliatory strikes continue</t>
  </si>
  <si>
    <t xml:space="preserve">https://www.aljazeera.com/news/2026/3/2/blasts-shake-qatar-uae-kuwait-as-irans-retaliatory-strikes-continue</t>
  </si>
  <si>
    <t xml:space="preserve">R0023</t>
  </si>
  <si>
    <t xml:space="preserve">Shipyard Worker Dead, Fire Breaks Out on U.S.-Flagged Tanker After Iranian Attack on Bahrain Port</t>
  </si>
  <si>
    <t xml:space="preserve">https://news.usni.org/2026/03/02/shipyard-worker-dead-fire-breaks-out-on-u-s-flagged-tanker-after-iranian-attack-on-bahrain-port</t>
  </si>
  <si>
    <t xml:space="preserve">R0024</t>
  </si>
  <si>
    <t xml:space="preserve">IDF says it destroyed secret underground site where Iran moved nuclear project after June war</t>
  </si>
  <si>
    <t xml:space="preserve">https://www.timesofisrael.com/idf-says-it-destroyed-secret-underground-site-where-iran-moved-nuclear-project-after-june-war/</t>
  </si>
  <si>
    <t xml:space="preserve">R0025</t>
  </si>
  <si>
    <t xml:space="preserve">AP (via Ottumwa Courier)</t>
  </si>
  <si>
    <t xml:space="preserve">US embassy in Saudi Arabia hit with Iranian drones as American and Israeli attacks on Iran continue</t>
  </si>
  <si>
    <t xml:space="preserve">https://www.ottumwacourier.com/news/national_news/us-embassy-in-saudi-arabia-hit-with-iranian-drones-as-american-and-israeli-attacks-on/article_4640980f-a1a2-5170-8087-7eb0e450b0b9.html</t>
  </si>
  <si>
    <t xml:space="preserve">R0026</t>
  </si>
  <si>
    <t xml:space="preserve">AFP (via CTV News)</t>
  </si>
  <si>
    <t xml:space="preserve">Saudi Arabia halts some operations at massive Ras Tanura refinery</t>
  </si>
  <si>
    <t xml:space="preserve">https://www.ctvnews.ca/world/article/saudi-arabia-halts-some-operations-at-massive-ras-tanura-refinery/</t>
  </si>
  <si>
    <t xml:space="preserve">snippet</t>
  </si>
  <si>
    <t xml:space="preserve">R0027</t>
  </si>
  <si>
    <t xml:space="preserve">Times of Israel (liveblog, AFP)</t>
  </si>
  <si>
    <t xml:space="preserve">Iranian missile hits US base at Al-Udeid, no casualties - Qatari Defense Ministry</t>
  </si>
  <si>
    <t xml:space="preserve">https://www.timesofisrael.com/liveblog_entry/iranian-missile-hits-us-base-at-al-udeid-no-casualties-qatari-defense-ministry/</t>
  </si>
  <si>
    <t xml:space="preserve">R0028</t>
  </si>
  <si>
    <t xml:space="preserve">US submarine sank Iran's warship off Sri Lanka coast, says Hegseth</t>
  </si>
  <si>
    <t xml:space="preserve">https://aljazeera.com/news/2026/3/4/at-least-100-missing-after-iranian-military-ship-sinks-off-sri-lanka-coast</t>
  </si>
  <si>
    <t xml:space="preserve">R0029</t>
  </si>
  <si>
    <t xml:space="preserve">Reuters (via AOL)</t>
  </si>
  <si>
    <t xml:space="preserve">Iranian army says at least 104 killed in US attack on Iranian warship last week</t>
  </si>
  <si>
    <t xml:space="preserve">2026-03-08</t>
  </si>
  <si>
    <t xml:space="preserve">https://www.aol.com/articles/iranian-army-says-least-104-172822886.html</t>
  </si>
  <si>
    <t xml:space="preserve">R0030</t>
  </si>
  <si>
    <t xml:space="preserve">Stars and Stripes</t>
  </si>
  <si>
    <t xml:space="preserve">Charlotte commendation / submarine torpedo</t>
  </si>
  <si>
    <t xml:space="preserve">2026-07-22</t>
  </si>
  <si>
    <t xml:space="preserve">https://www.stripes.com/branches/navy/2026-07-22/charlotte-commendation-submarine-torpedo-22335423.html</t>
  </si>
  <si>
    <t xml:space="preserve">R0031</t>
  </si>
  <si>
    <t xml:space="preserve">PBS NewsHour</t>
  </si>
  <si>
    <t xml:space="preserve">WATCH: Hegseth says Tuesday will be 'most intense day of strikes' on Iran</t>
  </si>
  <si>
    <t xml:space="preserve">2026-03-10</t>
  </si>
  <si>
    <t xml:space="preserve">https://www.pbs.org/newshour/amp/world/watch-hegseth-says-tuesday-will-be-most-intense-day-of-strikes-on-iran</t>
  </si>
  <si>
    <t xml:space="preserve">R0032</t>
  </si>
  <si>
    <t xml:space="preserve">Reuters (via Baird Maritime)</t>
  </si>
  <si>
    <t xml:space="preserve">US destroys mine-laying vessels as Trump warns Iran over Strait of Hormuz</t>
  </si>
  <si>
    <t xml:space="preserve">2026-03-11</t>
  </si>
  <si>
    <t xml:space="preserve">https://www.bairdmaritime.com/security/naval/naval-ships/us-destroys-mine-laying-vessels-as-trump-warns-iran-over-strait-of-hormuz</t>
  </si>
  <si>
    <t xml:space="preserve">R0033</t>
  </si>
  <si>
    <t xml:space="preserve">CBS News (via AOL)</t>
  </si>
  <si>
    <t xml:space="preserve">Strait of Hormuz dotted with about a dozen Iranian mines, U.S. officials say</t>
  </si>
  <si>
    <t xml:space="preserve">2026-03-23</t>
  </si>
  <si>
    <t xml:space="preserve">https://www.aol.com/articles/strait-hormuz-dotted-dozen-iranian-185719638.html</t>
  </si>
  <si>
    <t xml:space="preserve">R0034</t>
  </si>
  <si>
    <t xml:space="preserve">AFP (via LBCI)</t>
  </si>
  <si>
    <t xml:space="preserve">US, Israel strike 16 Iranian cargo vessels in port towns: Iran media</t>
  </si>
  <si>
    <t xml:space="preserve">2026-03-20</t>
  </si>
  <si>
    <t xml:space="preserve">https://v7cdn.lbcgroup.tv/news/middleeastnews/916494/us-israel-strike-16-iranian-cargo-vessels-in-port-towns-iran-media/en</t>
  </si>
  <si>
    <t xml:space="preserve">R0035</t>
  </si>
  <si>
    <t xml:space="preserve">CENTCOM commander gives video update as war enters fourth week</t>
  </si>
  <si>
    <t xml:space="preserve">2026-03-21</t>
  </si>
  <si>
    <t xml:space="preserve">https://www.stripes.com/theaters/middle_east/2026-03-21/centcom-cooper-iran-update-day-22-21139708.html</t>
  </si>
  <si>
    <t xml:space="preserve">R0036</t>
  </si>
  <si>
    <t xml:space="preserve">AFP (via Malay Mail)</t>
  </si>
  <si>
    <t xml:space="preserve">US, Israel strike Iran's Natanz nuclear facility, Tehran says; no radioactive leak detected</t>
  </si>
  <si>
    <t xml:space="preserve">https://www.malaymail.com/news/world/2026/03/21/us-israel-strike-irans-natanz-nuclear-facility-tehran-says-no-radioactive-leak-detected/213418</t>
  </si>
  <si>
    <t xml:space="preserve">R0037</t>
  </si>
  <si>
    <t xml:space="preserve">AP (via Boston 25 News)</t>
  </si>
  <si>
    <t xml:space="preserve">Latest: Israel says attacks on Iran ramp up, Trump mulls winding down military operations</t>
  </si>
  <si>
    <t xml:space="preserve">https://www.boston25news.com/news/local/latest-israel-says-attacks-iran-ramp-up-trump-mulls-winding-down-military-operations/NLSRJMVS5RH23HGKPLQTQWZ6JA/</t>
  </si>
  <si>
    <t xml:space="preserve">R0038</t>
  </si>
  <si>
    <t xml:space="preserve">Al Arabiya (agencies; IAEA statement)</t>
  </si>
  <si>
    <t xml:space="preserve">IAEA calls for 'military restraint' after Iran reports attack on Natanz nuclear site</t>
  </si>
  <si>
    <t xml:space="preserve">https://english.alarabiya.net/News/middle-east/2026/03/21/natanz-enrichment-facility-targeted-in-usisraeli-attack-iran-s-tasnim-says-</t>
  </si>
  <si>
    <t xml:space="preserve">R0039</t>
  </si>
  <si>
    <t xml:space="preserve">AFP (via Al-Monitor)</t>
  </si>
  <si>
    <t xml:space="preserve">Iran missile strikes wound over 100 in two south Israel towns</t>
  </si>
  <si>
    <t xml:space="preserve">https://www.al-monitor.com/originals/2026/03/iran-missile-strikes-wound-over-100-two-south-israel-towns</t>
  </si>
  <si>
    <t xml:space="preserve">R0040</t>
  </si>
  <si>
    <t xml:space="preserve">Iran strikes towns near Israel's key nuclear site, at least 180 wounded</t>
  </si>
  <si>
    <t xml:space="preserve">https://www.aljazeera.com/news/2026/3/21/iran-strikes-towns-near-israels-nuclear-site-in-escalating-tit-for-tat</t>
  </si>
  <si>
    <t xml:space="preserve">R0041</t>
  </si>
  <si>
    <t xml:space="preserve">Euronews (APE-MPE, AP photos)</t>
  </si>
  <si>
    <t xml:space="preserve">More than 160 people injured following two Iranian missile strikes on southern Israel</t>
  </si>
  <si>
    <t xml:space="preserve">2026-03-22</t>
  </si>
  <si>
    <t xml:space="preserve">https://euronews.com/2026/03/22/more-than-160-people-injured-following-two-iranian-missile-strikes-on-southern-israel</t>
  </si>
  <si>
    <t xml:space="preserve">R0042</t>
  </si>
  <si>
    <t xml:space="preserve">Trump issues 48-hour Hormuz Strait ultimatum, threatens Iran power plants</t>
  </si>
  <si>
    <t xml:space="preserve">https://www.aljazeera.com/news/2026/3/22/trump-issues-48-hour-hormuz-strait-ultimatum-threatens-iran-power-plants</t>
  </si>
  <si>
    <t xml:space="preserve">R0043</t>
  </si>
  <si>
    <t xml:space="preserve">Axios</t>
  </si>
  <si>
    <t xml:space="preserve">Axios Energy &amp; Climate newsletter, 22 March 2026 (item on Trump's Hormuz ultimatum)</t>
  </si>
  <si>
    <t xml:space="preserve">https://www.axios.com/energy-climate/2026/03/22</t>
  </si>
  <si>
    <t xml:space="preserve">R0044</t>
  </si>
  <si>
    <t xml:space="preserve">AP (via Scripps News / WPTV)</t>
  </si>
  <si>
    <t xml:space="preserve">Pakistan delivers US ceasefire proposal to Iran as troop deployments loom</t>
  </si>
  <si>
    <t xml:space="preserve">2026-03-25</t>
  </si>
  <si>
    <t xml:space="preserve">https://www.wptv.com/us-news/iran-war/pakistan-delivers-us-ceasefire-proposal-to-iran-as-troop-deployments-loom</t>
  </si>
  <si>
    <t xml:space="preserve">R0045</t>
  </si>
  <si>
    <t xml:space="preserve">Pakistan offers 'two-phased' truce deal to end US-Israel war on Iran</t>
  </si>
  <si>
    <t xml:space="preserve">2026-04-06</t>
  </si>
  <si>
    <t xml:space="preserve">https://aljazeera.com/news/2026/4/6/pakistan-offers-two-tier-truce-iran-wont-open-hormuz-under-temporary-one</t>
  </si>
  <si>
    <t xml:space="preserve">R0046</t>
  </si>
  <si>
    <t xml:space="preserve">AFP (copy hosted by L'Orient Today)</t>
  </si>
  <si>
    <t xml:space="preserve">Israel defence minister says Iran Guards navy commander killed in strike</t>
  </si>
  <si>
    <t xml:space="preserve">2026-03-26</t>
  </si>
  <si>
    <t xml:space="preserve">https://today.lorientlejour.com/article/1500912/israel-defence-minister-says-iran-guards-navy-commander-killed-in-strike.html</t>
  </si>
  <si>
    <t xml:space="preserve">R0047</t>
  </si>
  <si>
    <t xml:space="preserve">Iranian naval commander Alireza Tangsiri killed in attack, says Israel</t>
  </si>
  <si>
    <t xml:space="preserve">https://aljazeera.com/news/2026/3/26/iranian-naval-commander-alireza-tangsiri-killed-in-attack-says-israel</t>
  </si>
  <si>
    <t xml:space="preserve">R0048</t>
  </si>
  <si>
    <t xml:space="preserve">AP (copy hosted by ETV Bharat)</t>
  </si>
  <si>
    <t xml:space="preserve">Iran confirms the Revolutionary Guard navy chief was killed</t>
  </si>
  <si>
    <t xml:space="preserve">2026-03-30</t>
  </si>
  <si>
    <t xml:space="preserve">https://www.etvbharat.com/en/international/iran-confirms-the-revolutionary-guard-navy-chief-was-killed-enn26033002689</t>
  </si>
  <si>
    <t xml:space="preserve">R0049</t>
  </si>
  <si>
    <t xml:space="preserve">AP (via KATU)</t>
  </si>
  <si>
    <t xml:space="preserve">Iranian attack on Saudi base injures at least 10 US troops and damages several planes</t>
  </si>
  <si>
    <t xml:space="preserve">2026-03-27</t>
  </si>
  <si>
    <t xml:space="preserve">https://www.katu.com/news/nation-world/iranian-attack-on-saudi-base-injures-at-least-10-us-troops-and-damages-several-planes-03-27-2026</t>
  </si>
  <si>
    <t xml:space="preserve">R0050</t>
  </si>
  <si>
    <t xml:space="preserve">NPR (via WYSU)</t>
  </si>
  <si>
    <t xml:space="preserve">U.S. troops injured in attack on Saudi base as the war reaches one month</t>
  </si>
  <si>
    <t xml:space="preserve">2026-03-28</t>
  </si>
  <si>
    <t xml:space="preserve">https://wysu.org/npr-national-news/2026-03-28/u-s-troops-injured-in-attack-on-saudi-base-as-the-war-reaches-one-month</t>
  </si>
  <si>
    <t xml:space="preserve">R0051</t>
  </si>
  <si>
    <t xml:space="preserve">Iran 'hits' US AWACS, air tankers: What else has it targeted in past month?</t>
  </si>
  <si>
    <t xml:space="preserve">2026-03-29</t>
  </si>
  <si>
    <t xml:space="preserve">https://aljazeera.com/news/2026/3/29/iran-hits-us-awacs-air-tankers-what-else-has-it-targeted-in-past-month</t>
  </si>
  <si>
    <t xml:space="preserve">R0052</t>
  </si>
  <si>
    <t xml:space="preserve">Strait of Hormuz: Which countries' ships has Iran allowed safe passage to?</t>
  </si>
  <si>
    <t xml:space="preserve">2026-03-16</t>
  </si>
  <si>
    <t xml:space="preserve">https://www.aljazeera.com/economy/2026/3/16/strait-of-hormuz-which-countriess-ships-has-iran-allowed-safe-passage-to</t>
  </si>
  <si>
    <t xml:space="preserve">R0053</t>
  </si>
  <si>
    <t xml:space="preserve">The New York Times (syndicated copy at gvwire.com)</t>
  </si>
  <si>
    <t xml:space="preserve">After a Month of War, Hegseth Says Iran Retains Ability to Strike</t>
  </si>
  <si>
    <t xml:space="preserve">2026-03-31</t>
  </si>
  <si>
    <t xml:space="preserve">https://gvwire.com/2026/03/31/after-a-month-of-war-hegseth-says-iran-retains-ability-to-strike/</t>
  </si>
  <si>
    <t xml:space="preserve">R0054</t>
  </si>
  <si>
    <t xml:space="preserve">China and Pakistan present new Iran deal: Ceasefire for opening Hormuz</t>
  </si>
  <si>
    <t xml:space="preserve">https://axios.com/2026/03/31/china-pakistan-iran-peace-deal-strait-ceasefire</t>
  </si>
  <si>
    <t xml:space="preserve">R0055</t>
  </si>
  <si>
    <t xml:space="preserve">Key Iranian Bridge Severed By Airstrikes (Updated)</t>
  </si>
  <si>
    <t xml:space="preserve">2026-04-02</t>
  </si>
  <si>
    <t xml:space="preserve">https://www.twz.com/news-features/key-iranian-bridge-severed-by-airstrikes</t>
  </si>
  <si>
    <t xml:space="preserve">R0056</t>
  </si>
  <si>
    <t xml:space="preserve">AFP (via Gulf News)</t>
  </si>
  <si>
    <t xml:space="preserve">B1 bridge in Iran toppled as Trump escalates threats</t>
  </si>
  <si>
    <t xml:space="preserve">2026-04-03</t>
  </si>
  <si>
    <t xml:space="preserve">https://gulfnews.com/world/mena/b1-bridge-in-iran-toppled-as-trump-escalates-threats-1.500494937</t>
  </si>
  <si>
    <t xml:space="preserve">R0057</t>
  </si>
  <si>
    <t xml:space="preserve">In maps and photos: Five Iranian civilian bridges at risk of US strikes</t>
  </si>
  <si>
    <t xml:space="preserve">https://www.aljazeera.com/economy/2026/4/6/in-maps-and-photos-five-iranian-civilian-bridges-at-risk-of-us-strikes</t>
  </si>
  <si>
    <t xml:space="preserve">R0058</t>
  </si>
  <si>
    <t xml:space="preserve">ABC News (via KVIA)</t>
  </si>
  <si>
    <t xml:space="preserve">No air defenses? Trump, Hegseth touted American dominance in Iran before jet was downed</t>
  </si>
  <si>
    <t xml:space="preserve">2026-04-04</t>
  </si>
  <si>
    <t xml:space="preserve">https://kvia.com/news/top-stories/2026/04/04/no-air-defenses-trump-hegseth-touted-american-dominance-in-iran-before-jet-was-downed/</t>
  </si>
  <si>
    <t xml:space="preserve">R0059</t>
  </si>
  <si>
    <t xml:space="preserve">R0060</t>
  </si>
  <si>
    <t xml:space="preserve">Reuters (copy hosted by AOL)</t>
  </si>
  <si>
    <t xml:space="preserve">Iran rejects ceasefire in response to proposals and emphasises need for permanent end to war, IRNA says</t>
  </si>
  <si>
    <t xml:space="preserve">https://www.aol.com/articles/iran-rejects-ceasefire-response-proposals-145802118.html</t>
  </si>
  <si>
    <t xml:space="preserve">R0061</t>
  </si>
  <si>
    <t xml:space="preserve">Reuters (copy hosted by L'Orient Today)</t>
  </si>
  <si>
    <t xml:space="preserve">Iran, US receive plan to end hostilities, immediate cease-fire, source says</t>
  </si>
  <si>
    <t xml:space="preserve">https://today.lorientlejour.com/article/1502329/iran-us-receive-plan-to-end-hostilities-immediate-cease-fire-source-says.html</t>
  </si>
  <si>
    <t xml:space="preserve">R0062</t>
  </si>
  <si>
    <t xml:space="preserve">AP (via KY3)</t>
  </si>
  <si>
    <t xml:space="preserve">US and Iran agree to 2-week ceasefire as Trump pulls back on threats</t>
  </si>
  <si>
    <t xml:space="preserve">2026-04-07</t>
  </si>
  <si>
    <t xml:space="preserve">https://www.ky3.com/2026/04/07/iran-calls-human-chains-protect-power-plants-trumps-deadline-nears/</t>
  </si>
  <si>
    <t xml:space="preserve">R0063</t>
  </si>
  <si>
    <t xml:space="preserve">Reuters (copy hosted by Bangor Daily News)</t>
  </si>
  <si>
    <t xml:space="preserve">Trump ceasefire with Iran (wire headline not shown in the result)</t>
  </si>
  <si>
    <t xml:space="preserve">https://www.bangordailynews.com/2026/04/07/nation/trump-ceasefire-with-iran/</t>
  </si>
  <si>
    <t xml:space="preserve">R0064</t>
  </si>
  <si>
    <t xml:space="preserve">R0065</t>
  </si>
  <si>
    <t xml:space="preserve">R0066</t>
  </si>
  <si>
    <t xml:space="preserve">AP (via WSLS)</t>
  </si>
  <si>
    <t xml:space="preserve">The Latest: Trump pulls back on threats as US, Israel and Iran reach a 2-week ceasefire deal</t>
  </si>
  <si>
    <t xml:space="preserve">2026-04-08</t>
  </si>
  <si>
    <t xml:space="preserve">https://www.wsls.com/news/world/2026/04/08/the-latest-trump-pulls-back-on-threats-as-us-israel-and-iran-reach-a-2-week-ceasefire-deal/</t>
  </si>
  <si>
    <t xml:space="preserve">R0067</t>
  </si>
  <si>
    <t xml:space="preserve">R0068</t>
  </si>
  <si>
    <t xml:space="preserve">AP (via Spectrum News)</t>
  </si>
  <si>
    <t xml:space="preserve">Israel strikes Lebanon, Beirut, 100 targets, saying ceasefire does not apply</t>
  </si>
  <si>
    <t xml:space="preserve">https://spectrumlocalnews.com/us/snplus/international/2026/04/08/israel-strikes-lebanon-beirut-100-targets-saying-ceasefire-does-not-apply</t>
  </si>
  <si>
    <t xml:space="preserve">R0069</t>
  </si>
  <si>
    <t xml:space="preserve">Israel launches 100 air strikes in 10 minutes across Lebanon</t>
  </si>
  <si>
    <t xml:space="preserve">https://www.aljazeera.com/video/newsfeed/2026/4/8/israel-launches-100-air-strikes-in-10-minutes-across-lebanon</t>
  </si>
  <si>
    <t xml:space="preserve">R0070</t>
  </si>
  <si>
    <t xml:space="preserve">Reuters (copy hosted by Daily Maverick)</t>
  </si>
  <si>
    <t xml:space="preserve">Israeli strikes pummel Lebanon, killing 250 in deadliest day of war</t>
  </si>
  <si>
    <t xml:space="preserve">2026-04-09</t>
  </si>
  <si>
    <t xml:space="preserve">https://www.dailymaverick.co.za/article/2026-04-09-israeli-strikes-pummel-lebanon-killing-250-in-deadliest-day-of-war</t>
  </si>
  <si>
    <t xml:space="preserve">R0071</t>
  </si>
  <si>
    <t xml:space="preserve">R0072</t>
  </si>
  <si>
    <t xml:space="preserve">R0073</t>
  </si>
  <si>
    <t xml:space="preserve">Iran ceasefire hangs in balance as Israel bombards Lebanon</t>
  </si>
  <si>
    <t xml:space="preserve">https://www.twz.com/news-features/iran-ceasefire-hangs-in-balance-as-israel-bombards-lebanon.md</t>
  </si>
  <si>
    <t xml:space="preserve">R0074</t>
  </si>
  <si>
    <t xml:space="preserve">Despite ceasefire, Iran claims refinery hit, launches wave of attacks against UAE, Kuwait</t>
  </si>
  <si>
    <t xml:space="preserve">https://www.timesofisrael.com/despite-ceasefire-iran-claims-refinery-hit-launches-wave-of-attacks-against-uae-kuwait/</t>
  </si>
  <si>
    <t xml:space="preserve">R0075</t>
  </si>
  <si>
    <t xml:space="preserve">Iran says oil refinery on Lavan Island hit by airstrikes this morning</t>
  </si>
  <si>
    <t xml:space="preserve">https://www.timesofisrael.com/liveblog_entry/iran-says-oil-refinery-on-lavan-island-hit-by-airstrikes-this-morning/</t>
  </si>
  <si>
    <t xml:space="preserve">R0076</t>
  </si>
  <si>
    <t xml:space="preserve">Times of Israel (reporting WSJ)</t>
  </si>
  <si>
    <t xml:space="preserve">UAE secretly launched strikes on Iran during war, attacked oil refinery -- report</t>
  </si>
  <si>
    <t xml:space="preserve">2026-05-12</t>
  </si>
  <si>
    <t xml:space="preserve">https://www.timesofisrael.com/uae-secretly-carried-out-strikes-on-iran-including-on-oil-refinery-report/</t>
  </si>
  <si>
    <t xml:space="preserve">R0077</t>
  </si>
  <si>
    <t xml:space="preserve">UAE struck Iran dozens of times, with US and Israeli intel, during war and amid truce -- WSJ</t>
  </si>
  <si>
    <t xml:space="preserve">2026-05-30</t>
  </si>
  <si>
    <t xml:space="preserve">https://www.timesofisrael.com/uae-struck-iran-dozens-of-times-during-war-and-amid-truce-including-with-israel-wsj/</t>
  </si>
  <si>
    <t xml:space="preserve">R0078</t>
  </si>
  <si>
    <t xml:space="preserve">U.S. warships cross Strait of Hormuz for first time since Iran war began</t>
  </si>
  <si>
    <t xml:space="preserve">2026-04-11</t>
  </si>
  <si>
    <t xml:space="preserve">https://axios.com/2026/04/11/us-iran-navy-strait-of-hormuz</t>
  </si>
  <si>
    <t xml:space="preserve">R0079</t>
  </si>
  <si>
    <t xml:space="preserve">UPDATED: Two U.S. Warships Sail Through Strait of Hormuz to Establish New Route for Merchant Ships</t>
  </si>
  <si>
    <t xml:space="preserve">https://news.usni.org/?p=121862</t>
  </si>
  <si>
    <t xml:space="preserve">R0080</t>
  </si>
  <si>
    <t xml:space="preserve">AP (via Boston Globe)</t>
  </si>
  <si>
    <t xml:space="preserve">US-Iran talks end without agreement, Vance says</t>
  </si>
  <si>
    <t xml:space="preserve">https://www.bostonglobe.com/2026/04/11/world/us-iran-talks-vance-iranian-officials-in-pakistan/</t>
  </si>
  <si>
    <t xml:space="preserve">R0081</t>
  </si>
  <si>
    <t xml:space="preserve">U.S.-Iran talks end with no deal</t>
  </si>
  <si>
    <t xml:space="preserve">2026-04-12</t>
  </si>
  <si>
    <t xml:space="preserve">https://www.axios.com/2026/04/12/iran-talks-pakistan-vance-no-deal</t>
  </si>
  <si>
    <t xml:space="preserve">R0082</t>
  </si>
  <si>
    <t xml:space="preserve">Iran's FM says Tehran approached talks with US in 'good faith' but was met with 'maximalism'</t>
  </si>
  <si>
    <t xml:space="preserve">https://www.timesofisrael.com/liveblog_entry/irans-fm-says-tehran-approached-talks-with-us-in-good-faith-but-was-met-with-maximalism/</t>
  </si>
  <si>
    <t xml:space="preserve">R0083</t>
  </si>
  <si>
    <t xml:space="preserve">R0084</t>
  </si>
  <si>
    <t xml:space="preserve">Trump announces naval blockade on Iran after peace talks collapse</t>
  </si>
  <si>
    <t xml:space="preserve">https://www.axios.com/2026/04/12/trump-naval-blockade-iran-strait-hormuz-peace-talks</t>
  </si>
  <si>
    <t xml:space="preserve">R0085</t>
  </si>
  <si>
    <t xml:space="preserve">Iran war: US 'blockade' to Lebanon fighting, what's happening on day 45?</t>
  </si>
  <si>
    <t xml:space="preserve">2026-04-13</t>
  </si>
  <si>
    <t xml:space="preserve">https://www.aljazeera.com/news/2026/4/13/iran-war-what-is-happening-on-day-45-of-the-us-iran-conflict</t>
  </si>
  <si>
    <t xml:space="preserve">R0086</t>
  </si>
  <si>
    <t xml:space="preserve">AP (via WSMV)</t>
  </si>
  <si>
    <t xml:space="preserve">Iran fully closes Strait of Hormuz over US blockade and fires on ships</t>
  </si>
  <si>
    <t xml:space="preserve">2026-04-18</t>
  </si>
  <si>
    <t xml:space="preserve">https://www.wsmv.com/2026/04/18/iran-reimposes-restrictions-strait-hormuz-accusing-us-violating-deal-reopen-it/</t>
  </si>
  <si>
    <t xml:space="preserve">R0087</t>
  </si>
  <si>
    <t xml:space="preserve">U.S. Disables, Seizes Iranian Container Ship Attempting to Run Strait of Hormuz Blockade</t>
  </si>
  <si>
    <t xml:space="preserve">2026-04-19</t>
  </si>
  <si>
    <t xml:space="preserve">https://news.usni.org/2026/04/19/u-s-disables-seizes-iranian-container-ship-attempting-to-run-strait-of-hormuz-blockade</t>
  </si>
  <si>
    <t xml:space="preserve">R0088</t>
  </si>
  <si>
    <t xml:space="preserve">Three ships targeted in Hormuz, Iran seizes two: monitors, Guards</t>
  </si>
  <si>
    <t xml:space="preserve">2026-04-22</t>
  </si>
  <si>
    <t xml:space="preserve">https://www.al-monitor.com/originals/2026/04/three-ships-targeted-hormuz-iran-seizes-two-monitors-guards</t>
  </si>
  <si>
    <t xml:space="preserve">R0089</t>
  </si>
  <si>
    <t xml:space="preserve">MSC-linked container ships seized by Iranian forces taken to port, crews taken captive</t>
  </si>
  <si>
    <t xml:space="preserve">2026-04-23</t>
  </si>
  <si>
    <t xml:space="preserve">https://www.bairdmaritime.com/security/incidents/msc-linked-container-ships-seized-by-iranian-forces-taken-to-port-crews-taken-captive</t>
  </si>
  <si>
    <t xml:space="preserve">R0090</t>
  </si>
  <si>
    <t xml:space="preserve">AP (repost on mcac.maryland.gov)</t>
  </si>
  <si>
    <t xml:space="preserve">Kuwait says Iran attacked an island where China is helping to build a port</t>
  </si>
  <si>
    <t xml:space="preserve">https://mcac.maryland.gov/2026/05/kuwait-says-iran-attacked-an-island-where-china-is-helping-to-build-a-port/</t>
  </si>
  <si>
    <t xml:space="preserve">R0091</t>
  </si>
  <si>
    <t xml:space="preserve">Kuwait says it foiled infiltration operation by Iran's IRGC</t>
  </si>
  <si>
    <t xml:space="preserve">https://www.aljazeera.com/amp/news/2026/5/12/kuwait-says-it-foils-infiltration-operation-by-irans-irgc</t>
  </si>
  <si>
    <t xml:space="preserve">R0092</t>
  </si>
  <si>
    <t xml:space="preserve">Trump says US will 'help free up' ships stuck in Hormuz Strait</t>
  </si>
  <si>
    <t xml:space="preserve">2026-05-03</t>
  </si>
  <si>
    <t xml:space="preserve">https://www.aljazeera.com/amp/news/2026/5/3/trump-says-us-will-help-free-up-ships-stuck-in-hormuz-strait</t>
  </si>
  <si>
    <t xml:space="preserve">R0093</t>
  </si>
  <si>
    <t xml:space="preserve">Reuters (via Al-Monitor)</t>
  </si>
  <si>
    <t xml:space="preserve">US sinks Iranian small boats, shoots down missiles, drones as it opens strait</t>
  </si>
  <si>
    <t xml:space="preserve">2026-05-04</t>
  </si>
  <si>
    <t xml:space="preserve">https://www.al-monitor.com/originals/2026/05/us-sinks-iranian-small-boats-shoots-down-missiles-drones-it-opens-strait</t>
  </si>
  <si>
    <t xml:space="preserve">R0094</t>
  </si>
  <si>
    <t xml:space="preserve">Al Jazeera (page is a mirror of aljazeera.com video item)</t>
  </si>
  <si>
    <t xml:space="preserve">US pauses plan to guide ships through the Strait of Hormuz</t>
  </si>
  <si>
    <t xml:space="preserve">2026-05-06</t>
  </si>
  <si>
    <t xml:space="preserve">https://aljazeeranews-3fuh52rgrl.edgeone.app/video/newsfeed/2026/5/6/us-pauses-plan-to-guide-ships-through-the-strait-of-hormuz</t>
  </si>
  <si>
    <t xml:space="preserve">R0095</t>
  </si>
  <si>
    <t xml:space="preserve">CNN (via KRDO/CNN Newsource)</t>
  </si>
  <si>
    <t xml:space="preserve">US forces strike military facilities in Iran as countries exchange fire</t>
  </si>
  <si>
    <t xml:space="preserve">2026-05-07</t>
  </si>
  <si>
    <t xml:space="preserve">https://krdo.com/news/2026/05/07/us-forces-strike-military-facilities-in-iran-as-countries-exchange-fire/</t>
  </si>
  <si>
    <t xml:space="preserve">R0096</t>
  </si>
  <si>
    <t xml:space="preserve">U.S. Just Struck Iranian Targets Around The Strait Of Hormuz (Updated)</t>
  </si>
  <si>
    <t xml:space="preserve">https://www.twz.com/news-features/iranian-island-port-in-strait-of-hormuz-attacked-state-media-claims</t>
  </si>
  <si>
    <t xml:space="preserve">R0097</t>
  </si>
  <si>
    <t xml:space="preserve">R0098</t>
  </si>
  <si>
    <t xml:space="preserve">R0099</t>
  </si>
  <si>
    <t xml:space="preserve">NPR (via KGOU)</t>
  </si>
  <si>
    <t xml:space="preserve">Iran and Israel trade attacks for the first time since April ceasefire</t>
  </si>
  <si>
    <t xml:space="preserve">2026-06-08</t>
  </si>
  <si>
    <t xml:space="preserve">https://www.kgou.org/2026-06-08/iran-and-israel-trade-attacks-for-the-first-time-since-april-ceasefire</t>
  </si>
  <si>
    <t xml:space="preserve">R0100</t>
  </si>
  <si>
    <t xml:space="preserve">Iran state media says two military personnel killed in Israeli strikes on Monday</t>
  </si>
  <si>
    <t xml:space="preserve">2026-06-09</t>
  </si>
  <si>
    <t xml:space="preserve">https://english.alarabiya.net/News/middle-east/2026/06/09/iran-state-media-says-two-military-personnel-killed-in-israeli-strikes-on-monday</t>
  </si>
  <si>
    <t xml:space="preserve">R0101</t>
  </si>
  <si>
    <t xml:space="preserve">CBS News</t>
  </si>
  <si>
    <t xml:space="preserve">US Apache helicopter crash over Strait of Hormuz; crew rescued by unmanned surface drone (headline per URL)</t>
  </si>
  <si>
    <t xml:space="preserve">https://www.cbsnews.com/news/us-apache-helicopter-crash-strait-of-hormuz-first-sea-drone-rescue/</t>
  </si>
  <si>
    <t xml:space="preserve">R0102</t>
  </si>
  <si>
    <t xml:space="preserve">CENTCOM (press release)</t>
  </si>
  <si>
    <t xml:space="preserve">Official statement</t>
  </si>
  <si>
    <t xml:space="preserve">U.S. Completes Strikes in Response to Iran's Attack on Apache</t>
  </si>
  <si>
    <t xml:space="preserve">https://www.centcom.mil/MEDIA/PUBLIC-RELEASES/Article/4512968/us-completes-strikes-in-response-to-irans-attack-on-apache/</t>
  </si>
  <si>
    <t xml:space="preserve">R0103</t>
  </si>
  <si>
    <t xml:space="preserve">NPR (via Michigan Public)</t>
  </si>
  <si>
    <t xml:space="preserve">U.S. and Iran exchange strikes after Apache helicopter is downed</t>
  </si>
  <si>
    <t xml:space="preserve">https://www.michiganpublic.org/2026-06-09/u-s-and-iran-exchange-strikes-after-apache-helicopter-is-downed</t>
  </si>
  <si>
    <t xml:space="preserve">R0104</t>
  </si>
  <si>
    <t xml:space="preserve">AP (via WBOC)</t>
  </si>
  <si>
    <t xml:space="preserve">Iran fires missiles at air base hosting US forces in Jordan</t>
  </si>
  <si>
    <t xml:space="preserve">2026-06-10</t>
  </si>
  <si>
    <t xml:space="preserve">https://www.wboc.com/news/international/iranian-fires-missiles-at-air-base-hosting-us-forces-in-jordan/article_2e374be5-77f3-5207-91ab-9b25ff8377bd.html</t>
  </si>
  <si>
    <t xml:space="preserve">R0105</t>
  </si>
  <si>
    <t xml:space="preserve">Axios (Barak Ravid), as summarised on Iran International page</t>
  </si>
  <si>
    <t xml:space="preserve">Iran fired missiles, drones at bases in Bahrain, Kuwait and Jordan - Axios</t>
  </si>
  <si>
    <t xml:space="preserve">https://www.iranintl.com/en/202606107297</t>
  </si>
  <si>
    <t xml:space="preserve">R0106</t>
  </si>
  <si>
    <t xml:space="preserve">Petra (Jordan Armed Forces statement; official party statement)</t>
  </si>
  <si>
    <t xml:space="preserve">Air Defense Systems and Air Force Intercept 20 Missiles Fired Toward Azraq (Jun 11 statement; see event 48)</t>
  </si>
  <si>
    <t xml:space="preserve">2026-06-11</t>
  </si>
  <si>
    <t xml:space="preserve">https://www.petra.gov.jo/en/news/air-defense-systems-and-air-force-intercept-20-missiles-fired-toward-azraq</t>
  </si>
  <si>
    <t xml:space="preserve">R0107</t>
  </si>
  <si>
    <t xml:space="preserve">Air Defense Systems and Air Force Intercept 20 Missiles Fired Toward Azraq</t>
  </si>
  <si>
    <t xml:space="preserve">R0108</t>
  </si>
  <si>
    <t xml:space="preserve">AFP (via Ahram; later reference to 11 Jun)</t>
  </si>
  <si>
    <t xml:space="preserve">Jordan's military says intercepted 8 missiles fired from Iran</t>
  </si>
  <si>
    <t xml:space="preserve">2026-07-09</t>
  </si>
  <si>
    <t xml:space="preserve">https://english.ahram.org.eg/News/572559.aspx</t>
  </si>
  <si>
    <t xml:space="preserve">R0109</t>
  </si>
  <si>
    <t xml:space="preserve">Trump claims Iran deal reached, Tehran says no 'final decision'</t>
  </si>
  <si>
    <t xml:space="preserve">https://axios.com/2026/06/11/trump-cancel-iran-strikes-deal-strait</t>
  </si>
  <si>
    <t xml:space="preserve">R0110</t>
  </si>
  <si>
    <t xml:space="preserve">Pakistan PM Sharif says in X post that final text of US-Iran peace deal agreed, working on next steps</t>
  </si>
  <si>
    <t xml:space="preserve">2026-06-12</t>
  </si>
  <si>
    <t xml:space="preserve">https://www.al-monitor.com/originals/2026/06/pakistan-pm-sharif-says-x-post-final-text-us-iran-peace-deal-agreed-working-next</t>
  </si>
  <si>
    <t xml:space="preserve">R0111</t>
  </si>
  <si>
    <t xml:space="preserve">Reuters (via Dubai Eye 103.8)</t>
  </si>
  <si>
    <t xml:space="preserve">US, Iran sign interim ceasefire agreement</t>
  </si>
  <si>
    <t xml:space="preserve">2026-06-17</t>
  </si>
  <si>
    <t xml:space="preserve">https://www.dubaieye1038.com/news/international/us-iran-sign-interim-ceasefire-agreement/</t>
  </si>
  <si>
    <t xml:space="preserve">R0112</t>
  </si>
  <si>
    <t xml:space="preserve">Iran, US presidents sign deal to extend ceasefire, reopen Strait of Hormuz</t>
  </si>
  <si>
    <t xml:space="preserve">https://www.aljazeera.com/news/2026/6/17/iran-confirms-that-mou-has-been-signed-electronically-by-both-sides</t>
  </si>
  <si>
    <t xml:space="preserve">R0113</t>
  </si>
  <si>
    <t xml:space="preserve">NPR</t>
  </si>
  <si>
    <t xml:space="preserve">Trump signs preliminary agreement with Iran, after releasing details</t>
  </si>
  <si>
    <t xml:space="preserve">https://www.npr.org/2026/06/17/nx-s1-5860782/trump-iran-agreement-g7</t>
  </si>
  <si>
    <t xml:space="preserve">R0114</t>
  </si>
  <si>
    <t xml:space="preserve">What the Trump-Iran agreement says about Lebanon, Hormuz and uranium</t>
  </si>
  <si>
    <t xml:space="preserve">2026-06-18</t>
  </si>
  <si>
    <t xml:space="preserve">https://www.aljazeera.com/news/2026/6/18/what-the-trump-iran-14-point-plan-says-about-lebanon-hormuz-and-uranium</t>
  </si>
  <si>
    <t xml:space="preserve">R0115</t>
  </si>
  <si>
    <t xml:space="preserve">What you need to know about the preliminary U.S.-Iran agreement signed by Trump</t>
  </si>
  <si>
    <t xml:space="preserve">2026-06-19</t>
  </si>
  <si>
    <t xml:space="preserve">https://www.npr.org/2026/06/19/nx-s1-5863544/trump-us-iran-agreement</t>
  </si>
  <si>
    <t xml:space="preserve">R0116</t>
  </si>
  <si>
    <t xml:space="preserve">US military says it has lifted naval blockade of Iranian ports</t>
  </si>
  <si>
    <t xml:space="preserve">https://www.aljazeera.com/news/2026/6/18/us-military-says-it-has-lifted-naval-blockade-of-iranian-ports</t>
  </si>
  <si>
    <t xml:space="preserve">R0117</t>
  </si>
  <si>
    <t xml:space="preserve">Reuters (wire text read on Al-Monitor)</t>
  </si>
  <si>
    <t xml:space="preserve">Israel, Hezbollah agree to ceasefire starting on Friday - US official</t>
  </si>
  <si>
    <t xml:space="preserve">https://www.al-monitor.com/originals/2026/06/israeli-hezbollah-agree-ceasefire-starting-friday-us-official</t>
  </si>
  <si>
    <t xml:space="preserve">R0118</t>
  </si>
  <si>
    <t xml:space="preserve">AFP (wire text read on Aaj News)</t>
  </si>
  <si>
    <t xml:space="preserve">Iran closes Strait of Hormuz over Lebanon strikes</t>
  </si>
  <si>
    <t xml:space="preserve">2026-06-20</t>
  </si>
  <si>
    <t xml:space="preserve">https://english.aaj.tv/news/330460549</t>
  </si>
  <si>
    <t xml:space="preserve">R0119</t>
  </si>
  <si>
    <t xml:space="preserve">Israeli strikes kill at least 20 in Lebanon hours after ceasefire</t>
  </si>
  <si>
    <t xml:space="preserve">https://www.al-monitor.com/originals/2026/06/israeli-strikes-kill-least-20-lebanon-hours-after-ceasefire</t>
  </si>
  <si>
    <t xml:space="preserve">R0120</t>
  </si>
  <si>
    <t xml:space="preserve">R0121</t>
  </si>
  <si>
    <t xml:space="preserve">Iran war live: Tehran says US must ensure Israel ends attacks on Lebanon (live blog; page text not extractable, headline/video titles 'Tehran shuts Hormuz' seen)</t>
  </si>
  <si>
    <t xml:space="preserve">https://www.aljazeera.com/news/liveblog/2026/6/20/iran-war-live-tehran-says-us-must-ensure-israel-ends-attacks-on-lebanon</t>
  </si>
  <si>
    <t xml:space="preserve">R0122</t>
  </si>
  <si>
    <t xml:space="preserve">US strikes Iran in response to drone strike on commercial ship</t>
  </si>
  <si>
    <t xml:space="preserve">2026-06-26</t>
  </si>
  <si>
    <t xml:space="preserve">https://aljazeera.com/news/2026/6/26/us-strikes-iran-in-response-to-drone-strike-on-commercial-ship</t>
  </si>
  <si>
    <t xml:space="preserve">R0123</t>
  </si>
  <si>
    <t xml:space="preserve">CENTCOM (official release, mirrored on iranwatch.org)</t>
  </si>
  <si>
    <t xml:space="preserve">U.S. Forces Conduct Additional Strikes After Iran's Latest Commercial Ship Attack</t>
  </si>
  <si>
    <t xml:space="preserve">2026-06-27</t>
  </si>
  <si>
    <t xml:space="preserve">https://www.iranwatch.org/library/governments/united-states/executive-branch/department-defense/us-forces-conduct-additional-strikes-after-irans-latest-commercial-ship-attack</t>
  </si>
  <si>
    <t xml:space="preserve">R0124</t>
  </si>
  <si>
    <t xml:space="preserve">NPR (AP-sourced)</t>
  </si>
  <si>
    <t xml:space="preserve">U.S. strikes multiple targets in Iran in response to tanker attack</t>
  </si>
  <si>
    <t xml:space="preserve">https://www.npr.org/2026/06/27/nx-s1-5872954/us-strikes-iran</t>
  </si>
  <si>
    <t xml:space="preserve">R0125</t>
  </si>
  <si>
    <t xml:space="preserve">Iran and US trade attacks as Strait of Hormuz ceasefire falters</t>
  </si>
  <si>
    <t xml:space="preserve">2026-06-28</t>
  </si>
  <si>
    <t xml:space="preserve">https://www.aljazeera.com/news/2026/6/28/iran-attacks-kuwait-and-bahrain-in-response-to-us-strikes</t>
  </si>
  <si>
    <t xml:space="preserve">R0126</t>
  </si>
  <si>
    <t xml:space="preserve">R0127</t>
  </si>
  <si>
    <t xml:space="preserve">AP (via Irish Examiner)</t>
  </si>
  <si>
    <t xml:space="preserve">Kuwait and Bahrain say Iran targeted them with drone and missile strikes</t>
  </si>
  <si>
    <t xml:space="preserve">https://www.irishexaminer.com/world/arid-41870352.html</t>
  </si>
  <si>
    <t xml:space="preserve">R0128</t>
  </si>
  <si>
    <t xml:space="preserve">AP (via MyNorthwest)</t>
  </si>
  <si>
    <t xml:space="preserve">https://mynorthwest.com/world/kuwait-and-bahrain-say-iran-targeted-them-with-drone-and-missile-strikes/4252061</t>
  </si>
  <si>
    <t xml:space="preserve">R0129</t>
  </si>
  <si>
    <t xml:space="preserve">R0130</t>
  </si>
  <si>
    <t xml:space="preserve">Iran resumes Hormuz attacks, U.S. officials say</t>
  </si>
  <si>
    <t xml:space="preserve">2026-07-07</t>
  </si>
  <si>
    <t xml:space="preserve">https://axios.com/2026/07/07/iran-resumes-hormuz-attacks-us-officials</t>
  </si>
  <si>
    <t xml:space="preserve">R0131</t>
  </si>
  <si>
    <t xml:space="preserve">Reuters (via Honolulu Star-Advertiser)</t>
  </si>
  <si>
    <t xml:space="preserve">U.S. revokes license authorizing Iranian oil sales after tanker attacks</t>
  </si>
  <si>
    <t xml:space="preserve">https://www.staradvertiser.com/2026/07/07/breaking-news/u-s-revokes-license-authorizing-iranian-oil-sales-after-tanker-attacks/</t>
  </si>
  <si>
    <t xml:space="preserve">R0132</t>
  </si>
  <si>
    <t xml:space="preserve">R0133</t>
  </si>
  <si>
    <t xml:space="preserve">At the NATO summit, Trump declares Iran ceasefire is over</t>
  </si>
  <si>
    <t xml:space="preserve">2026-07-08</t>
  </si>
  <si>
    <t xml:space="preserve">https://www.npr.org/2026/07/08/nx-s1-5886111/at-the-nato-summit-trump-declares-iran-ceasefire-is-over</t>
  </si>
  <si>
    <t xml:space="preserve">R0134</t>
  </si>
  <si>
    <t xml:space="preserve">U.S. Forces Complete Another Round of Strikes Against Iran</t>
  </si>
  <si>
    <t xml:space="preserve">https://www.centcom.mil/MEDIA/PUBLIC-RELEASES/Article/4538814/us-forces-complete-another-round-of-strikes-against-iran/</t>
  </si>
  <si>
    <t xml:space="preserve">R0135</t>
  </si>
  <si>
    <t xml:space="preserve">Bloomberg (via Bloomberg Government)</t>
  </si>
  <si>
    <t xml:space="preserve">US Military Launches Strikes on Iran for Second Straight Day</t>
  </si>
  <si>
    <t xml:space="preserve">https://news.bgov.com/bloomberg-government-news/us-military-launches-strikes-on-iran-for-second-straight-day</t>
  </si>
  <si>
    <t xml:space="preserve">R0136</t>
  </si>
  <si>
    <t xml:space="preserve">AFP (via Ahram Online)</t>
  </si>
  <si>
    <t xml:space="preserve">R0137</t>
  </si>
  <si>
    <t xml:space="preserve">Reuters (via Aaj News)</t>
  </si>
  <si>
    <t xml:space="preserve">Iran fired ten ballistic missiles on Jordan's Azraq military base</t>
  </si>
  <si>
    <t xml:space="preserve">https://english.aaj.tv/news/330462909</t>
  </si>
  <si>
    <t xml:space="preserve">R0138</t>
  </si>
  <si>
    <t xml:space="preserve">Iran attacks five Gulf nations, shuts Hormuz after US bombing: All to know</t>
  </si>
  <si>
    <t xml:space="preserve">2026-07-12</t>
  </si>
  <si>
    <t xml:space="preserve">https://aljazeera.com/news/2026/7/12/iran-attacks-five-gulf-nations-shuts-hormuz-after-us-bombing-all-to-know</t>
  </si>
  <si>
    <t xml:space="preserve">R0139</t>
  </si>
  <si>
    <t xml:space="preserve">R0140</t>
  </si>
  <si>
    <t xml:space="preserve">Tasnim (Iranian state-linked media; IRGC claim)</t>
  </si>
  <si>
    <t xml:space="preserve">Iranian state media (claim only)</t>
  </si>
  <si>
    <t xml:space="preserve">US Patriot radar, C-RAM system in Bahrain destroyed in IRGC missile strike</t>
  </si>
  <si>
    <t xml:space="preserve">2026-07-14</t>
  </si>
  <si>
    <t xml:space="preserve">https://tasnimnews.ir/en/news/2026/07/14/3646793/us-patriot-radar-c-ram-system-in-bahrain-destroyed-in-irgc-missile-strike</t>
  </si>
  <si>
    <t xml:space="preserve">R0141</t>
  </si>
  <si>
    <t xml:space="preserve">AP (wire text read on mynorthwest.com; byline Jon Gambrell, Toqa Ezzidin, Konstantin Toropin)</t>
  </si>
  <si>
    <t xml:space="preserve">US military says 2 troops are dead and 1 is missing after Iran attacks a base in Jordan</t>
  </si>
  <si>
    <t xml:space="preserve">2026-07-18</t>
  </si>
  <si>
    <t xml:space="preserve">https://mynorthwest.com/uncategorized/us-military-says-2-troops-are-dead-and-1-is-missing-after-iran-attacks-a-base-in-jordan/4258192</t>
  </si>
  <si>
    <t xml:space="preserve">R0142</t>
  </si>
  <si>
    <t xml:space="preserve">Service members killed in Jordan attack were US Army air defense soldiers, Pentagon says</t>
  </si>
  <si>
    <t xml:space="preserve">2026-07-20</t>
  </si>
  <si>
    <t xml:space="preserve">https://www.stripes.com/branches/army/2026-07-20/troops-killed-jordan-attack-iran-22316454.html</t>
  </si>
  <si>
    <t xml:space="preserve">R0143</t>
  </si>
  <si>
    <t xml:space="preserve">Army.mil (official DoD statement)</t>
  </si>
  <si>
    <t xml:space="preserve">DoW releases identity of Army casualty in Jordan</t>
  </si>
  <si>
    <t xml:space="preserve">https://www.army.mil/article/294039/dow_releases_identity_of_army_casualty_in_jordan</t>
  </si>
  <si>
    <t xml:space="preserve">R0144</t>
  </si>
  <si>
    <t xml:space="preserve">Israel says Iran missile towards Jordan's Aqaba intercepted</t>
  </si>
  <si>
    <t xml:space="preserve">2026-07-19</t>
  </si>
  <si>
    <t xml:space="preserve">https://english.ahram.org.eg/News/573121.aspx</t>
  </si>
  <si>
    <t xml:space="preserve">R0145</t>
  </si>
  <si>
    <t xml:space="preserve">AFP (via Arab News Pakistan)</t>
  </si>
  <si>
    <t xml:space="preserve">Jordan intercepted Iranian missile fired toward Aqaba</t>
  </si>
  <si>
    <t xml:space="preserve">https://www.arabnews.pk/node/2651488/middle-east</t>
  </si>
  <si>
    <t xml:space="preserve">R0146</t>
  </si>
  <si>
    <t xml:space="preserve">Iran's Revolutionary Guards say they fired ballistic missiles at US military aircraft in Jordan</t>
  </si>
  <si>
    <t xml:space="preserve">https://www.timesofisrael.com/liveblog_entry/irans-revolutionary-guards-say-they-fired-ballistic-missiles-at-us-military-aircraft-in-jordan/</t>
  </si>
  <si>
    <t xml:space="preserve">R0147</t>
  </si>
  <si>
    <t xml:space="preserve">CNN (analysis by Tim Lister; read via Egypt Independent republication)</t>
  </si>
  <si>
    <t xml:space="preserve">Iran's latest warning to the US signals the hardliners are just getting started</t>
  </si>
  <si>
    <t xml:space="preserve">2026-08-19</t>
  </si>
  <si>
    <t xml:space="preserve">https://www.egyptindependent.com/irans-latest-warning-to-the-us-signals-the-hardliners-are-just-getting-started/</t>
  </si>
  <si>
    <t xml:space="preserve">R0148</t>
  </si>
  <si>
    <t xml:space="preserve">Trump: Mines fully removed from Strait of Hormuz</t>
  </si>
  <si>
    <t xml:space="preserve">2026-08-25</t>
  </si>
  <si>
    <t xml:space="preserve">https://axios.com/2026/08/25/hormuz-mines-remove-oil-iran-trump</t>
  </si>
  <si>
    <t xml:space="preserve">R0149</t>
  </si>
  <si>
    <t xml:space="preserve">CNN (CNN Newsource text read on KEYT)</t>
  </si>
  <si>
    <t xml:space="preserve">US strikes Iranian island where forces were preparing to launch mines, official says / US and Iran trade strikes</t>
  </si>
  <si>
    <t xml:space="preserve">2026-08-30</t>
  </si>
  <si>
    <t xml:space="preserve">https://keyt.com/politics/cnn-us-politics/2026/08/30/us-strikes-iranian-island-where-forces-were-preparing-to-launch-mines-official-says/</t>
  </si>
  <si>
    <t xml:space="preserve">R0150</t>
  </si>
  <si>
    <t xml:space="preserve">Iran attacks US bases in Jordan after US strikes Larak Island</t>
  </si>
  <si>
    <t xml:space="preserve">https://aljazeera.com/news/2026/8/30/us-strikes-irans-lark-island-in-first-attack-in-weeks</t>
  </si>
  <si>
    <t xml:space="preserve">R0151</t>
  </si>
  <si>
    <t xml:space="preserve">Jordan and Bahrain face Iranian missiles and drones as hostilities flare (live updates; page date not visible, covers Aug 30-31)</t>
  </si>
  <si>
    <t xml:space="preserve">https://www.cbsnews.com/live-updates/iran-war-us-strikes-strait-of-hormuz-larak-island/</t>
  </si>
  <si>
    <t xml:space="preserve">R0152</t>
  </si>
  <si>
    <t xml:space="preserve">Bloomberg (syndicated copy on World Oil, credited to Bloomberg)</t>
  </si>
  <si>
    <t xml:space="preserve">Two oil tankers reportedly struck as Strait of Hormuz hostilities resume</t>
  </si>
  <si>
    <t xml:space="preserve">2026-09-01</t>
  </si>
  <si>
    <t xml:space="preserve">https://www.worldoil.com/news/2026/9/1/two-oil-tankers-reportedly-struck-as-strait-of-hormuz-hostilities-resume/</t>
  </si>
  <si>
    <t xml:space="preserve">R0153</t>
  </si>
  <si>
    <t xml:space="preserve">AFP (copy on Ahram Online)</t>
  </si>
  <si>
    <t xml:space="preserve">Two dead after Monday attack on Saudi oil tanker in Hormuz: shipping firm</t>
  </si>
  <si>
    <t xml:space="preserve">2026-09-02</t>
  </si>
  <si>
    <t xml:space="preserve">https://english.ahram.org.eg/News/575814.aspx</t>
  </si>
  <si>
    <t xml:space="preserve">R0154</t>
  </si>
  <si>
    <t xml:space="preserve">R0155</t>
  </si>
  <si>
    <t xml:space="preserve">Iran claims attacks on Bahrain, Jordan, Iraq after US strikes kill 11</t>
  </si>
  <si>
    <t xml:space="preserve">https://www.aljazeera.com/news/2026/9/1/us-military-says-launching-new-attacks-on-iran</t>
  </si>
  <si>
    <t xml:space="preserve">R0156</t>
  </si>
  <si>
    <t xml:space="preserve">CENTCOM (official release)</t>
  </si>
  <si>
    <t xml:space="preserve">CENTCOM completes strikes on IRGC targets in Iran</t>
  </si>
  <si>
    <t xml:space="preserve">https://www.centcom.mil/MEDIA/PUBLIC-RELEASES/Article/4588389/centcom-completes-strikes-on-irgc-targets-in-iran/</t>
  </si>
  <si>
    <t xml:space="preserve">R0157</t>
  </si>
  <si>
    <t xml:space="preserve">Vance 'extremely skeptical' U.S. strike hit Iran wedding party, says he wouldn't call conflict a war (live updates, Sept 2-4)</t>
  </si>
  <si>
    <t xml:space="preserve">https://www.cbsnews.com/live-updates/us-iran-war-trump-dismisses-diplomacy-tehran-says-wedding-hit-in-strike/</t>
  </si>
  <si>
    <t xml:space="preserve">R0158</t>
  </si>
  <si>
    <t xml:space="preserve">US strike on a wedding ceremony kills 4, including a child, wounds 50 in Iran</t>
  </si>
  <si>
    <t xml:space="preserve">https://english.ahram.org.eg/News/575804.aspx</t>
  </si>
  <si>
    <t xml:space="preserve">R0159</t>
  </si>
  <si>
    <t xml:space="preserve">Iran says US bombed a wedding party in Sirik, killing five</t>
  </si>
  <si>
    <t xml:space="preserve">https://www.aljazeera.com/amp/news/2026/9/2/iran-says-us-strikes-hit-a-wedding-party-in-sirik-killing-five</t>
  </si>
  <si>
    <t xml:space="preserve">R0160</t>
  </si>
  <si>
    <t xml:space="preserve">R0161</t>
  </si>
  <si>
    <t xml:space="preserve">R0162</t>
  </si>
  <si>
    <t xml:space="preserve">R0163</t>
  </si>
  <si>
    <t xml:space="preserve">Iran, US exchange new attacks: Who was hit in latest strikes?</t>
  </si>
  <si>
    <t xml:space="preserve">https://www.aljazeera.com/news/2026/9/2/iran-us-exchange-new-attacks-who-was-hit-in-latest-strikes</t>
  </si>
  <si>
    <t xml:space="preserve">R0164</t>
  </si>
  <si>
    <t xml:space="preserve">Times of Israel (Reuters-based)</t>
  </si>
  <si>
    <t xml:space="preserve">US strikes Iranian sites around Hormuz, IRGC says it retaliated against base in Jordan</t>
  </si>
  <si>
    <t xml:space="preserve">https://www.timesofisrael.com/us-strikes-iranian-sites-around-hormuz-irgc-says-it-retaliated-against-base-in-jordan/</t>
  </si>
  <si>
    <t xml:space="preserve">R0165</t>
  </si>
  <si>
    <t xml:space="preserve">R0166</t>
  </si>
  <si>
    <t xml:space="preserve">R0167</t>
  </si>
  <si>
    <t xml:space="preserve">CENTCOM Destroys 3 IRGC Oil Tankers After Iran Targets 2 US Navy Warships (headline per URL)</t>
  </si>
  <si>
    <t xml:space="preserve">2026-09-05</t>
  </si>
  <si>
    <t xml:space="preserve">https://www.centcom.mil/MEDIA/PUBLIC-RELEASES/Article/4591744/centcom-destroys-3-irgc-oil-tankers-after-iran-targets-2-us-navy-warships/</t>
  </si>
  <si>
    <t xml:space="preserve">R0168</t>
  </si>
  <si>
    <t xml:space="preserve">U.S. Destroys 5 IRGC Tankers After Iran Targets Another American Warship</t>
  </si>
  <si>
    <t xml:space="preserve">2026-09-08</t>
  </si>
  <si>
    <t xml:space="preserve">https://www.centcom.mil/MEDIA/PUBLIC-RELEASES/Article/4593050/us-destroys-5-irgc-tankers-after-iran-targets-another-american-warship/</t>
  </si>
  <si>
    <t xml:space="preserve">R0169</t>
  </si>
  <si>
    <t xml:space="preserve">US strikes five Iranian oil tankers, as Iran attacks 10 ships, Jordan base</t>
  </si>
  <si>
    <t xml:space="preserve">2026-09-09</t>
  </si>
  <si>
    <t xml:space="preserve">https://www.aljazeera.com/news/2026/9/9/us-destroys-five-iranian-tankers-iran-retaliates-with-attacks-on-jordan-base</t>
  </si>
  <si>
    <t xml:space="preserve">R0170</t>
  </si>
  <si>
    <t xml:space="preserve">Reuters (via Al-Monitor; lede only)</t>
  </si>
  <si>
    <t xml:space="preserve">US military says it destroyed five Iranian oil carriers after attempted missile attacks</t>
  </si>
  <si>
    <t xml:space="preserve">https://al-monitor.com/originals/2026/09/us-military-says-it-destroyed-five-iranian-oil-carriers-after-attempted-missile</t>
  </si>
  <si>
    <t xml:space="preserve">R0171</t>
  </si>
  <si>
    <t xml:space="preserve">R0172</t>
  </si>
  <si>
    <t xml:space="preserve">R0173</t>
  </si>
  <si>
    <t xml:space="preserve">CBS News (live updates)</t>
  </si>
  <si>
    <t xml:space="preserve">Trump says war to end "immediately" after midterms as Iran damages U.S. jets in strikes</t>
  </si>
  <si>
    <t xml:space="preserve">https://www.cbsnews.com/live-updates/iran-war-us-tankers-attacks-strikes-strait-of-hormuz-oil-price/</t>
  </si>
  <si>
    <t xml:space="preserve">R0174</t>
  </si>
  <si>
    <t xml:space="preserve">R0175</t>
  </si>
  <si>
    <t xml:space="preserve">R0176</t>
  </si>
  <si>
    <t xml:space="preserve">R0177</t>
  </si>
  <si>
    <t xml:space="preserve">Multiple U.S. military aircraft damaged in Iranian strikes on military base in Jordan, sources say</t>
  </si>
  <si>
    <t xml:space="preserve">2026-09-10</t>
  </si>
  <si>
    <t xml:space="preserve">https://www.cbsnews.com/news/multiple-us-military-aircraft-damaged-iran-strikes-military-base-jordan/</t>
  </si>
  <si>
    <t xml:space="preserve">R0178</t>
  </si>
  <si>
    <t xml:space="preserve">Times of Israel (liveblog, Reuters-bylined, cites CBS)</t>
  </si>
  <si>
    <t xml:space="preserve">Several US warplanes reportedly damaged in Iranian attack on airbase in Jordan</t>
  </si>
  <si>
    <t xml:space="preserve">https://www.timesofisrael.com/liveblog_entry/several-us-warplanes-reportedly-damaged-in-iranian-attack-on-airbase-in-jordan/</t>
  </si>
  <si>
    <t xml:space="preserve">R0179</t>
  </si>
  <si>
    <t xml:space="preserve">AAP (report by Idrees Ali, Reuters) via Newcastle Herald</t>
  </si>
  <si>
    <t xml:space="preserve">Iran attack on Jordan base damaged US military aircraft</t>
  </si>
  <si>
    <t xml:space="preserve">2026-09-11</t>
  </si>
  <si>
    <t xml:space="preserve">https://www.newcastleherald.com.au/story/9348124/iran-attack-on-jordan-base-damaged-us-military-aircraft/</t>
  </si>
  <si>
    <t xml:space="preserve">R0180</t>
  </si>
  <si>
    <t xml:space="preserve">Al Jazeera (citing WSJ)</t>
  </si>
  <si>
    <t xml:space="preserve">Trump 'rejects' Iran's seven-day ceasefire proposal. What's next?</t>
  </si>
  <si>
    <t xml:space="preserve">2026-09-26</t>
  </si>
  <si>
    <t xml:space="preserve">https://www.aljazeera.com/news/2026/9/26/trump-reportedly-rejects-irans-seven-day-ceasefire-proposal-whats-next</t>
  </si>
  <si>
    <t xml:space="preserve">R0181</t>
  </si>
  <si>
    <t xml:space="preserve">R0182</t>
  </si>
  <si>
    <t xml:space="preserve">Times of Israel (WSJ liveblog)</t>
  </si>
  <si>
    <t xml:space="preserve">Trump rejects Iran ceasefire proposal, expects to renew strikes after midterms - WSJ</t>
  </si>
  <si>
    <t xml:space="preserve">https://timesofisrael.com/liveblog_entry/trump-rejects-iran-ceasefire-proposal-expects-to-renew-strikes-after-midterms-wsj/</t>
  </si>
  <si>
    <t xml:space="preserve">R0183</t>
  </si>
  <si>
    <t xml:space="preserve">Iran involvement in RAF Fairford incident (headline per URL)</t>
  </si>
  <si>
    <t xml:space="preserve">2026-09-30</t>
  </si>
  <si>
    <t xml:space="preserve">https://www.stripes.com/theaters/europe/2026-09-30/iran-involvement-raf-fairford-incident-23016502.html</t>
  </si>
  <si>
    <t xml:space="preserve">R0184</t>
  </si>
  <si>
    <t xml:space="preserve">Al Jazeera (named in original row)</t>
  </si>
  <si>
    <t xml:space="preserve">(not recorded)</t>
  </si>
  <si>
    <t xml:space="preserve">name only - not re-checked</t>
  </si>
  <si>
    <t xml:space="preserve">R0185</t>
  </si>
  <si>
    <t xml:space="preserve">AP (via PBS NewsHour)</t>
  </si>
  <si>
    <t xml:space="preserve">U.S. targets Iran's military supply chain as diplomatic talks remain uncertain</t>
  </si>
  <si>
    <t xml:space="preserve">2026-09-29</t>
  </si>
  <si>
    <t xml:space="preserve">https://pbs.org/newshour/world/u-s-targets-irans-military-supply-chain-as-diplomatic-talks-remain-uncertain</t>
  </si>
  <si>
    <t xml:space="preserve">R0186</t>
  </si>
  <si>
    <t xml:space="preserve">US sanctions 10 entities for allegedly supporting Iran's military</t>
  </si>
  <si>
    <t xml:space="preserve">https://www.aljazeera.com/news/2026/9/29/us-sanctions-10-entities-for-allegedly-supporting-irans-military</t>
  </si>
  <si>
    <t xml:space="preserve">R0187</t>
  </si>
  <si>
    <t xml:space="preserve">R0188</t>
  </si>
  <si>
    <t xml:space="preserve">CBS News (named in original row)</t>
  </si>
  <si>
    <t xml:space="preserve">R0189</t>
  </si>
  <si>
    <t xml:space="preserve">Treasury (press release)</t>
  </si>
  <si>
    <t xml:space="preserve">Operation Economic Outcast Targets Iran's Remaining Industrial Lifelines</t>
  </si>
  <si>
    <t xml:space="preserve">2026-10-01</t>
  </si>
  <si>
    <t xml:space="preserve">https://content.govdelivery.com/accounts/USTREAS/bulletins/42d6fab</t>
  </si>
  <si>
    <t xml:space="preserve">R0190</t>
  </si>
  <si>
    <t xml:space="preserve">R0191</t>
  </si>
  <si>
    <t xml:space="preserve">TIME (named in original row)</t>
  </si>
  <si>
    <t xml:space="preserve">R0192</t>
  </si>
  <si>
    <t xml:space="preserve">R0193</t>
  </si>
  <si>
    <t xml:space="preserve">Reuters (wire copy republished by The Star)</t>
  </si>
  <si>
    <t xml:space="preserve">Attacks on tankers in Hormuz hit highest of any week since start of Iran war, sources say</t>
  </si>
  <si>
    <t xml:space="preserve">2026-10-07</t>
  </si>
  <si>
    <t xml:space="preserve">https://www.thestar.com.my/news/world/2026/10/07/attacks-on-tankers-in-hormuz-hit-highest-of-any-week-since-start-of-iran-war-sources-say</t>
  </si>
  <si>
    <t xml:space="preserve">R0194</t>
  </si>
  <si>
    <t xml:space="preserve">October Sees Near Daily Strikes on Ships in Hormuz</t>
  </si>
  <si>
    <t xml:space="preserve">2026-10-09</t>
  </si>
  <si>
    <t xml:space="preserve">https://news.usni.org/2026/10/09/october-sees-near-daily-strikes-on-ships-in-hormuz</t>
  </si>
  <si>
    <t xml:space="preserve">R0195</t>
  </si>
  <si>
    <t xml:space="preserve">UK police make further arrest over suspected Fairford airbase plot</t>
  </si>
  <si>
    <t xml:space="preserve">2026-10-06</t>
  </si>
  <si>
    <t xml:space="preserve">https://www.thestar.com.my/news/world/2026/10/06/uk-police-make-further-arrest-over-suspected-fairford-airbase-plot</t>
  </si>
  <si>
    <t xml:space="preserve">R0196</t>
  </si>
  <si>
    <t xml:space="preserve">Where are the aircraft carriers, October 6, 2026 (title as given in URL slug)</t>
  </si>
  <si>
    <t xml:space="preserve">https://www.twz.com/sea/where-are-the-aircraft-carriers-october-6-2026.md</t>
  </si>
  <si>
    <t xml:space="preserve">R0197</t>
  </si>
  <si>
    <t xml:space="preserve">US sets new demands for Iran deal: What are they?</t>
  </si>
  <si>
    <t xml:space="preserve">https://www.aljazeera.com/news/2026/10/7/us-sets-new-demands-for-iran-deal-what-are-they</t>
  </si>
  <si>
    <t xml:space="preserve">R0198</t>
  </si>
  <si>
    <t xml:space="preserve">Trump says US will not strike Iran before midterm elections</t>
  </si>
  <si>
    <t xml:space="preserve">https://www.aljazeera.com/news/2026/10/9/trump-says-us-will-not-strike-iran-before-midterm-elections</t>
  </si>
  <si>
    <t xml:space="preserve">R0199</t>
  </si>
  <si>
    <t xml:space="preserve">AFP (wire copy republished by The Star)</t>
  </si>
  <si>
    <t xml:space="preserve">India says 12 injured after tanker attacked off Oman</t>
  </si>
  <si>
    <t xml:space="preserve">https://www.thestar.com.my/aseanplus/aseanplus-news/2026/10/06/india-says-12-injured-after-tanker-attacked-off-oman</t>
  </si>
  <si>
    <t xml:space="preserve">R0200</t>
  </si>
  <si>
    <t xml:space="preserve">R0201</t>
  </si>
  <si>
    <t xml:space="preserve">R0202</t>
  </si>
  <si>
    <t xml:space="preserve">R0203</t>
  </si>
  <si>
    <t xml:space="preserve">R0204</t>
  </si>
  <si>
    <t xml:space="preserve">Reuters (wire copy republished by Arab News)</t>
  </si>
  <si>
    <t xml:space="preserve">Oil tanker struck by projectile off UAE coast amid surge in attacks</t>
  </si>
  <si>
    <t xml:space="preserve">https://www.arabnews.com/middle-east/oil-tanker-struck-by-projectile-off-uae-coast-amid-surge-in-attacks-3005496</t>
  </si>
  <si>
    <t xml:space="preserve">R0205</t>
  </si>
  <si>
    <t xml:space="preserve">R0206</t>
  </si>
  <si>
    <t xml:space="preserve">AP (wire copy republished by ClickOnDetroit/WDIV)</t>
  </si>
  <si>
    <t xml:space="preserve">Trump says US will not resume military strikes on Iran before the Nov. 3 midterm elections</t>
  </si>
  <si>
    <t xml:space="preserve">2026-10-08</t>
  </si>
  <si>
    <t xml:space="preserve">https://www.clickondetroit.com/news/world/2026/10/08/trump-says-us-will-not-resume-military-strikes-on-iran-before-the-nov-3-midterm-elections/</t>
  </si>
  <si>
    <t xml:space="preserve">R0207</t>
  </si>
  <si>
    <t xml:space="preserve">R0208</t>
  </si>
  <si>
    <t xml:space="preserve">Houthi attack on Riyadh airport killed three Saudi nationals</t>
  </si>
  <si>
    <t xml:space="preserve">https://www.aljazeera.com/news/2026/10/9/saudi-arabia-reopens-riyadh-airport-after-houthi-attack-kills-three</t>
  </si>
  <si>
    <t xml:space="preserve">R0209</t>
  </si>
  <si>
    <t xml:space="preserve">R0210</t>
  </si>
  <si>
    <t xml:space="preserve">R0211</t>
  </si>
  <si>
    <t xml:space="preserve">R0212</t>
  </si>
  <si>
    <t xml:space="preserve">R0213</t>
  </si>
  <si>
    <t xml:space="preserve">Tasnim (Iranian state-affiliated; CLAIM only)</t>
  </si>
  <si>
    <t xml:space="preserve">LPG Carrier Hit, Catches Fire in Strait of Hormuz: IRGC Navy</t>
  </si>
  <si>
    <t xml:space="preserve">https://tasnimnews.ir/3718550</t>
  </si>
  <si>
    <t xml:space="preserve">R0214</t>
  </si>
  <si>
    <t xml:space="preserve">Saudi Arabia says 12 killed, 300 wounded in Houthi attack on Riyadh airport</t>
  </si>
  <si>
    <t xml:space="preserve">2026-10-10</t>
  </si>
  <si>
    <t xml:space="preserve">https://www.aljazeera.com/news/2026/10/10/attack-on-airport-in-saudi-capital-riyadh-leaves-several-injured</t>
  </si>
  <si>
    <t xml:space="preserve">R0215</t>
  </si>
  <si>
    <t xml:space="preserve">CNN</t>
  </si>
  <si>
    <t xml:space="preserve">Major Houthi attack on Saudi airport kills at least 12, hundreds wounded</t>
  </si>
  <si>
    <t xml:space="preserve">https://edition.cnn.com/2026/10/10/middleeast/riyadh-airport-saudi-houthis-intl</t>
  </si>
  <si>
    <t xml:space="preserve">R0216</t>
  </si>
  <si>
    <t xml:space="preserve">Hormuz attacks intensify as efforts to end war on Iran stall</t>
  </si>
  <si>
    <t xml:space="preserve">2026-10-11</t>
  </si>
  <si>
    <t xml:space="preserve">https://www.aljazeera.com/news/2026/10/11/hormuz-attacks-intensify-as-efforts-to-end-war-on-iran-stall</t>
  </si>
  <si>
    <t xml:space="preserve">R0217</t>
  </si>
  <si>
    <t xml:space="preserve">R0218</t>
  </si>
  <si>
    <t xml:space="preserve">R0219</t>
  </si>
  <si>
    <t xml:space="preserve">Iran steps up Hormuz surveillance: Attacks soar, oil flows crash again</t>
  </si>
  <si>
    <t xml:space="preserve">2026-10-14</t>
  </si>
  <si>
    <t xml:space="preserve">https://www.aljazeera.com/news/2026/10/14/iran-steps-up-hormuz-surveillance-attacks-soar-oil-flows-crash-again</t>
  </si>
  <si>
    <t xml:space="preserve">R0220</t>
  </si>
  <si>
    <t xml:space="preserve">Times of Israel (Reuters liveblog)</t>
  </si>
  <si>
    <t xml:space="preserve">US says it destroyed Iranian-affiliated vessel conducting surveillance last week</t>
  </si>
  <si>
    <t xml:space="preserve">https://www.timesofisrael.com/liveblog_entry/us-says-it-destroyed-iranian-affiliated-vessel-conducting-surveillance-last-week</t>
  </si>
  <si>
    <t xml:space="preserve">R0221</t>
  </si>
  <si>
    <t xml:space="preserve">Treasury (press release sb0653)</t>
  </si>
  <si>
    <t xml:space="preserve">Operation Economic Outcast Neutralizes Iranian Regime's Remaining Shadow Fleet Network</t>
  </si>
  <si>
    <t xml:space="preserve">https://home.treasury.gov/news/press-releases/sb0653/</t>
  </si>
  <si>
    <t xml:space="preserve">R0222</t>
  </si>
  <si>
    <t xml:space="preserve">Iran says US response to its proposal to reopen Hormuz was 'insufficient'</t>
  </si>
  <si>
    <t xml:space="preserve">https://www.timesofisrael.com/liveblog_entry/iran-says-us-response-to-its-proposal-to-reopen-hormuz-was-insufficient/</t>
  </si>
  <si>
    <t xml:space="preserve">R0223</t>
  </si>
  <si>
    <t xml:space="preserve">Haaretz</t>
  </si>
  <si>
    <t xml:space="preserve">Iran Says U.S. Response to Its Proposal to Reopen Hormuz Strait Was 'Insufficient'</t>
  </si>
  <si>
    <t xml:space="preserve">2026-10-12</t>
  </si>
  <si>
    <t xml:space="preserve">https://www.haaretz.com/middle-east-news/iran/2026-10-12/ty-article/iran-says-u-s-response-to-its-proposal-to-reopen-hormuz-was-insufficient/000001a1-2f0b-d7a5-a7b1-bf5be81f0000</t>
  </si>
  <si>
    <t xml:space="preserve">R0224</t>
  </si>
  <si>
    <t xml:space="preserve">R0225</t>
  </si>
  <si>
    <t xml:space="preserve">Reuters via Internazionale</t>
  </si>
  <si>
    <t xml:space="preserve">Container ship sinks near Hormuz after being hit by projectile, sources say</t>
  </si>
  <si>
    <t xml:space="preserve">https://www.internazionale.it/ultime-notizie-reuters/2026/10/14/container-ship-sinks-near-hormuz-after-being-hit-by-projectile-sources-say</t>
  </si>
  <si>
    <t xml:space="preserve">R0226</t>
  </si>
  <si>
    <t xml:space="preserve">Two cargo ships sunk in Strait of Hormuz as Iran ramps up attacks in run-up to midterms</t>
  </si>
  <si>
    <t xml:space="preserve">2026-10-15</t>
  </si>
  <si>
    <t xml:space="preserve">https://www.cnn.com/2026/10/15/middleeast/strait-of-hormuz-ships-sunk-iran-intl-hnk</t>
  </si>
  <si>
    <t xml:space="preserve">R0227</t>
  </si>
  <si>
    <t xml:space="preserve">US and Iran both claim control of Strait of Hormuz amid attacks on vessels</t>
  </si>
  <si>
    <t xml:space="preserve">2026-10-17</t>
  </si>
  <si>
    <t xml:space="preserve">https://www.aljazeera.com/news/2026/10/17/us-and-iran-both-claim-control-of-strait-of-hormuz-amid-attacks-on-vessels</t>
  </si>
  <si>
    <t xml:space="preserve">R0228</t>
  </si>
  <si>
    <t xml:space="preserve">Treasury (press release sb0660)</t>
  </si>
  <si>
    <t xml:space="preserve">Operation Economic Outcast Targets Iran's International Financial Networks and Shadow Banking Architecture</t>
  </si>
  <si>
    <t xml:space="preserve">https://home.treasury.gov/news/press-releases/sb0660</t>
  </si>
  <si>
    <t xml:space="preserve">R0229</t>
  </si>
  <si>
    <t xml:space="preserve">Treasury (press release sb0661)</t>
  </si>
  <si>
    <t xml:space="preserve">Operation Economic Outcast Targets Iranian Regime's Abuse of Religious Charity Networks</t>
  </si>
  <si>
    <t xml:space="preserve">https://home.treasury.gov/news/press-releases/sb0661/</t>
  </si>
  <si>
    <t xml:space="preserve">R0230</t>
  </si>
  <si>
    <t xml:space="preserve">US-Iran stalemate: What are Trump's next military options?</t>
  </si>
  <si>
    <t xml:space="preserve">https://www.aljazeera.com/news/2026/10/15/us-iran-stalemate-what-are-trumps-next-military-options</t>
  </si>
  <si>
    <t xml:space="preserve">R0231</t>
  </si>
  <si>
    <t xml:space="preserve">Al Jazeera (with AFP)</t>
  </si>
  <si>
    <t xml:space="preserve">Iran says two tankers catch fire after hitting mines in Strait of Hormuz</t>
  </si>
  <si>
    <t xml:space="preserve">2026-10-18</t>
  </si>
  <si>
    <t xml:space="preserve">https://www.aljazeera.com/news/2026/10/18/iran-says-two-tankers-catch-fire-after-hitting-mines-in-strait-of-hormuz</t>
  </si>
  <si>
    <t xml:space="preserve">R0232</t>
  </si>
  <si>
    <t xml:space="preserve">Iran says Strait of Hormuz reopening, seven-day ceasefire conditions still on the table</t>
  </si>
  <si>
    <t xml:space="preserve">https://www.cbsnews.com/live-updates/iran-war-us-trump-strait-of-hormuz-yemen-houthis-saudi-arabia/</t>
  </si>
  <si>
    <t xml:space="preserve">R0233</t>
  </si>
  <si>
    <t xml:space="preserve">CNN (via ABC17NEWS)</t>
  </si>
  <si>
    <t xml:space="preserve">'The world will be amazed:' Iran's commanders prepare for further war</t>
  </si>
  <si>
    <t xml:space="preserve">https://abc17news.com/news/national-world/cnn-world/2026/10/18/the-world-will-be-amazed-irans-commanders-prepare-for-further-war/</t>
  </si>
  <si>
    <t xml:space="preserve">R0234</t>
  </si>
  <si>
    <t xml:space="preserve">R0235</t>
  </si>
  <si>
    <t xml:space="preserve">R0236</t>
  </si>
  <si>
    <t xml:space="preserve">R0237</t>
  </si>
  <si>
    <t xml:space="preserve">R0238</t>
  </si>
  <si>
    <t xml:space="preserve">R0239</t>
  </si>
  <si>
    <t xml:space="preserve">R0240</t>
  </si>
  <si>
    <t xml:space="preserve">R0241</t>
  </si>
  <si>
    <t xml:space="preserve">R0242</t>
  </si>
  <si>
    <t xml:space="preserve">Reuters (via Devdiscourse)</t>
  </si>
  <si>
    <t xml:space="preserve">Tanker struck by projectile southeast of Iraq's Al Faw on Tuesday, UKMTO says</t>
  </si>
  <si>
    <t xml:space="preserve">2026-10-21</t>
  </si>
  <si>
    <t xml:space="preserve">https://www.devdiscourse.com/article/international/3995693-tanker-struck-by-projectile-southeast-of-iraqs-alfaw-on-tuesday-ukmto-says</t>
  </si>
  <si>
    <t xml:space="preserve">R0243</t>
  </si>
  <si>
    <t xml:space="preserve">Times of Israel (AFP)</t>
  </si>
  <si>
    <t xml:space="preserve">Projectile hit tanker near Strait of Hormuz, maritime agency says</t>
  </si>
  <si>
    <t xml:space="preserve">https://www.timesofisrael.com/liveblog_entry/projectile-hit-tanker-near-strait-of-hormuz-maritime-agency-says/</t>
  </si>
  <si>
    <t xml:space="preserve">R0244</t>
  </si>
  <si>
    <t xml:space="preserve">Treasury (OFAC recent actions)</t>
  </si>
  <si>
    <t xml:space="preserve">Iran-related Designations; Belarus and North Korea Designations Removals; Issuance of Iran-related and Russia-related General Licenses</t>
  </si>
  <si>
    <t xml:space="preserve">https://ofac.treasury.gov/recent-actions/20261021</t>
  </si>
  <si>
    <t xml:space="preserve">R0245</t>
  </si>
  <si>
    <t xml:space="preserve">Treasury (press release sb0664)</t>
  </si>
  <si>
    <t xml:space="preserve">Operation Economic Outcast Targets Iran's Shadow Fleet Networks</t>
  </si>
  <si>
    <t xml:space="preserve">https://home.treasury.gov/news/press-releases/sb0664</t>
  </si>
  <si>
    <t xml:space="preserve">R0246</t>
  </si>
  <si>
    <t xml:space="preserve">US orders some diplomats to leave Saudi Arabia amid Houthi attacks</t>
  </si>
  <si>
    <t xml:space="preserve">https://www.cbsnews.com/news/us-saudi-arabia-ordered-departure-houthis/</t>
  </si>
  <si>
    <t xml:space="preserve">R0247</t>
  </si>
  <si>
    <t xml:space="preserve">Reuters (via Internazionale)</t>
  </si>
  <si>
    <t xml:space="preserve">US orders departure of diplomats from Saudi Arabia amid Houthi strikes</t>
  </si>
  <si>
    <t xml:space="preserve">https://www.internazionale.it/ultime-notizie-reuters/2026/10/21/exclusive-us-preparing-to-issue-ordered-departure-of-some-personnel-from-gulf-embassies-us-officials</t>
  </si>
  <si>
    <t xml:space="preserve">R0248</t>
  </si>
  <si>
    <t xml:space="preserve">Trump says he's weighing deal with Iran against action to "finish them off"</t>
  </si>
  <si>
    <t xml:space="preserve">2026-10-26</t>
  </si>
  <si>
    <t xml:space="preserve">https://www.cbsnews.com/live-updates/iran-war-trump-us-oil-gas-prices-strait-of-hormuz-midterms/</t>
  </si>
  <si>
    <t xml:space="preserve">R0249</t>
  </si>
  <si>
    <t xml:space="preserve">Iran says seven ships hit in Hormuz Strait, warns US of wider response</t>
  </si>
  <si>
    <t xml:space="preserve">2026-10-22</t>
  </si>
  <si>
    <t xml:space="preserve">https://www.aljazeera.com/news/2026/10/22/iran-says-seven-ships-hit-in-hormuz-strait-warns-us-of-wider-response</t>
  </si>
  <si>
    <t xml:space="preserve">R0250</t>
  </si>
  <si>
    <t xml:space="preserve">R0251</t>
  </si>
  <si>
    <t xml:space="preserve">Iran says won't allow US warships to get close as Trump ponders new attacks</t>
  </si>
  <si>
    <t xml:space="preserve">2026-10-24</t>
  </si>
  <si>
    <t xml:space="preserve">https://www.aljazeera.com/news/2026/10/24/iran-says-wont-allow-us-warships-to-get-close-as-trump-ponders-new-attacks</t>
  </si>
  <si>
    <t xml:space="preserve">R0252</t>
  </si>
  <si>
    <t xml:space="preserve">Is Iran planning attacks on Americans; why is the US on alert?</t>
  </si>
  <si>
    <t xml:space="preserve">https://www.aljazeera.com/news/2026/10/24/is-iran-planning-attacks-on-americans-why-is-the-us-on-alert</t>
  </si>
  <si>
    <t xml:space="preserve">R0253</t>
  </si>
  <si>
    <t xml:space="preserve">R0254</t>
  </si>
  <si>
    <t xml:space="preserve">R0255</t>
  </si>
  <si>
    <t xml:space="preserve">R0256</t>
  </si>
  <si>
    <t xml:space="preserve">R0257</t>
  </si>
  <si>
    <t xml:space="preserve">R0258</t>
  </si>
  <si>
    <t xml:space="preserve">R0259</t>
  </si>
  <si>
    <t xml:space="preserve">R0260</t>
  </si>
  <si>
    <t xml:space="preserve">R0261</t>
  </si>
  <si>
    <t xml:space="preserve">R0262</t>
  </si>
  <si>
    <t xml:space="preserve">R0263</t>
  </si>
  <si>
    <t xml:space="preserve">R0264</t>
  </si>
  <si>
    <t xml:space="preserve">Al Jazeera (liveblog)</t>
  </si>
  <si>
    <t xml:space="preserve">Iran war live: Saudi, Pakistani and Turkish officials in Tehran for talks</t>
  </si>
  <si>
    <t xml:space="preserve">https://www.aljazeera.com/news/liveblog/2026/10/26/iran-war-live-trump-rules-out-strikes-today-israeli-forces-raid-hebron</t>
  </si>
  <si>
    <t xml:space="preserve">R0265</t>
  </si>
  <si>
    <t xml:space="preserve">Bolton: US deploying bombers to Middle East in warning to Iran</t>
  </si>
  <si>
    <t xml:space="preserve">2019-05-06</t>
  </si>
  <si>
    <t xml:space="preserve">https://www.aljazeera.com/news/2019/5/6/bolton-us-deploying-bombers-to-middle-east-in-warning-to-iran</t>
  </si>
  <si>
    <t xml:space="preserve">R0266</t>
  </si>
  <si>
    <t xml:space="preserve">AP (via Washington Times)</t>
  </si>
  <si>
    <t xml:space="preserve">US issues new warning to ships after sabotage off UAE</t>
  </si>
  <si>
    <t xml:space="preserve">2019-05-12</t>
  </si>
  <si>
    <t xml:space="preserve">https://www.washingtontimes.com/news/2019/may/12/us-issues-new-warning-to-ships-after-sabotage-off-/</t>
  </si>
  <si>
    <t xml:space="preserve">R0267</t>
  </si>
  <si>
    <t xml:space="preserve">UAE says four ships subjected to 'sabotage' off east coast</t>
  </si>
  <si>
    <t xml:space="preserve">2019-05-13</t>
  </si>
  <si>
    <t xml:space="preserve">https://www.aljazeera.com/news/2019/5/13/uae-says-four-ships-subjected-to-sabotage-off-east-coast</t>
  </si>
  <si>
    <t xml:space="preserve">R0268</t>
  </si>
  <si>
    <t xml:space="preserve">NPR (via WAMC)</t>
  </si>
  <si>
    <t xml:space="preserve">Tankers on fire in Gulf of Oman after suspected attack</t>
  </si>
  <si>
    <t xml:space="preserve">2019-06-13</t>
  </si>
  <si>
    <t xml:space="preserve">https://www.wamc.org/2019-06-13/tankers-on-fire-in-gulf-of-oman-after-suspected-attack</t>
  </si>
  <si>
    <t xml:space="preserve">R0269</t>
  </si>
  <si>
    <t xml:space="preserve">'Ridiculous, dangerous': Iran denies US claims over Gulf tankers</t>
  </si>
  <si>
    <t xml:space="preserve">2019-06-14</t>
  </si>
  <si>
    <t xml:space="preserve">https://www.aljazeera.com/news/2019/6/14/ridiculous-dangerous-iran-denies-us-claims-over-gulf-tankers</t>
  </si>
  <si>
    <t xml:space="preserve">R0270</t>
  </si>
  <si>
    <t xml:space="preserve">U.S. sending 1,000 more troops to Middle East amid tensions with Iran</t>
  </si>
  <si>
    <t xml:space="preserve">2019-06-17</t>
  </si>
  <si>
    <t xml:space="preserve">https://www.cbsnews.com/amp/news/us-sending-1000-more-troops-to-middle-east-amid-tensions-with-iran-announced-today-2019-06-17</t>
  </si>
  <si>
    <t xml:space="preserve">R0271</t>
  </si>
  <si>
    <t xml:space="preserve">U.S. to send more troops to Middle East</t>
  </si>
  <si>
    <t xml:space="preserve">https://www.pbs.org/newshour/world/u-s-to-send-more-troops-to-middle-east</t>
  </si>
  <si>
    <t xml:space="preserve">R0272</t>
  </si>
  <si>
    <t xml:space="preserve">Iran's Revolutionary Guard shoots down US drone</t>
  </si>
  <si>
    <t xml:space="preserve">2019-06-20</t>
  </si>
  <si>
    <t xml:space="preserve">https://www.aljazeera.com/news/2019/06/iran-revolutionary-guard-shoots-spy-drone-report-190620035802427.html</t>
  </si>
  <si>
    <t xml:space="preserve">R0273</t>
  </si>
  <si>
    <t xml:space="preserve">US: Iran shot down drone in international airspace in 'unprovoked attack'</t>
  </si>
  <si>
    <t xml:space="preserve">https://www.timesofisrael.com/us-iran-shot-down-drone-in-international-airspace-in-unprovoked-attack/</t>
  </si>
  <si>
    <t xml:space="preserve">R0274</t>
  </si>
  <si>
    <t xml:space="preserve">ABC News (via ABC7)</t>
  </si>
  <si>
    <t xml:space="preserve">Trump announces new sanctions on Iran, including on supreme leader</t>
  </si>
  <si>
    <t xml:space="preserve">2019-06-24</t>
  </si>
  <si>
    <t xml:space="preserve">https://abc7news.com/trump-announces-new-sanctions-on-iran-including-on-supreme-leader-/5361919/</t>
  </si>
  <si>
    <t xml:space="preserve">R0275</t>
  </si>
  <si>
    <t xml:space="preserve">Trump says US warship 'destroyed' Iranian drone in Gulf</t>
  </si>
  <si>
    <t xml:space="preserve">2019-07-18</t>
  </si>
  <si>
    <t xml:space="preserve">https://www.aljazeera.com/news/2019/07/warship-destroys-iranian-drone-strait-hormuz-190718192635252.html</t>
  </si>
  <si>
    <t xml:space="preserve">R0276</t>
  </si>
  <si>
    <t xml:space="preserve">USS Boxer Downs Iranian Drone in 'Defensive Action'</t>
  </si>
  <si>
    <t xml:space="preserve">https://news.usni.org/?p=68160</t>
  </si>
  <si>
    <t xml:space="preserve">R0277</t>
  </si>
  <si>
    <t xml:space="preserve">CNN (via KPAX)</t>
  </si>
  <si>
    <t xml:space="preserve">US sanctions Iranian Foreign Minister Zarif</t>
  </si>
  <si>
    <t xml:space="preserve">2019-07-31</t>
  </si>
  <si>
    <t xml:space="preserve">https://www.kpax.com/cnn-us-politics/2019/07/31/us-sanctions-iranian-foreign-minister-zarif/</t>
  </si>
  <si>
    <t xml:space="preserve">R0278</t>
  </si>
  <si>
    <t xml:space="preserve">US imposes sanctions on Iranian Foreign Minister Zarif</t>
  </si>
  <si>
    <t xml:space="preserve">2019-08-01</t>
  </si>
  <si>
    <t xml:space="preserve">https://www.aljazeera.com/amp/economy/2019/8/1/us-imposes-sanctions-on-iranian-foreign-minister-zarif</t>
  </si>
  <si>
    <t xml:space="preserve">R0279</t>
  </si>
  <si>
    <t xml:space="preserve">Pompeo blames Iran for strike on Saudi oil facilities</t>
  </si>
  <si>
    <t xml:space="preserve">2019-09-14</t>
  </si>
  <si>
    <t xml:space="preserve">https://www.cbsnews.com/news/yemen-drones-hit-saudi-oil-sites-including-key-chokepoint-abqaiq-aramco-2019-09-14/</t>
  </si>
  <si>
    <t xml:space="preserve">R0280</t>
  </si>
  <si>
    <t xml:space="preserve">US blames Iran after attacks on Saudi oil facilities cripple production</t>
  </si>
  <si>
    <t xml:space="preserve">https://www.timesofisrael.com/us-blames-iran-after-attacks-on-saudi-oil-facilities-cripple-production/</t>
  </si>
  <si>
    <t xml:space="preserve">R0281</t>
  </si>
  <si>
    <t xml:space="preserve">US sanctions Iran's central bank in wake of Aramco attacks</t>
  </si>
  <si>
    <t xml:space="preserve">2019-09-20</t>
  </si>
  <si>
    <t xml:space="preserve">https://www.aljazeera.com/economy/2019/9/20/us-sanctions-irans-central-bank-in-wake-of-aramco-attacks</t>
  </si>
  <si>
    <t xml:space="preserve">R0282</t>
  </si>
  <si>
    <t xml:space="preserve">U.S. to send troops to Saudi Arabia</t>
  </si>
  <si>
    <t xml:space="preserve">https://www.axios.com/2019/09/20/us-troops-deploying-saudi-arabia</t>
  </si>
  <si>
    <t xml:space="preserve">R0283</t>
  </si>
  <si>
    <t xml:space="preserve">Trump sends troops to Middle East after attack on Saudi oil facilities</t>
  </si>
  <si>
    <t xml:space="preserve">https://www.npr.org/2019/09/20/762935873/trump-sends-troops-to-middle-east-after-attack-on-saudi-oil-facilities</t>
  </si>
  <si>
    <t xml:space="preserve">R0284</t>
  </si>
  <si>
    <t xml:space="preserve">US targets pro-Iran militia bases in Iraq, Syria raids</t>
  </si>
  <si>
    <t xml:space="preserve">2019-12-29</t>
  </si>
  <si>
    <t xml:space="preserve">https://www.aljazeera.com/news/2019/12/29/us-targets-pro-iran-militia-bases-in-iraq-syria-raids</t>
  </si>
  <si>
    <t xml:space="preserve">R0285</t>
  </si>
  <si>
    <t xml:space="preserve">U.S. Strikes Back At Iranian Proxy Forces In Iraq And Syria After Deadly Rocket Attack</t>
  </si>
  <si>
    <t xml:space="preserve">https://www.twz.com/31651/u-s-strikes-iranian-proxy-force-bases-in-iraq-and-syria-following-deadly-rocket-attack</t>
  </si>
  <si>
    <t xml:space="preserve">R0286</t>
  </si>
  <si>
    <t xml:space="preserve">R0287</t>
  </si>
  <si>
    <t xml:space="preserve">R0288</t>
  </si>
  <si>
    <t xml:space="preserve">AP (via NBC Washington)</t>
  </si>
  <si>
    <t xml:space="preserve">Iraqi mourners try to storm US embassy after airstrikes</t>
  </si>
  <si>
    <t xml:space="preserve">2019-12-31</t>
  </si>
  <si>
    <t xml:space="preserve">https://www.nbcwashington.com/news/national-international/iraqi-mourners-try-to-storm-us-embassy-after-airstrikes</t>
  </si>
  <si>
    <t xml:space="preserve">R0289</t>
  </si>
  <si>
    <t xml:space="preserve">AP (Best of the Week page)</t>
  </si>
  <si>
    <t xml:space="preserve">US drone strike kills top Iranian general</t>
  </si>
  <si>
    <t xml:space="preserve">2020-01-03</t>
  </si>
  <si>
    <t xml:space="preserve">https://leads.svcs.associatedpress.com/best-of-the-week/us-drone-strike-kills-top-iranian-general</t>
  </si>
  <si>
    <t xml:space="preserve">R0290</t>
  </si>
  <si>
    <t xml:space="preserve">Iran's Qassem Soleimani killed in US air raid at Baghdad airport</t>
  </si>
  <si>
    <t xml:space="preserve">https://www.aljazeera.com/news/2020/1/3/irans-qassem-soleimani-killed-in-us-air-raid-at-baghdad-airport</t>
  </si>
  <si>
    <t xml:space="preserve">R0291</t>
  </si>
  <si>
    <t xml:space="preserve">U.S. awards 29 Purple Hearts for brain injuries in Iran attack</t>
  </si>
  <si>
    <t xml:space="preserve">2020</t>
  </si>
  <si>
    <t xml:space="preserve">https://www.pbs.org/newshour/amp/nation/u-s-awards-29-purple-hearts-for-brain-injuries-in-iran-attack</t>
  </si>
  <si>
    <t xml:space="preserve">R0292</t>
  </si>
  <si>
    <t xml:space="preserve">Iran launches missile attacks on US facilities in Iraq</t>
  </si>
  <si>
    <t xml:space="preserve">2020-01-08</t>
  </si>
  <si>
    <t xml:space="preserve">https://www.aljazeera.com/amp/news/2020/1/8/iran-launches-missile-attacks-on-us-facilities-in-iraq</t>
  </si>
  <si>
    <t xml:space="preserve">R0293</t>
  </si>
  <si>
    <t xml:space="preserve">Bloomberg</t>
  </si>
  <si>
    <t xml:space="preserve">U.S. Set to Impose Sanctions on Iran's Metal Exports and Leaders</t>
  </si>
  <si>
    <t xml:space="preserve">2020-01-10</t>
  </si>
  <si>
    <t xml:space="preserve">https://www.bloomberg.com/news/articles/2020-01-10/u-s-set-to-impose-sanctions-on-iran-s-metal-exports-and-leaders</t>
  </si>
  <si>
    <t xml:space="preserve">R0294</t>
  </si>
  <si>
    <t xml:space="preserve">Officials: US strikes Iran-backed militias in response to Iraq base attack</t>
  </si>
  <si>
    <t xml:space="preserve">2020-03-12</t>
  </si>
  <si>
    <t xml:space="preserve">https://stripes.com/news/middle-east/officials-us-strikes-iran-backed-militias-in-response-to-iraq-base-attack-1.622259</t>
  </si>
  <si>
    <t xml:space="preserve">R0295</t>
  </si>
  <si>
    <t xml:space="preserve">R0296</t>
  </si>
  <si>
    <t xml:space="preserve">AP (via News4Jax)</t>
  </si>
  <si>
    <t xml:space="preserve">Iraq officials: Rocket attack hits base housing US troops</t>
  </si>
  <si>
    <t xml:space="preserve">2020-03-14</t>
  </si>
  <si>
    <t xml:space="preserve">https://www.news4jax.com/news/2020/03/14/iraq-officials-rocket-attack-hits-base-housing-us-troops/</t>
  </si>
  <si>
    <t xml:space="preserve">R0297</t>
  </si>
  <si>
    <t xml:space="preserve">U.S. Seizes Four Tankers Carrying Iranian Oil to Venezuela</t>
  </si>
  <si>
    <t xml:space="preserve">2020-08-14</t>
  </si>
  <si>
    <t xml:space="preserve">https://www.bloomberg.com/news/articles/2020-08-14/u-s-seizes-four-tankers-carrying-iranian-oil-to-venezuela</t>
  </si>
  <si>
    <t xml:space="preserve">R0298</t>
  </si>
  <si>
    <t xml:space="preserve">US says it seized 4 Iranian fuel shipments headed for Venezuela</t>
  </si>
  <si>
    <t xml:space="preserve">2020-08-15</t>
  </si>
  <si>
    <t xml:space="preserve">https://www.aljazeera.com/news/2020/8/15/us-says-it-seized-4-iranian-fuel-shipments-headed-for-venezuela</t>
  </si>
  <si>
    <t xml:space="preserve">R0299</t>
  </si>
  <si>
    <t xml:space="preserve">AP (via Las Vegas Sun)</t>
  </si>
  <si>
    <t xml:space="preserve">U.S. bombs facilities in Syria used by Iran-backed militia</t>
  </si>
  <si>
    <t xml:space="preserve">2021-02-25</t>
  </si>
  <si>
    <t xml:space="preserve">https://lasvegassun.com/news/2021/feb/25/us-bombs-facilities-in-syria-used-by-iran-backed-m/</t>
  </si>
  <si>
    <t xml:space="preserve">R0300</t>
  </si>
  <si>
    <t xml:space="preserve">US forces come under rocket attack in Syria after strikes on Iran-backed militias</t>
  </si>
  <si>
    <t xml:space="preserve">2021-06-28</t>
  </si>
  <si>
    <t xml:space="preserve">https://www.stripes.com/theaters/middle_east/2021-06-28/us-forces-rocket-attack-syria-iraq-iran-1883233.html</t>
  </si>
  <si>
    <t xml:space="preserve">R0301</t>
  </si>
  <si>
    <t xml:space="preserve">US troops in Syria attacked after airstrikes on militias</t>
  </si>
  <si>
    <t xml:space="preserve">https://www.news4jax.com/news/politics/2021/06/28/us-troops-in-syria-attacked-after-airstrikes-on-militias/</t>
  </si>
  <si>
    <t xml:space="preserve">R0302</t>
  </si>
  <si>
    <t xml:space="preserve">R0303</t>
  </si>
  <si>
    <t xml:space="preserve">US carries out raids in Syria on 'Iran-linked' targets</t>
  </si>
  <si>
    <t xml:space="preserve">2022-08-24</t>
  </si>
  <si>
    <t xml:space="preserve">https://www.aljazeera.com/news/2022/8/24/us-military-carries-out-raids-in-syria-on-iran-linked-targets</t>
  </si>
  <si>
    <t xml:space="preserve">R0304</t>
  </si>
  <si>
    <t xml:space="preserve">U.S. says airstrikes killed 4 Iranian-backed militia members in Syria</t>
  </si>
  <si>
    <t xml:space="preserve">2022-08-25</t>
  </si>
  <si>
    <t xml:space="preserve">https://www.pbs.org/newshour/politics/u-s-says-airstrikes-killed-4-iranian-backed-militia-members-in-syria</t>
  </si>
  <si>
    <t xml:space="preserve">R0305</t>
  </si>
  <si>
    <t xml:space="preserve">R0306</t>
  </si>
  <si>
    <t xml:space="preserve">ABC News (via ABC11)</t>
  </si>
  <si>
    <t xml:space="preserve">US military carries out airstrikes in Syria after drone attack kills American contractor</t>
  </si>
  <si>
    <t xml:space="preserve">2023-03-23</t>
  </si>
  <si>
    <t xml:space="preserve">https://abc11.com/syria-airstrike-us-drone-attack-american-contractor-killed-service-members/13001155/</t>
  </si>
  <si>
    <t xml:space="preserve">R0307</t>
  </si>
  <si>
    <t xml:space="preserve">Additional attacks on US bases in Syria Friday after retaliatory airstrikes on Iranian-backed groups</t>
  </si>
  <si>
    <t xml:space="preserve">2023-03-24</t>
  </si>
  <si>
    <t xml:space="preserve">https://abc7news.com/syria-airstrike-us-drone-attack-american-contractor-killed-service-members/13007641/</t>
  </si>
  <si>
    <t xml:space="preserve">R0308</t>
  </si>
  <si>
    <t xml:space="preserve">R0309</t>
  </si>
  <si>
    <t xml:space="preserve">R0310</t>
  </si>
  <si>
    <t xml:space="preserve">Iran seizes oil tanker 'trying to flee' in Gulf waters</t>
  </si>
  <si>
    <t xml:space="preserve">2023-04-27</t>
  </si>
  <si>
    <t xml:space="preserve">https://www.aljazeera.com/news/2023/4/27/iran-seizes-oil-tanker-trying-to-flee-in-gulf-waters</t>
  </si>
  <si>
    <t xml:space="preserve">R0311</t>
  </si>
  <si>
    <t xml:space="preserve">Why did Iran seize a US-bound oil tanker in the Gulf of Oman?</t>
  </si>
  <si>
    <t xml:space="preserve">2023-04-29</t>
  </si>
  <si>
    <t xml:space="preserve">https://www.aljazeera.com/news/2023/4/29/why-did-iran-seize-a-us-bound-oil-tanker-in-the-gulf-of-oman</t>
  </si>
  <si>
    <t xml:space="preserve">R0312</t>
  </si>
  <si>
    <t xml:space="preserve">US to send F-16 fighter jets to Gulf amid Iran shipping tensions</t>
  </si>
  <si>
    <t xml:space="preserve">2023-07-15</t>
  </si>
  <si>
    <t xml:space="preserve">https://www.aljazeera.com/news/2023/7/15/us-to-send-f-16-fighter-jets-to-gulf-amid-iran-shipping-tensions</t>
  </si>
  <si>
    <t xml:space="preserve">R0313</t>
  </si>
  <si>
    <t xml:space="preserve">U.S. Sending Destroyer, F-35s, F-16s to Protect Merchant Ships in Middle East</t>
  </si>
  <si>
    <t xml:space="preserve">2023-07-17</t>
  </si>
  <si>
    <t xml:space="preserve">https://news.usni.org/2023/07/17/u-s-sending-destroyer-f-35s-f-16s-to-protect-merchant-ships-in-middle-east</t>
  </si>
  <si>
    <t xml:space="preserve">R0314</t>
  </si>
  <si>
    <t xml:space="preserve">AP (via NBC Miami)</t>
  </si>
  <si>
    <t xml:space="preserve">US makes deal with Iran to swap prisoners and release $6 billion in frozen Iranian funds</t>
  </si>
  <si>
    <t xml:space="preserve">2023-09-11</t>
  </si>
  <si>
    <t xml:space="preserve">https://www.nbcmiami.com/news/national-international/us-makes-deal-with-iran-to-swap-prisoners-and-release-6-billion-in-frozen-iranian-funds/3109532/?amp=1</t>
  </si>
  <si>
    <t xml:space="preserve">R0315</t>
  </si>
  <si>
    <t xml:space="preserve">What's happening with the Iran-US prisoner swap deal?</t>
  </si>
  <si>
    <t xml:space="preserve">2023-09-12</t>
  </si>
  <si>
    <t xml:space="preserve">https://www.aljazeera.com/news/2023/9/12/whats-happening-with-the-iran-us-prisoner-swap-deal</t>
  </si>
  <si>
    <t xml:space="preserve">R0316</t>
  </si>
  <si>
    <t xml:space="preserve">U.S. strikes Iran-linked sites in Syria after attacks on American troops</t>
  </si>
  <si>
    <t xml:space="preserve">2023-10-27</t>
  </si>
  <si>
    <t xml:space="preserve">https://www.axios.com/2023/10/27/us-strikes-syria-iran-linked-groups</t>
  </si>
  <si>
    <t xml:space="preserve">R0317</t>
  </si>
  <si>
    <t xml:space="preserve">US hits alleged Iran-linked 'weapons storage' facility in Syria</t>
  </si>
  <si>
    <t xml:space="preserve">2023-11-09</t>
  </si>
  <si>
    <t xml:space="preserve">https://www.aljazeera.com/amp/news/2023/11/9/us-hits-alleged-iran-linked-weapons-storage-facility-in-syria</t>
  </si>
  <si>
    <t xml:space="preserve">R0318</t>
  </si>
  <si>
    <t xml:space="preserve">U.S. launches retaliatory strikes after drone attack on Iraq military base wounds 3 U.S. service members</t>
  </si>
  <si>
    <t xml:space="preserve">2023-12-25</t>
  </si>
  <si>
    <t xml:space="preserve">https://www.cbsnews.com/amp/texas/news/drone-attack-iraq-military-base-3-u-s-service-members-wounded-kataib-hezbollah-retaliatory-strikes</t>
  </si>
  <si>
    <t xml:space="preserve">R0319</t>
  </si>
  <si>
    <t xml:space="preserve">R0320</t>
  </si>
  <si>
    <t xml:space="preserve">US launches strikes on Iraq over drone attack blamed on Iran-aligned forces</t>
  </si>
  <si>
    <t xml:space="preserve">2023-12-26</t>
  </si>
  <si>
    <t xml:space="preserve">https://www.aljazeera.com/amp/news/2023/12/26/us-strikes-iraq-after-blaming-iran-backed-groups-for-drone-attack</t>
  </si>
  <si>
    <t xml:space="preserve">R0321</t>
  </si>
  <si>
    <t xml:space="preserve">U.S. drone strike kills Iran-backed commander in Iraq amid escalating regional violence</t>
  </si>
  <si>
    <t xml:space="preserve">2024-01-04</t>
  </si>
  <si>
    <t xml:space="preserve">https://www.kgou.org/2024-01-04/u-s-drone-strike-kills-iran-backed-commander-in-iraq-amid-escalating-regional-violence</t>
  </si>
  <si>
    <t xml:space="preserve">R0322</t>
  </si>
  <si>
    <t xml:space="preserve">What we know about drone attack that killed US troops in Jordan</t>
  </si>
  <si>
    <t xml:space="preserve">2024-01-29</t>
  </si>
  <si>
    <t xml:space="preserve">https://www.aljazeera.com/amp/video/newsfeed/2024/1/29/what-we-know-about-drone-attack-that-killed-us-troops-in-jordan</t>
  </si>
  <si>
    <t xml:space="preserve">R0323</t>
  </si>
  <si>
    <t xml:space="preserve">Iraq's Kataeb Hezbollah faction suspends attacks on US forces</t>
  </si>
  <si>
    <t xml:space="preserve">2024-01-30</t>
  </si>
  <si>
    <t xml:space="preserve">https://www.timesofisrael.com/iraqs-kataib-hezbollah-faction-suspends-attacks-on-us-forces/</t>
  </si>
  <si>
    <t xml:space="preserve">R0324</t>
  </si>
  <si>
    <t xml:space="preserve">Kataib Hezbollah announces halt of attacks on US forces</t>
  </si>
  <si>
    <t xml:space="preserve">2024-01-31</t>
  </si>
  <si>
    <t xml:space="preserve">https://www.aljazeera.com/news/2024/1/31/kataib-hezbollah-says-it-suspends-attacks-on-us-forces</t>
  </si>
  <si>
    <t xml:space="preserve">R0325</t>
  </si>
  <si>
    <t xml:space="preserve">AP Report: U.S. begins retaliatory strikes on militias in Iraq and Syria, officials say</t>
  </si>
  <si>
    <t xml:space="preserve">2024-02-02</t>
  </si>
  <si>
    <t xml:space="preserve">https://www.pbs.org/newshour/world/ap-report-u-s-begins-retaliatory-strikes-on-militias-in-iraq-and-syria-officials-say</t>
  </si>
  <si>
    <t xml:space="preserve">R0326</t>
  </si>
  <si>
    <t xml:space="preserve">US Strikes More Than 85 Targets in Iraq and Syria, Centcom Says</t>
  </si>
  <si>
    <t xml:space="preserve">https://www.bloomberg.com/news/articles/2024-02-02/us-strikes-more-than-85-targets-in-iraq-and-syria-centcom-says</t>
  </si>
  <si>
    <t xml:space="preserve">R0327</t>
  </si>
  <si>
    <t xml:space="preserve">Several allied Kurdish fighters killed in drone attack on base housing U.S. troops in Syria</t>
  </si>
  <si>
    <t xml:space="preserve">2024-02-05</t>
  </si>
  <si>
    <t xml:space="preserve">https://www.pbs.org/newshour/world/several-allied-kurdish-fighters-killed-in-drone-attack-on-base-housing-u-s-troops-in-syria</t>
  </si>
  <si>
    <t xml:space="preserve">R0328</t>
  </si>
  <si>
    <t xml:space="preserve">Paramilitary commander killed in Baghdad drone strike: Reports</t>
  </si>
  <si>
    <t xml:space="preserve">2024-02-07</t>
  </si>
  <si>
    <t xml:space="preserve">https://www.aljazeera.com/news/2024/2/7/paramilitary-commander-killed-in-baghdad-drone-strike-reports</t>
  </si>
  <si>
    <t xml:space="preserve">R0329</t>
  </si>
  <si>
    <t xml:space="preserve">Iran launches hundreds of missiles, drones in first direct attack on Israel</t>
  </si>
  <si>
    <t xml:space="preserve">2024-04-13</t>
  </si>
  <si>
    <t xml:space="preserve">https://www.aljazeera.com/news/2024/4/13/israeli-army-says-iran-has-launched-drones-at-israel</t>
  </si>
  <si>
    <t xml:space="preserve">R0330</t>
  </si>
  <si>
    <t xml:space="preserve">AP (via ABC News)</t>
  </si>
  <si>
    <t xml:space="preserve">U.S. and UK sanction Iranian firms involved in drone production in response to Tehran's attack on Israel</t>
  </si>
  <si>
    <t xml:space="preserve">2024-04-18</t>
  </si>
  <si>
    <t xml:space="preserve">https://abcnews.go.com/US/wireStory/us-uk-sanction-iranian-firms-involved-drone-production-109380429</t>
  </si>
  <si>
    <t xml:space="preserve">R0331</t>
  </si>
  <si>
    <t xml:space="preserve">Iran fires dozens of missiles at Israel</t>
  </si>
  <si>
    <t xml:space="preserve">2024-10-01</t>
  </si>
  <si>
    <t xml:space="preserve">https://www.aljazeera.com/video/newsfeed/2024/10/1/iran-fires-dozens-of-missiles-at-israel</t>
  </si>
  <si>
    <t xml:space="preserve">R0332</t>
  </si>
  <si>
    <t xml:space="preserve">US deploying THAAD missile defence system, troops to Israel</t>
  </si>
  <si>
    <t xml:space="preserve">2024-10-13</t>
  </si>
  <si>
    <t xml:space="preserve">https://www.aljazeera.com/news/2024/10/13/us-deploying-thaad-missile-defence-system-troops-to-israel</t>
  </si>
  <si>
    <t xml:space="preserve">R0333</t>
  </si>
  <si>
    <t xml:space="preserve">U.S. sending THAAD missile system and troops to operate it to Israel</t>
  </si>
  <si>
    <t xml:space="preserve">https://www.axios.com/2024/10/13/us-send-thaad-missile-israel</t>
  </si>
  <si>
    <t xml:space="preserve">R0334</t>
  </si>
  <si>
    <t xml:space="preserve">Where does Trump's renewed 'maximum pressure' leave any Iran-US deal?</t>
  </si>
  <si>
    <t xml:space="preserve">2025-02-06</t>
  </si>
  <si>
    <t xml:space="preserve">https://www.aljazeera.com/news/2025/2/6/where-does-trumps-renewed-maximum-pressure-leave-any-iran-us-deal</t>
  </si>
  <si>
    <t xml:space="preserve">R0335</t>
  </si>
  <si>
    <t xml:space="preserve">Iran-US talks in Oman live: Delegations to hold nuclear discussions</t>
  </si>
  <si>
    <t xml:space="preserve">2025-04-12</t>
  </si>
  <si>
    <t xml:space="preserve">https://www.aljazeera.com/amp/news/liveblog/2025/4/12/iran-us-talks-in-oman-live-delegations-to-hold-nuclear-discussions</t>
  </si>
  <si>
    <t xml:space="preserve">R0336</t>
  </si>
  <si>
    <t xml:space="preserve">Trump envoy, Iranian foreign minister meet in first round of nuclear talks</t>
  </si>
  <si>
    <t xml:space="preserve">https://www.axios.com/2025/04/12/us-iran-begin-nucearl-talks-begin-oman?stream=top</t>
  </si>
  <si>
    <t xml:space="preserve">R0337</t>
  </si>
  <si>
    <t xml:space="preserve">Iran, US report progress in nuclear talks, confirm third round next week</t>
  </si>
  <si>
    <t xml:space="preserve">2025-04-19</t>
  </si>
  <si>
    <t xml:space="preserve">https://www.aljazeera.com/news/2025/4/19/iran-says-progress-in-nuclear-talks-with-us-confirms-third-round-next-week</t>
  </si>
  <si>
    <t xml:space="preserve">R0338</t>
  </si>
  <si>
    <t xml:space="preserve">R0339</t>
  </si>
  <si>
    <t xml:space="preserve">AP (via AOL)</t>
  </si>
  <si>
    <t xml:space="preserve">Iran and US conclude a fourth round of negotiations over Tehran's nuclear program in Oman</t>
  </si>
  <si>
    <t xml:space="preserve">2025-05-11</t>
  </si>
  <si>
    <t xml:space="preserve">https://www.aol.com/iran-us-begin-4th-round-094046088.html</t>
  </si>
  <si>
    <t xml:space="preserve">R0340</t>
  </si>
  <si>
    <t xml:space="preserve">Iran sees hope for progress after fifth round of nuclear talks with US</t>
  </si>
  <si>
    <t xml:space="preserve">2025-05-23</t>
  </si>
  <si>
    <t xml:space="preserve">https://www.aljazeera.com/news/2025/5/23/red-lines-stalk-fifth-round-of-iran-us-nuclear-talks</t>
  </si>
  <si>
    <t xml:space="preserve">R0341</t>
  </si>
  <si>
    <t xml:space="preserve">Live: Israel warns 'Tehran will burn' after deadly missile barrage by Iran</t>
  </si>
  <si>
    <t xml:space="preserve">2025-06-14</t>
  </si>
  <si>
    <t xml:space="preserve">https://www.aljazeera.com/news/liveblog/2025/6/14/live-israel-warns-tehran-will-burn-after-deadly-missile-barrage-by-iran</t>
  </si>
  <si>
    <t xml:space="preserve">R0342</t>
  </si>
  <si>
    <t xml:space="preserve">R0343</t>
  </si>
  <si>
    <t xml:space="preserve">US bombs Iran's nuclear sites: What we know so far</t>
  </si>
  <si>
    <t xml:space="preserve">2025-06-22</t>
  </si>
  <si>
    <t xml:space="preserve">https://www.aljazeera.com/news/2025/6/22/us-bombs-irans-nuclear-sites-what-we-know-so-far</t>
  </si>
  <si>
    <t xml:space="preserve">R0344</t>
  </si>
  <si>
    <t xml:space="preserve">Live: US joins Israel's attacks on Iran, bombs three nuclear sites</t>
  </si>
  <si>
    <t xml:space="preserve">https://www.aljazeera.com/news/liveblog/2025/6/22/live-us-joins-israels-attacks-on-iran-bombs-three-nuclear-sites</t>
  </si>
  <si>
    <t xml:space="preserve">R0345</t>
  </si>
  <si>
    <t xml:space="preserve">Tehran attacks US base in Qatar, hours later Trump states Israel-Iran truce</t>
  </si>
  <si>
    <t xml:space="preserve">2025-06-23</t>
  </si>
  <si>
    <t xml:space="preserve">https://www.aljazeera.com/news/2025/6/23/flares-over-qatars-doha-explosions-heard-amid-us-israel-iran-conflict</t>
  </si>
  <si>
    <t xml:space="preserve">R0346</t>
  </si>
  <si>
    <t xml:space="preserve">R0347</t>
  </si>
  <si>
    <t xml:space="preserve">Trump claims ceasefire reached between Israel and Iran</t>
  </si>
  <si>
    <t xml:space="preserve">https://aljazeera.com/news/2025/6/23/trump-claims-ceasefire-reached-between-israel-and-iran</t>
  </si>
  <si>
    <t xml:space="preserve">R0348</t>
  </si>
  <si>
    <t xml:space="preserve">US says sanctions hit Iran 'shipping empire' linked to top Tehran official</t>
  </si>
  <si>
    <t xml:space="preserve">2025-07-31</t>
  </si>
  <si>
    <t xml:space="preserve">https://www.aljazeera.com/amp/news/2025/7/31/us-says-sanctions-hit-iran-shipping-empire-linked-to-top-tehran-official</t>
  </si>
  <si>
    <t xml:space="preserve">R0349</t>
  </si>
  <si>
    <t xml:space="preserve">Live: US, Iran ratchet up rhetoric as 'big armada' forms in the Middle East</t>
  </si>
  <si>
    <t xml:space="preserve">2026-01-27</t>
  </si>
  <si>
    <t xml:space="preserve">https://www.aljazeera.com/amp/news/liveblog/2026/1/27/live-us-iran-ratchet-up-rhetoric-as-big-armada-forms-in-the-middle-east</t>
  </si>
  <si>
    <t xml:space="preserve">R0350</t>
  </si>
  <si>
    <t xml:space="preserve">US-Iran talks live: Critical negotiations set to begin in Oman</t>
  </si>
  <si>
    <t xml:space="preserve">2026-02-06</t>
  </si>
  <si>
    <t xml:space="preserve">https://www.aljazeera.com/amp/news/liveblog/2026/2/6/us-iran-talks-live-critical-negotiations-set-to-begin-in-oman</t>
  </si>
  <si>
    <t xml:space="preserve">R0351</t>
  </si>
  <si>
    <t xml:space="preserve">Trump orders second aircraft carrier to Middle East</t>
  </si>
  <si>
    <t xml:space="preserve">2026-02-13</t>
  </si>
  <si>
    <t xml:space="preserve">https://www.aljazeera.com/video/newsfeed/2026/2/13/trump-orders-second-aircraft-carrier-to-middle-east</t>
  </si>
  <si>
    <t xml:space="preserve">R0352</t>
  </si>
  <si>
    <t xml:space="preserve">Bloomberg Government</t>
  </si>
  <si>
    <t xml:space="preserve">Iran-US Nuclear Talks Set to Resume in Geneva on Feb. 26</t>
  </si>
  <si>
    <t xml:space="preserve">2026-02</t>
  </si>
  <si>
    <t xml:space="preserve">https://news.bgov.com/states-of-play/iran-us-nuclear-talks-set-to-resume-in-geneva-on-feb-26-1</t>
  </si>
  <si>
    <t xml:space="preserve">R0353</t>
  </si>
  <si>
    <t xml:space="preserve">Iraq military base used by U.S. hit by rockets year after similar attack brought U.S. and Iran close to war</t>
  </si>
  <si>
    <t xml:space="preserve">2021-03-03</t>
  </si>
  <si>
    <t xml:space="preserve">https://www.cbsnews.com/news/rockets-strike-al-asad-airbase-iraq-hosting-us-troops</t>
  </si>
  <si>
    <t xml:space="preserve">R0354</t>
  </si>
  <si>
    <t xml:space="preserve">NPR (via WGCU)</t>
  </si>
  <si>
    <t xml:space="preserve">U.S. Civilian Contractor Dies During Rocket Strike On Iraq Air Base</t>
  </si>
  <si>
    <t xml:space="preserve">https://www.wgcu.org/2021-03-03/u-s-civilian-contractor-dies-during-rocket-strike-on-iraq-air-base</t>
  </si>
  <si>
    <t xml:space="preserve">R0355</t>
  </si>
  <si>
    <t xml:space="preserve">US warship in Arabian Sea seizes suspected Iranian weapons</t>
  </si>
  <si>
    <t xml:space="preserve">2020-02-13</t>
  </si>
  <si>
    <t xml:space="preserve">https://www.aljazeera.com/news/2020/02/warship-arabian-sea-seizes-suspected-iranian-weapons-200213201018624.html</t>
  </si>
  <si>
    <t xml:space="preserve">R0356</t>
  </si>
  <si>
    <t xml:space="preserve">VIDEO: USS Normandy Seizes Cache Of Iranian-Made Weapons in Arabian Sea</t>
  </si>
  <si>
    <t xml:space="preserve">https://news.usni.org/2020/02/13/video-uss-normandy-seizes-cache-of-iranian-made-weapons-in-arabian-sea</t>
  </si>
  <si>
    <t xml:space="preserve">R0357</t>
  </si>
  <si>
    <t xml:space="preserve">NBC News</t>
  </si>
  <si>
    <t xml:space="preserve">U.S. Navy seizes more than 2,000 AK-47s likely bound for Iranian-backed rebels in Yemen</t>
  </si>
  <si>
    <t xml:space="preserve">2023-01</t>
  </si>
  <si>
    <t xml:space="preserve">https://www.nbcnews.com/news/world/us-navy-seizes-ak-47-assault-rifles-iran-houthis-yemen-rcna65027</t>
  </si>
  <si>
    <t xml:space="preserve">R0358</t>
  </si>
  <si>
    <t xml:space="preserve">NAVCENT (official release)</t>
  </si>
  <si>
    <t xml:space="preserve">U.S. Navy Intercepts More Than 2,000 Assault Rifles Shipped from Iran</t>
  </si>
  <si>
    <t xml:space="preserve">2023-01-10</t>
  </si>
  <si>
    <t xml:space="preserve">https://www.cusnc.navy.mil/Media/News/Display/Article/3263172/us-navy-intercepts-more-than-2000-assault-rifles-shipped-from-iran/</t>
  </si>
  <si>
    <t xml:space="preserve">Evidence behind Trigger Census re-checks (not event reports)</t>
  </si>
  <si>
    <t xml:space="preserve">Census #14</t>
  </si>
  <si>
    <t xml:space="preserve">US says it destroyed minelayers near Hormuz after Trump warns Iran not to mine strait</t>
  </si>
  <si>
    <t xml:space="preserve">https://www.timesofisrael.com/us-says-it-destroyed-minelayers-near-hormuz-after-trump-warns-iran-not-to-mine-strait/amp/</t>
  </si>
  <si>
    <t xml:space="preserve">Iran begins laying mines in Strait of Hormuz, sources say</t>
  </si>
  <si>
    <t xml:space="preserve">https://www.cnn.com/2026/03/10/politics/iran-begins-laying-mines-in-strait-of-hormuz</t>
  </si>
  <si>
    <t xml:space="preserve">Trump Warns Iran Against Laying Mines in Strait of Hormuz</t>
  </si>
  <si>
    <t xml:space="preserve">https://www.bloomberg.com/news/articles/2026-03-10/trump-warns-iran-against-laying-mines-in-the-strait-of-hormuz</t>
  </si>
  <si>
    <t xml:space="preserve">Census #23</t>
  </si>
  <si>
    <t xml:space="preserve">Drone attack sparks fire on Kuwaiti tanker in UAE amid Iran's Gulf attacks</t>
  </si>
  <si>
    <t xml:space="preserve">https://www.aljazeera.com/news/2026/3/31/drone-attack-sparks-fire-on-kuwaiti-tanker-in-uae-amid-irans-gulf-attacks</t>
  </si>
  <si>
    <t xml:space="preserve">Iran Strikes Fully Laden Kuwait Oil Tanker in Dubai Port Area</t>
  </si>
  <si>
    <t xml:space="preserve">https://www.bloomberg.com/news/articles/2026-03-30/iran-strikes-fully-laden-kuwait-oil-tanker-in-dubai-port-area</t>
  </si>
  <si>
    <t xml:space="preserve">US hits Iranian ammunition bunkers, causing major explosions (liveblog entry, citing WSJ)</t>
  </si>
  <si>
    <t xml:space="preserve">https://www.timesofisrael.com/liveblog_entry/us-hits-iranian-ammunition-bunkers-causing-major-explosions/</t>
  </si>
  <si>
    <t xml:space="preserve">Central Israel hit by one of Iran's largest missile barrages in weeks</t>
  </si>
  <si>
    <t xml:space="preserve">2026-04-01</t>
  </si>
  <si>
    <t xml:space="preserve">https://www.aljazeera.com/video/newsfeed/2026/4/1/central-israel-hit-by-one-of-irans-largest-missile-barrages-in-weeks</t>
  </si>
  <si>
    <t xml:space="preserve">Census #25</t>
  </si>
  <si>
    <t xml:space="preserve">US-Israeli strike hits newly opened B1 bridge near Tehran, killing two</t>
  </si>
  <si>
    <t xml:space="preserve">https://www.aljazeera.com/video/2026/4/2/us-israeli-strike-hits-newly-opened-b1-bridge-near-tehran-killing-two</t>
  </si>
  <si>
    <t xml:space="preserve">Census #31</t>
  </si>
  <si>
    <t xml:space="preserve">The U.S. military says it will blockade Iranian ports as Iran peace talks collapse</t>
  </si>
  <si>
    <t xml:space="preserve">https://www.npr.org/2026/04/12/nx-s1-5782538/u-s-iran-peace-talks-islamabad-collapse</t>
  </si>
  <si>
    <t xml:space="preserve">Trump says U.S. will blockade Iranian ports after peace talks fail</t>
  </si>
  <si>
    <t xml:space="preserve">https://www.npr.org/2026/04/13/nx-s1-5782654/trump-says-us-will-blockade-iranian-ports-after-peace-talks-fail</t>
  </si>
  <si>
    <t xml:space="preserve">Iran shuts Hormuz strait: But wasn't it already closed?</t>
  </si>
  <si>
    <t xml:space="preserve">https://www.aljazeera.com/news/2026/6/11/iran-shuts-hormuz-strait-but-wasnt-it-already-closed</t>
  </si>
  <si>
    <t xml:space="preserve">Iran says massive Israeli strikes in Lebanon render peace talks with US 'meaningless'</t>
  </si>
  <si>
    <t xml:space="preserve">https://www.timesofisrael.com/iran-says-massive-israeli-strikes-in-lebanon-render-peace-talks-meaningless/</t>
  </si>
  <si>
    <t xml:space="preserve">Census #33</t>
  </si>
  <si>
    <t xml:space="preserve">https://news.usni.org/2026/04/11/two-u-s-warships-sail-through-strait-of-hormuz-to-establish-new-route-for-merchant-ships</t>
  </si>
  <si>
    <t xml:space="preserve">Reuters (Tolba, Maher) via WDEZ</t>
  </si>
  <si>
    <t xml:space="preserve">Iran's Revolutionary Guards warn military vessels approaching Strait of Hormuz (IRGC statement via state media)</t>
  </si>
  <si>
    <t xml:space="preserve">https://wdez.com/?p=933163</t>
  </si>
  <si>
    <t xml:space="preserve">Navy Turns Around Ships Trying To Run Blockade Of Iran (Updated)</t>
  </si>
  <si>
    <t xml:space="preserve">2026-04-14</t>
  </si>
  <si>
    <t xml:space="preserve">https://www.twz.com/news-features/ships-passed-through-u-s-navy-blockade-reports</t>
  </si>
  <si>
    <t xml:space="preserve">NPR (via WUNC)</t>
  </si>
  <si>
    <t xml:space="preserve">The U.S. blockade continues despite Iran's announcement the Strait of Hormuz is open</t>
  </si>
  <si>
    <t xml:space="preserve">2026-04-17</t>
  </si>
  <si>
    <t xml:space="preserve">https://www.wunc.org/2026-04-17/the-u-s-blockade-continues-despite-irans-announcement-the-strait-of-hormuz-is-open</t>
  </si>
  <si>
    <t xml:space="preserve">Bloomberg via World Oil</t>
  </si>
  <si>
    <t xml:space="preserve">Trump extends Iran ceasefire while keeping Hormuz blocked amid stalled talks</t>
  </si>
  <si>
    <t xml:space="preserve">2026-04-21</t>
  </si>
  <si>
    <t xml:space="preserve">https://worldoil.com/news/2026/4/21/trump-extends-iran-ceasefire-while-keeping-hormuz-blocked-amid-stalled-talks/</t>
  </si>
  <si>
    <t xml:space="preserve">Census #36</t>
  </si>
  <si>
    <t xml:space="preserve">U.S. seizes Iranian cargo ship in Strait of Hormuz</t>
  </si>
  <si>
    <t xml:space="preserve">https://www.npr.org/2026/04/19/nx-s1-5790378/iran-us-hormuz-closed-impossible</t>
  </si>
  <si>
    <t xml:space="preserve">What to know about US-Iran standoff over the Strait of Hormuz</t>
  </si>
  <si>
    <t xml:space="preserve">https://www.aljazeera.com/news/2026/4/19/what-to-know-about-us-iran-standoff-over-the-strait-of-hormuz</t>
  </si>
  <si>
    <t xml:space="preserve">Iran closes Strait of Hormuz again over US blockade of its ports</t>
  </si>
  <si>
    <t xml:space="preserve">https://www.aljazeera.com/news/2026/4/18/iran-closes-strait-of-hormuz-again-over-us-blockade-of-its-ports</t>
  </si>
  <si>
    <t xml:space="preserve">Census #39</t>
  </si>
  <si>
    <t xml:space="preserve">Kuwait says it foils infiltration operation by Iran's IRGC</t>
  </si>
  <si>
    <t xml:space="preserve">https://www.aljazeera.com/news/2026/5/12/kuwait-says-it-foils-infiltration-operation-by-irans-irgc</t>
  </si>
  <si>
    <t xml:space="preserve">Israel Hayom</t>
  </si>
  <si>
    <t xml:space="preserve">Kuwait thwarts Iranian attack on its soil</t>
  </si>
  <si>
    <t xml:space="preserve">https://www.israelhayom.com/2026/05/12/kuwait-thwarts-iranian-attack-on-its-soil/</t>
  </si>
  <si>
    <t xml:space="preserve">Census #40</t>
  </si>
  <si>
    <t xml:space="preserve">U.S. sinks 7 small Iranian boats as Iran launches attacks on UAE and ships in Strait of Hormuz</t>
  </si>
  <si>
    <t xml:space="preserve">https://www.cbsnews.com/live-updates/iran-war-trump-strait-of-hormuz-ship-attack-threat-peace-proposal/</t>
  </si>
  <si>
    <t xml:space="preserve">US, Iran, UAE trade Hormuz attack claims: What we know</t>
  </si>
  <si>
    <t xml:space="preserve">2026-05-05</t>
  </si>
  <si>
    <t xml:space="preserve">https://www.aljazeera.com/news/2026/5/5/us-iran-uae-trade-hormuz-attack-claims-what-we-know</t>
  </si>
  <si>
    <t xml:space="preserve">Iran says Strait of Hormuz passage to be ensured after US pauses operation</t>
  </si>
  <si>
    <t xml:space="preserve">https://www.aljazeera.com/news/2026/5/6/french-container-ship-struck-in-latest-escalation-at-strait-of-hormuz</t>
  </si>
  <si>
    <t xml:space="preserve">US, Iran clash in Hormuz as war escalates: What happened, why it matters</t>
  </si>
  <si>
    <t xml:space="preserve">2026-05-08</t>
  </si>
  <si>
    <t xml:space="preserve">https://www.aljazeera.com/news/2026/5/8/us-iran-clash-in-hormuz-as-war-escalates-what-happened-why-it-matters</t>
  </si>
  <si>
    <t xml:space="preserve">Census #42</t>
  </si>
  <si>
    <t xml:space="preserve">Reuters via TimesLIVE</t>
  </si>
  <si>
    <t xml:space="preserve">Trump says ceasefire holds after US-Iran Gulf clash</t>
  </si>
  <si>
    <t xml:space="preserve">https://www.timeslive.co.za/news/world/2026-05-08-trump-says-ceasefire-holds-after-us-iran-gulf-clash/</t>
  </si>
  <si>
    <t xml:space="preserve">Reuters via Aaj English TV</t>
  </si>
  <si>
    <t xml:space="preserve">UAE intercepts Iranian attack, Trump says ceasefire to hold</t>
  </si>
  <si>
    <t xml:space="preserve">https://english.aaj.tv/news/amp/330458607</t>
  </si>
  <si>
    <t xml:space="preserve">Census #53</t>
  </si>
  <si>
    <t xml:space="preserve">Iran's military says it closed Strait of Hormuz again over Israel's strikes in Lebanon</t>
  </si>
  <si>
    <t xml:space="preserve">https://www.timesofisrael.com/liveblog_entry/irans-military-says-it-closed-strait-of-hormuz-again-over-israels-strikes-in-lebanon/</t>
  </si>
  <si>
    <t xml:space="preserve">Iran closes Strait of Hormuz as Pakistan says new talks with US due Sunday</t>
  </si>
  <si>
    <t xml:space="preserve">https://www.aljazeera.com/news/2026/6/20/us-iran-talks-to-kick-off-sunday-in-switzerland-says</t>
  </si>
  <si>
    <t xml:space="preserve">Iran war updates: Trump says Iran 'will agree' to allow weapons inspections</t>
  </si>
  <si>
    <t xml:space="preserve">2026-06-22</t>
  </si>
  <si>
    <t xml:space="preserve">https://www.aljazeera.com/news/liveblog/2026/6/22/iran-war-live-first-day-of-us-talks-covers-lebanon-hormuz-frozen-assets</t>
  </si>
  <si>
    <t xml:space="preserve">Iran war updates: Rubio calls Gulf discussions frank; Iran talks next week</t>
  </si>
  <si>
    <t xml:space="preserve">2026-06-24</t>
  </si>
  <si>
    <t xml:space="preserve">https://www.aljazeera.com/news/liveblog/2026/6/24/iran-war-live-trump-tehran-at-odds-over-nuclear-inspections-hormuz</t>
  </si>
  <si>
    <t xml:space="preserve">Census #56</t>
  </si>
  <si>
    <t xml:space="preserve">U.S. strikes multiple targets in Iran in retaliation for oil tanker attack</t>
  </si>
  <si>
    <t xml:space="preserve">https://www.wamc.org/2026-06-27/u-s-strikes-multiple-targets-in-iran-in-retaliation-for-oil-tanker-attack</t>
  </si>
  <si>
    <t xml:space="preserve">NPR (via WYPR)</t>
  </si>
  <si>
    <t xml:space="preserve">U.S. and Iran each announce retaliatory strikes in Iran, Kuwait and Bahrain</t>
  </si>
  <si>
    <t xml:space="preserve">https://www.wypr.org/2026-06-27/u-s-and-iran-each-announce-retaliatory-strikes-in-iran-kuwait-and-bahrain</t>
  </si>
  <si>
    <t xml:space="preserve">AP (Jon Gambrell, Melanie Lidman), via Philadelphia Inquirer</t>
  </si>
  <si>
    <t xml:space="preserve">Iran, US strikes Bahrain Kuwait talks threatened Strait of Hormuz Trump</t>
  </si>
  <si>
    <t xml:space="preserve">https://www.inquirer.com/news/nation-world/iran-us-strikes-bahrain-kuwait-talks-threatened-strait-hormuz-trump-20260628.html</t>
  </si>
  <si>
    <t xml:space="preserve">AAP (citing Axios and Reuters), via The New Daily</t>
  </si>
  <si>
    <t xml:space="preserve">Iran and US agree to halt attacks and renew talks</t>
  </si>
  <si>
    <t xml:space="preserve">2026-06-29</t>
  </si>
  <si>
    <t xml:space="preserve">https://www.thenewdaily.com.au/news/world/middle-east-news/2026/06/29/iran-us-attacks-renew-talks</t>
  </si>
  <si>
    <t xml:space="preserve">Census #58</t>
  </si>
  <si>
    <t xml:space="preserve">AFP via Ahram Online</t>
  </si>
  <si>
    <t xml:space="preserve">US revokes temporary sanctions waiver on Iranian oil</t>
  </si>
  <si>
    <t xml:space="preserve">https://english.ahram.org.eg/News/572446.aspx</t>
  </si>
  <si>
    <t xml:space="preserve">Reuters via Honolulu Star-Advertiser</t>
  </si>
  <si>
    <t xml:space="preserve">IRNA (Iranian state media; Iran's claim only), via Libnanews Live aggregator</t>
  </si>
  <si>
    <t xml:space="preserve">Foreign Ministry: US revocation of oil sanctions waiver clear violation of MoU</t>
  </si>
  <si>
    <t xml:space="preserve">https://live.libnanews.com/event/ev-1783491216368-cebd</t>
  </si>
  <si>
    <t xml:space="preserve">Reuters via 935thelloyd.com</t>
  </si>
  <si>
    <t xml:space="preserve">Iran's IRGC Navy says Strait of Hormuz closed until further notice, state media reports</t>
  </si>
  <si>
    <t xml:space="preserve">2026-07-11</t>
  </si>
  <si>
    <t xml:space="preserve">https://935thelloyd.com/2026/07/11/irans-irgc-navy-says-strait-of-hormuz-closed-until-further-notice-state-media-reports/</t>
  </si>
  <si>
    <t xml:space="preserve">Reuters via Jakarta Post (Holland, Hafezi, Stewart, Ehab)</t>
  </si>
  <si>
    <t xml:space="preserve">US strikes Iran, Tehran says Strait of Hormuz closed, Gulf states hit</t>
  </si>
  <si>
    <t xml:space="preserve">https://thejakartapost.com/world/2026/07/12/us-strikes-iran-tehran-says-strait-of-hormuz-closed-gulf-states-hit</t>
  </si>
  <si>
    <t xml:space="preserve">Census #77</t>
  </si>
  <si>
    <t xml:space="preserve">CENTCOM destroys 3 IRGC oil tankers after Iran targets 2 US Navy warships</t>
  </si>
  <si>
    <t xml:space="preserve">AFP via Kuwait Times</t>
  </si>
  <si>
    <t xml:space="preserve">US strikes Iran oil tankers after missile attacks</t>
  </si>
  <si>
    <t xml:space="preserve">https://kuwaittimes.com/article/49267/world/america/us-strikes-iran-oil-tankers-after-missile-attacks/</t>
  </si>
  <si>
    <t xml:space="preserve">US destroys 5 IRGC tankers after Iran targets another American warship</t>
  </si>
  <si>
    <t xml:space="preserve">AFP via Malay Mail</t>
  </si>
  <si>
    <t xml:space="preserve">US destroys five Iranian oil tankers after repeated missile attacks on American Navy warship</t>
  </si>
  <si>
    <t xml:space="preserve">https://www.malaymail.com/amp/news/world/2026/09/09/us-destroys-five-iranian-oil-tankers-after-repeated-missile-attacks-on-american-navy-warship/234471</t>
  </si>
  <si>
    <t xml:space="preserve">Iran, US trade blows as Hormuz impasse deepens</t>
  </si>
  <si>
    <t xml:space="preserve">https://english.ahram.org.eg/News/576292.aspx</t>
  </si>
  <si>
    <t xml:space="preserve">ANI (reporting IRGC/IRIB claim) via Times of Oman</t>
  </si>
  <si>
    <t xml:space="preserve">IRGC says several ballistic missiles fired at US aircraft carrier and a destroyer</t>
  </si>
  <si>
    <t xml:space="preserve">2026-09-06</t>
  </si>
  <si>
    <t xml:space="preserve">https://timesofoman.com/article/176512-irgc-says-several-ballistic-missiles-fired-at-us-aircraft-carrier-and-a-destroyer</t>
  </si>
  <si>
    <t xml:space="preserve">Census #80</t>
  </si>
  <si>
    <t xml:space="preserve">AAP (Reuters report by Idrees Ali), via Newcastle Herald</t>
  </si>
  <si>
    <t xml:space="preserve">Wall Street Journal (reported via ANI/Deccan Chronicle)</t>
  </si>
  <si>
    <t xml:space="preserve">Trump Rejects Iran Ceasefire, Plans More Bombing After Midterms</t>
  </si>
  <si>
    <t xml:space="preserve">https://www.deccanchronicle.com/west-asia/trump-rejects-iran-ceasefire-plans-renewed-bombing-after-midterms-report-1990671</t>
  </si>
  <si>
    <t xml:space="preserve">Time interview as relayed by wire on The Edge Malaysia (wire not named on page)</t>
  </si>
  <si>
    <t xml:space="preserve">Friday 02 Oct 2026 (Trump says resuming Iran strikes after midterms 'possible')</t>
  </si>
  <si>
    <t xml:space="preserve">https://theedgemalaysia.com/node/820247</t>
  </si>
  <si>
    <t xml:space="preserve">The Week (cites WSJ, NBC, CNN, Al Jazeera, NYT)</t>
  </si>
  <si>
    <t xml:space="preserve">Are the midterms dictating Trump's Iran strategy?</t>
  </si>
  <si>
    <t xml:space="preserve">https://theweek.com/politics/midterms-trump-iran-strategy</t>
  </si>
  <si>
    <t xml:space="preserve">Census #85</t>
  </si>
  <si>
    <t xml:space="preserve">AP (Farnoush Amiri), via PBS NewsHour</t>
  </si>
  <si>
    <t xml:space="preserve">Reuters via Oman Observer</t>
  </si>
  <si>
    <t xml:space="preserve">Three oil tankers hit by projectiles in Hormuz Strait on Tuesday</t>
  </si>
  <si>
    <t xml:space="preserve">https://www.omanobserver.om/article/1197077/world/region/three-oil-tankers-hit-by-projectiles-in-hormuz-strait-on-tuesday</t>
  </si>
  <si>
    <t xml:space="preserve">UKMTO via Qatar News Agency (QNA)</t>
  </si>
  <si>
    <t xml:space="preserve">UKMTO: tanker attacked in Strait of Hormuz</t>
  </si>
  <si>
    <t xml:space="preserve">2026-10-02</t>
  </si>
  <si>
    <t xml:space="preserve">https://qna.org.qa/en/News-Area/News/2026-10/2/ukmto-tanker-attacked-in-strait-of-hormuz</t>
  </si>
  <si>
    <t xml:space="preserve">AFP via Khaleej Times</t>
  </si>
  <si>
    <t xml:space="preserve">Oman says tanker hit in Strait of Hormuz, search ongoing for two crew members</t>
  </si>
  <si>
    <t xml:space="preserve">2026-09-15</t>
  </si>
  <si>
    <t xml:space="preserve">https://www.khaleejtimes.com/world/mena/oman-tanker-hit-strait-of-hormuz-us-iran-war</t>
  </si>
  <si>
    <t xml:space="preserve">Census #87</t>
  </si>
  <si>
    <t xml:space="preserve">US sanctions target Iran's auto, rail sectors after blockade chokes shipping lanes</t>
  </si>
  <si>
    <t xml:space="preserve">https://www.internazionale.it/ultime-notizie-reuters/2026/10/01/us-sanctions-target-iran-s-auto-rail-sectors-after-blockade-chokes-shipping-lanes</t>
  </si>
  <si>
    <t xml:space="preserve">Wall Street Journal (via ANI/Deccan Chronicle)</t>
  </si>
  <si>
    <t xml:space="preserve">War phases</t>
  </si>
  <si>
    <t xml:space="preserve">People act differently in open war than in a ceasefire or a quiet spell, so NAPOR counts risk numbers within the right phase. Boundaries are judgement calls; each names the event that marks it.</t>
  </si>
  <si>
    <t xml:space="preserve">Phase</t>
  </si>
  <si>
    <t xml:space="preserve">From</t>
  </si>
  <si>
    <t xml:space="preserve">To</t>
  </si>
  <si>
    <t xml:space="preserve">What marks it</t>
  </si>
  <si>
    <t xml:space="preserve">Events in log</t>
  </si>
  <si>
    <t xml:space="preserve">#201 carrier and bombers sent; tanker attacks, drone shootdown, Abqaiq, Soleimani (#215) and Iran's missile revenge (#216)</t>
  </si>
  <si>
    <t xml:space="preserve">Sanctions, tanker seizures and tit-for-tat strikes with Iran-backed militias in Iraq and Syria; talks in 2023 and 2025</t>
  </si>
  <si>
    <t xml:space="preserve">#253 Israel strikes Iran; #255 US bombs nuclear sites; #256 Iran hits Al Udeid; #257 ceasefire</t>
  </si>
  <si>
    <t xml:space="preserve">Sanctions, a US buildup (#259, #261) and talks (#260, #262) before the 2026 war</t>
  </si>
  <si>
    <t xml:space="preserve">#2 Operation Epic Fury opens the war</t>
  </si>
  <si>
    <t xml:space="preserve">#28 two-week ceasefire (Apr 7-8); renewed Jun 8 (#43); interim deal Jun 17 (#50)</t>
  </si>
  <si>
    <t xml:space="preserve">#59 Trump declares the ceasefire over; #60 90-target strike wave</t>
  </si>
  <si>
    <t xml:space="preserve">End of the nightly US campaign; no ceasefire, occasional exchanges (#70-#80)</t>
  </si>
  <si>
    <t xml:space="preserve">No direct US-Iran strikes since Sep 9; talks (#81-#99); Trump: no strikes before Nov 3 (#97)</t>
  </si>
  <si>
    <t xml:space="preserve">Chance of any reply within ~5 days, by phase (census, best estimate; Open war rows are mostly excluded by the continuous-fighting rule)</t>
  </si>
  <si>
    <t xml:space="preserve">Counted</t>
  </si>
  <si>
    <t xml:space="preserve">Share</t>
  </si>
  <si>
    <t xml:space="preserve">Backtest (backtest.py): predicting with the reply rate in the same phase scored a Brier score of 0.159, better than the overall rate (0.170) and the rate by type of act (0.183); on the last 6 cases 0.20 vs 0.38. Caveat: the phase boundaries were drawn with hindsight, and in real time you only know a quiet spell has started after some days.</t>
  </si>
  <si>
    <t xml:space="preserve">Chains (back-and-forths)</t>
  </si>
  <si>
    <t xml:space="preserve">Each chain links events where one is a reply to another. Across 27 chains with a hostile act: on average 1.59 side-switches, longest 5; 63% stopped after one reply; average length 3.5 days. Caveat: July's nightly US strikes are under-logged, so chain T13 looks shorter than it was.</t>
  </si>
  <si>
    <t xml:space="preserve">Thread ID</t>
  </si>
  <si>
    <t xml:space="preserve">Chain</t>
  </si>
  <si>
    <t xml:space="preserve">Start</t>
  </si>
  <si>
    <t xml:space="preserve">End</t>
  </si>
  <si>
    <t xml:space="preserve">Days</t>
  </si>
  <si>
    <t xml:space="preserve">Events</t>
  </si>
  <si>
    <t xml:space="preserve">Side-switches</t>
  </si>
  <si>
    <t xml:space="preserve">Hostile acts</t>
  </si>
  <si>
    <t xml:space="preserve">Event IDs</t>
  </si>
  <si>
    <t xml:space="preserve">Tanker attacks -&gt; more US troops</t>
  </si>
  <si>
    <t xml:space="preserve">#203, #204</t>
  </si>
  <si>
    <t xml:space="preserve">Drone shootdown -&gt; Khamenei sanctions</t>
  </si>
  <si>
    <t xml:space="preserve">#205, #206</t>
  </si>
  <si>
    <t xml:space="preserve">Abqaiq attack -&gt; sanctions and troops for Saudi Arabia</t>
  </si>
  <si>
    <t xml:space="preserve">#209, #210, #211</t>
  </si>
  <si>
    <t xml:space="preserve">K-1 attack -&gt; strikes -&gt; embassy -&gt; Soleimani -&gt; Iran's missile revenge -&gt; sanctions</t>
  </si>
  <si>
    <t xml:space="preserve">#212, #213, #214, #215, #216, #217</t>
  </si>
  <si>
    <t xml:space="preserve">Taji attack -&gt; US strikes -&gt; Taji hit again</t>
  </si>
  <si>
    <t xml:space="preserve">#218, #219, #220</t>
  </si>
  <si>
    <t xml:space="preserve">Border strikes -&gt; rockets in Syria</t>
  </si>
  <si>
    <t xml:space="preserve">#223, #224</t>
  </si>
  <si>
    <t xml:space="preserve">Deir ez-Zor strikes -&gt; rockets at US bases</t>
  </si>
  <si>
    <t xml:space="preserve">#225, #226</t>
  </si>
  <si>
    <t xml:space="preserve">Contractor killed -&gt; US strikes -&gt; more rockets</t>
  </si>
  <si>
    <t xml:space="preserve">#227, #228, #229</t>
  </si>
  <si>
    <t xml:space="preserve">Erbil drone attack -&gt; US strikes (militia campaign, context)</t>
  </si>
  <si>
    <t xml:space="preserve">#235, #236</t>
  </si>
  <si>
    <t xml:space="preserve">Tower 22 -&gt; pause announced -&gt; 85 targets -&gt; al-Omar drone</t>
  </si>
  <si>
    <t xml:space="preserve">#238, #239, #240, #241</t>
  </si>
  <si>
    <t xml:space="preserve">Iran's first direct attack on Israel -&gt; drone-program sanctions</t>
  </si>
  <si>
    <t xml:space="preserve">#243, #244</t>
  </si>
  <si>
    <t xml:space="preserve">Iran's missiles at Israel -&gt; THAAD to Israel</t>
  </si>
  <si>
    <t xml:space="preserve">#245, #246</t>
  </si>
  <si>
    <t xml:space="preserve">Twelve-day war -&gt; Midnight Hammer -&gt; Al Udeid -&gt; ceasefire</t>
  </si>
  <si>
    <t xml:space="preserve">#253, #254, #255, #256, #257</t>
  </si>
  <si>
    <t xml:space="preserve">Opening campaign and Iran's first retaliation</t>
  </si>
  <si>
    <t xml:space="preserve">#2, #3, #4, #5, #6</t>
  </si>
  <si>
    <t xml:space="preserve">Strikes on Tehran leadership sites -&gt; drones on US embassy in Riyadh</t>
  </si>
  <si>
    <t xml:space="preserve">#10, #11</t>
  </si>
  <si>
    <t xml:space="preserve">Natanz -&gt; Iranian missiles toward Dimona/Arad</t>
  </si>
  <si>
    <t xml:space="preserve">#16, #17</t>
  </si>
  <si>
    <t xml:space="preserve">IRGC Navy chief killed -&gt; Prince Sultan AB strike</t>
  </si>
  <si>
    <t xml:space="preserve">#20, #21</t>
  </si>
  <si>
    <t xml:space="preserve">April ceasefire -&gt; Israeli strikes in Lebanon -&gt; Strait restricted</t>
  </si>
  <si>
    <t xml:space="preserve">#28, #30, #31</t>
  </si>
  <si>
    <t xml:space="preserve">Failed Islamabad talks -&gt; US blockade -&gt; Strait closed again</t>
  </si>
  <si>
    <t xml:space="preserve">#34, #35, #36</t>
  </si>
  <si>
    <t xml:space="preserve">Ship seizures, tit-for-tat</t>
  </si>
  <si>
    <t xml:space="preserve">#37, #38</t>
  </si>
  <si>
    <t xml:space="preserve">US destroyers attacked -&gt; US strikes near Bandar Abbas</t>
  </si>
  <si>
    <t xml:space="preserve">#41, #42</t>
  </si>
  <si>
    <t xml:space="preserve">June 8-11 flare-up (air-defense crews killed -&gt; Apache downed -&gt; US strikes -&gt; Jordan)</t>
  </si>
  <si>
    <t xml:space="preserve">#43, #44, #45, #46, #47, #48</t>
  </si>
  <si>
    <t xml:space="preserve">Interim deal signed -&gt; US blockade ends</t>
  </si>
  <si>
    <t xml:space="preserve">#50, #51</t>
  </si>
  <si>
    <t xml:space="preserve">Israeli strikes in Lebanon -&gt; Strait closed again</t>
  </si>
  <si>
    <t xml:space="preserve">#52, #53</t>
  </si>
  <si>
    <t xml:space="preserve">First interim-deal violation -&gt; US strikes -&gt; Iran fires at Kuwait/Bahrain</t>
  </si>
  <si>
    <t xml:space="preserve">#54, #55, #56</t>
  </si>
  <si>
    <t xml:space="preserve">Deal collapses -&gt; July US campaign -&gt; Iranian retaliation</t>
  </si>
  <si>
    <t xml:space="preserve">#57, #58, #59, #60, #61, #62, #63</t>
  </si>
  <si>
    <t xml:space="preserve">Larak Island -&gt; Jordan -&gt; Sep 1 strike wave -&gt; Jordan</t>
  </si>
  <si>
    <t xml:space="preserve">#70, #71, #73, #74, #75</t>
  </si>
  <si>
    <t xml:space="preserve">Missiles at a US warship -&gt; tankers destroyed -&gt; Jordan base hit</t>
  </si>
  <si>
    <t xml:space="preserve">#78, #79, #80</t>
  </si>
  <si>
    <t xml:space="preserve">Autumn diplomacy: 7-day plan -&gt; rejection -&gt; counter-offer</t>
  </si>
  <si>
    <t xml:space="preserve">#81, #82, #86, #93, #99, #108, #115, #127</t>
  </si>
  <si>
    <t xml:space="preserve">RAF Fairford plot -&gt; US bombers withdrawn</t>
  </si>
  <si>
    <t xml:space="preserve">#83, #91</t>
  </si>
  <si>
    <t xml:space="preserve">No-strike pledge before the midterms -&gt; reported strike plans</t>
  </si>
  <si>
    <t xml:space="preserve">#97, #111, #122, #126</t>
  </si>
  <si>
    <t xml:space="preserve">Houthi missile strikes on Riyadh (separate front, context)</t>
  </si>
  <si>
    <t xml:space="preserve">#98, #102</t>
  </si>
  <si>
    <t xml:space="preserve">War intensity, week by week</t>
  </si>
  <si>
    <t xml:space="preserve">Points per week: 2 for each direct strike between the US/Israel and Iran, 1 for each attack on shipping / seizure / blockade move, +2 if it killed someone. The 14-day band (Quiet 0, Low 1-5, Medium 6-11, High 12+) uses only earlier events, so it works in real time. Backtest: using this band to predict replies did NOT help (Brier 0.197 vs 0.170 for the plain overall rate): replies came even after quiet weeks, as on Jun 9. So it is shown as a gauge, not used in the numbers. Caveat: it counts logged rows, so big campaigns logged as one row look smaller than they were.</t>
  </si>
  <si>
    <t xml:space="preserve">Week starting</t>
  </si>
  <si>
    <t xml:space="preserve">Week ending</t>
  </si>
  <si>
    <t xml:space="preserve">Direct strikes</t>
  </si>
  <si>
    <t xml:space="preserve">Shipping/blockade acts</t>
  </si>
  <si>
    <t xml:space="preserve">Deadly events</t>
  </si>
  <si>
    <t xml:space="preserve">Points this week</t>
  </si>
  <si>
    <t xml:space="preserve">14-day band at week end</t>
  </si>
  <si>
    <t xml:space="preserve">Quiet</t>
  </si>
  <si>
    <t xml:space="preserve">Forecast Log - the report card</t>
  </si>
  <si>
    <t xml:space="preserve">Each forecast is written down BEFORE the outcome is known and never edited afterwards. After the deadline it is resolved YES/NO from credible sources and scored with the Brier score: (probability - outcome)^2, 0 = perfect, 0.25 = coin flip. Over time this shows whether NAPOR's risk numbers can be trusted.</t>
  </si>
  <si>
    <t xml:space="preserve">Made: 6   Resolved: 3   Open: 3   Average Brier score so far: 0.034</t>
  </si>
  <si>
    <t xml:space="preserve">Made on</t>
  </si>
  <si>
    <t xml:space="preserve">News known up to</t>
  </si>
  <si>
    <t xml:space="preserve">Question</t>
  </si>
  <si>
    <t xml:space="preserve">Counts as YES if</t>
  </si>
  <si>
    <t xml:space="preserve">Deadline</t>
  </si>
  <si>
    <t xml:space="preserve">Probability</t>
  </si>
  <si>
    <t xml:space="preserve">Where the number came from</t>
  </si>
  <si>
    <t xml:space="preserve">Outcome</t>
  </si>
  <si>
    <t xml:space="preserve">Resolved on</t>
  </si>
  <si>
    <t xml:space="preserve">Brier score</t>
  </si>
  <si>
    <t xml:space="preserve">Resolution note</t>
  </si>
  <si>
    <t xml:space="preserve">F001</t>
  </si>
  <si>
    <t xml:space="preserve">Will Iran hit back for the US strike that disabled a blockade runner in the Gulf of Oman (Oct 10-11, event #104)?</t>
  </si>
  <si>
    <t xml:space="preserve">Between Oct 11 and Oct 16 (inclusive), Iran (IRGC or Iranian state forces) carries out, or officially claims, a strike or attack on US forces, a US base, or a US-flagged or US-escorted ship, as reported by an allowed outlet or official statement. Attacks on other commercial shipping by unknown attackers do not count.</t>
  </si>
  <si>
    <t xml:space="preserve">2026-10-16</t>
  </si>
  <si>
    <t xml:space="preserve">Phase model (best in backtest): in the current holding pattern 0 of 2 hostile acts drew a reply -&gt; (0+1)/(2+2) = 25%. For comparison, naval-pressure moves in ALL phases drew a reply 2 of 3 (67%). Also: Trump says no US strikes before Nov 3; Iran is reviewing the US counter-offer.</t>
  </si>
  <si>
    <t xml:space="preserve">D</t>
  </si>
  <si>
    <t xml:space="preserve">NO</t>
  </si>
  <si>
    <t xml:space="preserve">2026-10-19</t>
  </si>
  <si>
    <t xml:space="preserve">NO. No allowed outlet or official statement reports an Iranian (IRGC or state) strike or attack on US forces, a US base, or a US-flagged or US-escorted ship during Oct 11-16. Al Jazeera (Oct 17) lists the week's attacks as all on commercial ships and says the US had not responded to them. Close call to note: Iran's security chief said (Oct 11) Iran was striking ships in the 'US-backed' oil shuttle, and the IRGC said one tanker hit on Oct 17-18 was crossing 'with US support'; no outlet says any ship hit Oct 11-16 was US-flagged or under US warship escort, and the Oct 17-18 claim falls after the deadline. CENTCOM's Oct 14 statement about a dhow 'targeting' US ships refers to Oct 6 surveillance, before the window.</t>
  </si>
  <si>
    <t xml:space="preserve">F002</t>
  </si>
  <si>
    <t xml:space="preserve">Will there be at least one new attack on a commercial ship in or near the Strait of Hormuz / Gulf (by Iran or an unidentified attacker) during Oct 12-18?</t>
  </si>
  <si>
    <t xml:space="preserve">An allowed outlet, UKMTO or CENTCOM reports at least one new projectile, drone, mine or boarding attack on a commercial vessel in the Gulf, Strait of Hormuz or Gulf of Oman dated Oct 12-18, not attributed to the US. Houthi attacks in the Red Sea do not count.</t>
  </si>
  <si>
    <t xml:space="preserve">Baseline: 8 such acts in 4.6 weeks of the current phase = 1.8 per week. Chance of at least one in a week (Poisson) = 1 - e^-1.8 = 83%.</t>
  </si>
  <si>
    <t xml:space="preserve">A</t>
  </si>
  <si>
    <t xml:space="preserve">YES</t>
  </si>
  <si>
    <t xml:space="preserve">YES. On Oct 13 the Singapore-flagged container ship GFS Pride was hit by a projectile in the Strait of Hormuz and sank (Reuters, citing Singapore's MPA; all 21 crew safe), and UKMTO reported a tanker hit the same day (Al Jazeera). CENTCOM said an IRGC projectile hit GFS Pride. More attacks followed (Oct 16-17 off Saudi Arabia; UKMTO counted 10-12 in the week to Oct 16).</t>
  </si>
  <si>
    <t xml:space="preserve">F003</t>
  </si>
  <si>
    <t xml:space="preserve">Will the US strike a target on Iranian land or in Iranian territorial waters between Oct 20 and Nov 3 (inclusive)?</t>
  </si>
  <si>
    <t xml:space="preserve">An allowed outlet or an official US statement reports a US strike (air, missile, drone or naval gunfire) on a target on Iranian soil, an Iranian island, or in an Iranian port or territorial waters, dated Oct 20-Nov 3. Blockade enforcement against ships at sea outside Iranian territorial waters, seizures, and strikes by Israel alone do not count.</t>
  </si>
  <si>
    <t xml:space="preserve">2026-11-03</t>
  </si>
  <si>
    <t xml:space="preserve">Phase base rate: in the holding pattern (since Sep 10) there have been 0 US strikes on Iranian land in 5 full weeks -&gt; weekly chance (0+1)/(5+2) = 14%; over 15 days 1-(1-0.14)^(15/7) = 28%. Not in the model: Trump's public pledge of no strikes before Nov 3 (#97) and reported strike plans (#111).</t>
  </si>
  <si>
    <t xml:space="preserve">F</t>
  </si>
  <si>
    <t xml:space="preserve">OPEN</t>
  </si>
  <si>
    <t xml:space="preserve">F004</t>
  </si>
  <si>
    <t xml:space="preserve">Will there be at least one new attack on a commercial ship in or near the Strait of Hormuz / Gulf (by Iran or an unidentified attacker) during Oct 19-25?</t>
  </si>
  <si>
    <t xml:space="preserve">An allowed outlet, UKMTO or CENTCOM reports at least one new projectile, drone, mine or boarding attack on a commercial vessel in the Gulf, Strait of Hormuz or Gulf of Oman dated Oct 19-25, not attributed to the US. Houthi attacks in the Red Sea do not count.</t>
  </si>
  <si>
    <t xml:space="preserve">2026-10-25</t>
  </si>
  <si>
    <t xml:space="preserve">Baseline: 12 logged attack rows in 5.6 weeks of the current phase = 2.2 per week; chance of at least one in a week (Poisson) = 1 - e^-2.2 = 89%. Logged rows under-count single attacks (UKMTO counted 10-12 in the week to Oct 16), so this is likely conservative. Same method as F002.</t>
  </si>
  <si>
    <t xml:space="preserve">YES. UKMTO reported an unknown projectile hitting a tanker about 30 nm southeast of Iraq's Faw port on Oct 20 (no damage, crew safe; Reuters) and a tanker hit and set on fire 11 nm off Bukha, Oman, at the Strait of Hormuz on Oct 21 (crew safe; AFP via Times of Israel). The IRGC also claimed seven tankers hit on Oct 22 and two on Oct 23 (Al Jazeera); those are unverified claims and are not needed for the YES.</t>
  </si>
  <si>
    <t xml:space="preserve">F005</t>
  </si>
  <si>
    <t xml:space="preserve">Will Iran attack US forces, a US base, or a US-flagged or US Navy-escorted ship between Oct 19 and Nov 3 (inclusive)?</t>
  </si>
  <si>
    <t xml:space="preserve">Iran (IRGC or Iranian state forces) carries out, or officially claims, a strike or attack on US forces, a US base, a US-flagged ship, or a ship that an allowed outlet or CENTCOM says was under US Navy escort at the time, dated Oct 19-Nov 3. Attacks on other commercial ships (including ships only 'coordinating with' or 'supported by' the US), surveillance or warnings, and Houthi attacks do not count.</t>
  </si>
  <si>
    <t xml:space="preserve">Phase base rate: 0 Iranian attacks on US forces in 5 full weeks of the holding pattern (last one: Jordan base, Sep 8-9, #80) -&gt; weekly chance 14%; over 16 days = 30%. Not in the model: Iran's stated wish to hurt the US before the midterms through shipping and oil prices, rather than direct attacks.</t>
  </si>
  <si>
    <t xml:space="preserve">F006</t>
  </si>
  <si>
    <t xml:space="preserve">Will there be at least one new attack on a commercial ship in or near the Strait of Hormuz / Gulf (by Iran or an unidentified attacker) during Oct 26-Nov 1?</t>
  </si>
  <si>
    <t xml:space="preserve">An allowed outlet, UKMTO or CENTCOM reports at least one new projectile, drone, mine or boarding attack on a commercial vessel in the Gulf, Strait of Hormuz or Gulf of Oman dated Oct 26-Nov 1, not attributed to the US. IRGC claims alone (not confirmed by UKMTO, CENTCOM or an allowed outlet's own reporting) do not count. Houthi attacks in the Red Sea do not count.</t>
  </si>
  <si>
    <t xml:space="preserve">2026-11-01</t>
  </si>
  <si>
    <t xml:space="preserve">Baseline: 16 logged attack rows in 6.6 weeks of the current phase (Sep 10-Oct 25) = 2.4 per week; chance of at least one in a week (Poisson) = 1 - e^-2.4 = 91%. Same method as F002/F004. Caution: UKMTO-confirmed hits this week (2) were fewer than the record week to Oct 16, and some logged rows are IRGC claims, so the true rate of confirmed attacks may be lower.</t>
  </si>
  <si>
    <t xml:space="preserve">Review Queue - a person decides these</t>
  </si>
  <si>
    <t xml:space="preserve">Part 1: event pairs that look alike (same few days, same place, same side). Many are two parts of one attack wave, or a claim and the real event, rather than true duplicates. Check each and either merge it or mark it 'different events'.</t>
  </si>
  <si>
    <t xml:space="preserve">Similarity (0-1)</t>
  </si>
  <si>
    <t xml:space="preserve">Event A</t>
  </si>
  <si>
    <t xml:space="preserve">Date A</t>
  </si>
  <si>
    <t xml:space="preserve">Event A detail</t>
  </si>
  <si>
    <t xml:space="preserve">Event B</t>
  </si>
  <si>
    <t xml:space="preserve">Date B</t>
  </si>
  <si>
    <t xml:space="preserve">Event B detail</t>
  </si>
  <si>
    <t xml:space="preserve">Decision</t>
  </si>
  <si>
    <t xml:space="preserve">2026-06-07</t>
  </si>
  <si>
    <t xml:space="preserve">to check</t>
  </si>
  <si>
    <t xml:space="preserve">2019-12-27</t>
  </si>
  <si>
    <t xml:space="preserve">Different events: two separate Houthi attacks on Riyadh (Oct 8 and Oct 10).</t>
  </si>
  <si>
    <t xml:space="preserve">Different events: two separate IRGC claims (NV Sunshine Oct 9; mine strike Oct 10).</t>
  </si>
  <si>
    <t xml:space="preserve">Different events: separate IRGC claims (Aqaba Jul 19; radar and F-15 Jul 21).</t>
  </si>
  <si>
    <t xml:space="preserve">Keep both: same opening wave, but different ships hit.</t>
  </si>
  <si>
    <t xml:space="preserve">Keep both, linked: #74 is one strike inside the #73 wave, logged separately because it caused casualties.</t>
  </si>
  <si>
    <t xml:space="preserve">Already resolved: #76 merged into #75 (one attack reported over two days); #49 merged into #50 (same Jun 17 deal signing); #29 merged into #28 (same Apr 7-8 ceasefire).</t>
  </si>
  <si>
    <t xml:space="preserve">Part 2: new stories waiting to be filed (from napor_ids.intake). Empty means nothing is waiting.</t>
  </si>
  <si>
    <t xml:space="preserve">Matcher's call</t>
  </si>
  <si>
    <t xml:space="preserve">Best match (event)</t>
  </si>
  <si>
    <t xml:space="preserve">NEW EVENT</t>
  </si>
  <si>
    <t xml:space="preserve">confirmed by weekly agent 2026-10-19: logged as new event #106 (sources in audit_sources.py)</t>
  </si>
  <si>
    <t xml:space="preserve">Treasury</t>
  </si>
  <si>
    <t xml:space="preserve">confirmed by weekly agent 2026-10-19: logged as new event #107 (sources in audit_sources.py)</t>
  </si>
  <si>
    <t xml:space="preserve">POSSIBLE MATCH - human should check</t>
  </si>
  <si>
    <t xml:space="preserve">confirmed by weekly agent 2026-10-19: logged as new event #108 (sources in audit_sources.py)</t>
  </si>
  <si>
    <t xml:space="preserve">Iran sets crosshairs on 'US-UAE' oil shuttle out of Strait of Hormuz</t>
  </si>
  <si>
    <t xml:space="preserve">needs human check: IRGC claims of tanker strikes overnight Oct 11-12 (one near Sohar; three 'mine' hits over the weekend) may be the same incidents as #103 (Oct 10 IRGC mine claim) and/or #105 (Oct 11 UKMTO tanker hit). Not logged.</t>
  </si>
  <si>
    <t xml:space="preserve">confirmed by weekly agent 2026-10-19: logged as new event #109 (sources in audit_sources.py)</t>
  </si>
  <si>
    <t xml:space="preserve">confirmed by weekly agent 2026-10-19: logged as new event #110 (sources in audit_sources.py)</t>
  </si>
  <si>
    <t xml:space="preserve">confirmed by weekly agent 2026-10-19: logged as new event #111 (sources in audit_sources.py)</t>
  </si>
  <si>
    <t xml:space="preserve">confirmed by weekly agent 2026-10-19: logged as new event #112 (sources in audit_sources.py)</t>
  </si>
  <si>
    <t xml:space="preserve">confirmed by weekly agent 2026-10-19: logged as new event #113 (sources in audit_sources.py)</t>
  </si>
  <si>
    <t xml:space="preserve">confirmed by weekly agent 2026-10-19: logged as new event #114 (sources in audit_sources.py)</t>
  </si>
  <si>
    <t xml:space="preserve">confirmed by weekly agent 2026-10-19: logged as new event #115 (sources in audit_sources.py)</t>
  </si>
  <si>
    <t xml:space="preserve">SAME EVENT</t>
  </si>
  <si>
    <t xml:space="preserve">needs human check: Iranian army claim only, no ship names; could overlap #112 (tankers hit off Saudi Arabia Oct 16-17) or be separate Gulf of Oman incidents. Not logged.</t>
  </si>
  <si>
    <t xml:space="preserve">confirmed by weekly agent 2026-10-26: logged as new event #117 (sources in audit_sources.py)</t>
  </si>
  <si>
    <t xml:space="preserve">confirmed by weekly agent 2026-10-26: logged as new event #118 (sources in audit_sources.py)</t>
  </si>
  <si>
    <t xml:space="preserve">confirmed by weekly agent 2026-10-26: logged as new event #119 (sources in audit_sources.py)</t>
  </si>
  <si>
    <t xml:space="preserve">confirmed by weekly agent 2026-10-26: logged as new event #120 (sources in audit_sources.py)</t>
  </si>
  <si>
    <t xml:space="preserve">confirmed by weekly agent 2026-10-26: logged as new event #121 (sources in audit_sources.py)</t>
  </si>
  <si>
    <t xml:space="preserve">confirmed by weekly agent 2026-10-26: logged as new event #122, #123 and #125 (sources in audit_sources.py)</t>
  </si>
  <si>
    <t xml:space="preserve">confirmed by weekly agent 2026-10-26: logged as new event #124 (sources in audit_sources.py)</t>
  </si>
  <si>
    <t xml:space="preserve">R0359</t>
  </si>
  <si>
    <t xml:space="preserve">Trump says he's weighing deal with Iran against action to finish them off</t>
  </si>
  <si>
    <t xml:space="preserve">confirmed by weekly agent 2026-10-26: logged as new event #126 and #127 (sources in audit_sources.py)</t>
  </si>
  <si>
    <t xml:space="preserve">R0360</t>
  </si>
  <si>
    <t xml:space="preserve">confirmed by weekly agent 2026-10-26: logged as new event #128 (sources in audit_sources.py)</t>
  </si>
  <si>
    <t xml:space="preserve">R0361</t>
  </si>
  <si>
    <t xml:space="preserve">POSSIBLE OVERLAP</t>
  </si>
  <si>
    <t xml:space="preserve">needs human check: the IRGC's claim of seven tankers hit overnight into Oct 22 (#121) may include the UKMTO-confirmed tanker hit off Bukha on Oct 21 (#118); duplicate_watch scores the pair 0.64. Both kept as separate rows; not merged.</t>
  </si>
</sst>
</file>

<file path=xl/styles.xml><?xml version="1.0" encoding="utf-8"?>
<styleSheet xmlns="http://schemas.openxmlformats.org/spreadsheetml/2006/main">
  <numFmts count="4">
    <numFmt numFmtId="164" formatCode="General"/>
    <numFmt numFmtId="165" formatCode="yyyy\-mm\-dd"/>
    <numFmt numFmtId="166" formatCode="0.00"/>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sz val="11"/>
      <color rgb="FF000000"/>
      <name val="Arial"/>
      <family val="0"/>
      <charset val="1"/>
    </font>
    <font>
      <sz val="10"/>
      <color rgb="FF000000"/>
      <name val="Arial"/>
      <family val="0"/>
      <charset val="1"/>
    </font>
    <font>
      <b val="true"/>
      <sz val="11"/>
      <color rgb="FF000000"/>
      <name val="Arial"/>
      <family val="0"/>
      <charset val="1"/>
    </font>
    <font>
      <b val="true"/>
      <sz val="10"/>
      <color rgb="FFFFFFFF"/>
      <name val="Arial"/>
      <family val="0"/>
      <charset val="1"/>
    </font>
    <font>
      <sz val="10"/>
      <name val="Arial"/>
      <family val="0"/>
      <charset val="1"/>
    </font>
    <font>
      <b val="true"/>
      <sz val="10"/>
      <name val="Arial"/>
      <family val="0"/>
      <charset val="1"/>
    </font>
    <font>
      <b val="true"/>
      <sz val="13"/>
      <name val="Arial"/>
      <family val="0"/>
      <charset val="1"/>
    </font>
    <font>
      <b val="true"/>
      <sz val="12"/>
      <name val="Arial"/>
      <family val="0"/>
      <charset val="1"/>
    </font>
  </fonts>
  <fills count="8">
    <fill>
      <patternFill patternType="none"/>
    </fill>
    <fill>
      <patternFill patternType="gray125"/>
    </fill>
    <fill>
      <patternFill patternType="solid">
        <fgColor rgb="FF1F3B57"/>
        <bgColor rgb="FF003366"/>
      </patternFill>
    </fill>
    <fill>
      <patternFill patternType="solid">
        <fgColor rgb="FFE2EFDA"/>
        <bgColor rgb="FFEDEDED"/>
      </patternFill>
    </fill>
    <fill>
      <patternFill patternType="solid">
        <fgColor rgb="FFFFF2CC"/>
        <bgColor rgb="FFFCE4E4"/>
      </patternFill>
    </fill>
    <fill>
      <patternFill patternType="solid">
        <fgColor rgb="FFFCE4E4"/>
        <bgColor rgb="FFEDEDED"/>
      </patternFill>
    </fill>
    <fill>
      <patternFill patternType="solid">
        <fgColor rgb="FFEDEDED"/>
        <bgColor rgb="FFF2F2F2"/>
      </patternFill>
    </fill>
    <fill>
      <patternFill patternType="solid">
        <fgColor rgb="FFF2F2F2"/>
        <bgColor rgb="FFEDEDED"/>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B57"/>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FFF2CC"/>
          <bgColor rgb="FF000000"/>
        </patternFill>
      </fill>
    </dxf>
    <dxf>
      <fill>
        <patternFill patternType="solid">
          <fgColor rgb="FFEDEDE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26.8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23.85" hidden="false" customHeight="false" outlineLevel="0" collapsed="false">
      <c r="A5" s="3" t="s">
        <v>3</v>
      </c>
    </row>
    <row r="6" customFormat="false" ht="15" hidden="false" customHeight="false" outlineLevel="0" collapsed="false">
      <c r="A6" s="3"/>
    </row>
    <row r="7" customFormat="false" ht="15" hidden="false" customHeight="false" outlineLevel="0" collapsed="false">
      <c r="A7" s="4" t="s">
        <v>4</v>
      </c>
    </row>
    <row r="8" customFormat="false" ht="23.85" hidden="false" customHeight="false" outlineLevel="0" collapsed="false">
      <c r="A8" s="3" t="s">
        <v>5</v>
      </c>
    </row>
    <row r="9" customFormat="false" ht="68.65" hidden="false" customHeight="false" outlineLevel="0" collapsed="false">
      <c r="A9" s="3" t="s">
        <v>6</v>
      </c>
    </row>
    <row r="10" customFormat="false" ht="23.85" hidden="false" customHeight="false" outlineLevel="0" collapsed="false">
      <c r="A10" s="3" t="s">
        <v>7</v>
      </c>
    </row>
    <row r="11" customFormat="false" ht="23.85" hidden="false" customHeight="false" outlineLevel="0" collapsed="false">
      <c r="A11" s="3" t="s">
        <v>8</v>
      </c>
    </row>
    <row r="12" customFormat="false" ht="15" hidden="false" customHeight="false" outlineLevel="0" collapsed="false">
      <c r="A12" s="3" t="s">
        <v>9</v>
      </c>
    </row>
    <row r="13" customFormat="false" ht="23.85" hidden="false" customHeight="false" outlineLevel="0" collapsed="false">
      <c r="A13" s="3" t="s">
        <v>10</v>
      </c>
    </row>
    <row r="14" customFormat="false" ht="23.85" hidden="false" customHeight="false" outlineLevel="0" collapsed="false">
      <c r="A14" s="3" t="s">
        <v>11</v>
      </c>
    </row>
    <row r="15" customFormat="false" ht="23.85" hidden="false" customHeight="false" outlineLevel="0" collapsed="false">
      <c r="A15" s="3" t="s">
        <v>12</v>
      </c>
    </row>
    <row r="16" customFormat="false" ht="23.85" hidden="false" customHeight="false" outlineLevel="0" collapsed="false">
      <c r="A16" s="3" t="s">
        <v>13</v>
      </c>
    </row>
    <row r="17" customFormat="false" ht="35.05" hidden="false" customHeight="false" outlineLevel="0" collapsed="false">
      <c r="A17" s="3" t="s">
        <v>14</v>
      </c>
    </row>
    <row r="18" customFormat="false" ht="46.25" hidden="false" customHeight="false" outlineLevel="0" collapsed="false">
      <c r="A18" s="3" t="s">
        <v>15</v>
      </c>
    </row>
    <row r="19" customFormat="false" ht="23.85" hidden="false" customHeight="false" outlineLevel="0" collapsed="false">
      <c r="A19" s="3" t="s">
        <v>16</v>
      </c>
    </row>
    <row r="20" customFormat="false" ht="15" hidden="false" customHeight="false" outlineLevel="0" collapsed="false">
      <c r="A20" s="3"/>
    </row>
    <row r="21" customFormat="false" ht="15" hidden="false" customHeight="false" outlineLevel="0" collapsed="false">
      <c r="A21" s="4" t="s">
        <v>17</v>
      </c>
    </row>
    <row r="22" customFormat="false" ht="68.65" hidden="false" customHeight="false" outlineLevel="0" collapsed="false">
      <c r="A22" s="3" t="s">
        <v>18</v>
      </c>
    </row>
    <row r="23" customFormat="false" ht="23.85" hidden="false" customHeight="false" outlineLevel="0" collapsed="false">
      <c r="A23" s="3" t="s">
        <v>19</v>
      </c>
    </row>
    <row r="24" customFormat="false" ht="15" hidden="false" customHeight="false" outlineLevel="0" collapsed="false">
      <c r="A24" s="3"/>
    </row>
    <row r="25" customFormat="false" ht="15" hidden="false" customHeight="false" outlineLevel="0" collapsed="false">
      <c r="A25" s="4" t="s">
        <v>20</v>
      </c>
    </row>
    <row r="26" customFormat="false" ht="23.85" hidden="false" customHeight="false" outlineLevel="0" collapsed="false">
      <c r="A26" s="3" t="s">
        <v>21</v>
      </c>
    </row>
    <row r="27" customFormat="false" ht="15" hidden="false" customHeight="false" outlineLevel="0" collapsed="false">
      <c r="A27" s="3"/>
    </row>
    <row r="28" customFormat="false" ht="15" hidden="false" customHeight="false" outlineLevel="0" collapsed="false">
      <c r="A28" s="4" t="s">
        <v>22</v>
      </c>
    </row>
    <row r="29" customFormat="false" ht="23.85" hidden="false" customHeight="false" outlineLevel="0" collapsed="false">
      <c r="A29" s="3" t="s">
        <v>23</v>
      </c>
    </row>
    <row r="30" customFormat="false" ht="35.05" hidden="false" customHeight="false" outlineLevel="0" collapsed="false">
      <c r="A30" s="3" t="s">
        <v>24</v>
      </c>
    </row>
    <row r="31" customFormat="false" ht="23.85" hidden="false" customHeight="false" outlineLevel="0" collapsed="false">
      <c r="A31" s="3" t="s">
        <v>25</v>
      </c>
    </row>
    <row r="32" customFormat="false" ht="23.85" hidden="false" customHeight="false" outlineLevel="0" collapsed="false">
      <c r="A32" s="3" t="s">
        <v>26</v>
      </c>
    </row>
    <row r="33" customFormat="false" ht="15" hidden="false" customHeight="false" outlineLevel="0" collapsed="false">
      <c r="A33" s="3" t="s">
        <v>27</v>
      </c>
    </row>
    <row r="34" customFormat="false" ht="15" hidden="false" customHeight="false" outlineLevel="0" collapsed="false">
      <c r="A34" s="3"/>
    </row>
    <row r="35" customFormat="false" ht="15" hidden="false" customHeight="false" outlineLevel="0" collapsed="false">
      <c r="A35" s="4" t="s">
        <v>28</v>
      </c>
    </row>
    <row r="36" customFormat="false" ht="46.25" hidden="false" customHeight="false" outlineLevel="0" collapsed="false">
      <c r="A36" s="3" t="s">
        <v>29</v>
      </c>
    </row>
    <row r="37" customFormat="false" ht="15" hidden="false" customHeight="false" outlineLevel="0" collapsed="false">
      <c r="A37" s="3"/>
    </row>
    <row r="38" customFormat="false" ht="91" hidden="false" customHeight="false" outlineLevel="0" collapsed="false">
      <c r="A38" s="3"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16"/>
    <col collapsed="false" customWidth="true" hidden="false" outlineLevel="0" max="4" min="4" style="0" width="24"/>
    <col collapsed="false" customWidth="true" hidden="false" outlineLevel="0" max="5" min="5" style="0" width="22"/>
    <col collapsed="false" customWidth="true" hidden="false" outlineLevel="0" max="6" min="6" style="0" width="55"/>
    <col collapsed="false" customWidth="true" hidden="false" outlineLevel="0" max="7" min="7" style="0" width="10"/>
    <col collapsed="false" customWidth="true" hidden="false" outlineLevel="0" max="8" min="8" style="0" width="40"/>
    <col collapsed="false" customWidth="true" hidden="false" outlineLevel="0" max="9" min="9" style="0" width="11"/>
    <col collapsed="false" customWidth="true" hidden="false" outlineLevel="0" max="10" min="10" style="0" width="34"/>
    <col collapsed="false" customWidth="true" hidden="false" outlineLevel="0" max="11" min="11" style="0" width="16"/>
    <col collapsed="false" customWidth="true" hidden="false" outlineLevel="0" max="12" min="12" style="0" width="60"/>
    <col collapsed="false" customWidth="true" hidden="false" outlineLevel="0" max="13" min="13" style="0" width="12"/>
    <col collapsed="false" customWidth="true" hidden="false" outlineLevel="0" max="14" min="14" style="0" width="9"/>
    <col collapsed="false" customWidth="true" hidden="false" outlineLevel="0" max="15" min="15" style="0" width="14"/>
    <col collapsed="false" customWidth="true" hidden="false" outlineLevel="0" max="16" min="16" style="0" width="12"/>
    <col collapsed="false" customWidth="true" hidden="false" outlineLevel="0" max="17" min="17" style="0" width="22"/>
    <col collapsed="false" customWidth="true" hidden="false" outlineLevel="0" max="18" min="18" style="0" width="17"/>
    <col collapsed="false" customWidth="true" hidden="false" outlineLevel="0" max="19" min="19" style="0" width="10"/>
    <col collapsed="false" customWidth="true" hidden="false" outlineLevel="0" max="20" min="20" style="0" width="16"/>
  </cols>
  <sheetData>
    <row r="1" customFormat="false" ht="15" hidden="false" customHeight="false" outlineLevel="0" collapsed="false">
      <c r="A1" s="5" t="s">
        <v>31</v>
      </c>
      <c r="B1" s="5" t="s">
        <v>32</v>
      </c>
      <c r="C1" s="5" t="s">
        <v>33</v>
      </c>
      <c r="D1" s="5" t="s">
        <v>34</v>
      </c>
      <c r="E1" s="5" t="s">
        <v>35</v>
      </c>
      <c r="F1" s="5" t="s">
        <v>36</v>
      </c>
      <c r="G1" s="5" t="s">
        <v>37</v>
      </c>
      <c r="H1" s="5" t="s">
        <v>38</v>
      </c>
      <c r="I1" s="5" t="s">
        <v>39</v>
      </c>
      <c r="J1" s="5" t="s">
        <v>40</v>
      </c>
      <c r="K1" s="5" t="s">
        <v>41</v>
      </c>
      <c r="L1" s="5" t="s">
        <v>42</v>
      </c>
      <c r="M1" s="5" t="s">
        <v>43</v>
      </c>
      <c r="N1" s="5" t="s">
        <v>44</v>
      </c>
      <c r="O1" s="5" t="s">
        <v>45</v>
      </c>
      <c r="P1" s="5" t="s">
        <v>46</v>
      </c>
      <c r="Q1" s="5" t="s">
        <v>47</v>
      </c>
      <c r="R1" s="5" t="s">
        <v>48</v>
      </c>
      <c r="S1" s="5" t="s">
        <v>49</v>
      </c>
      <c r="T1" s="5" t="s">
        <v>50</v>
      </c>
    </row>
    <row r="2" customFormat="false" ht="15" hidden="false" customHeight="false" outlineLevel="0" collapsed="false">
      <c r="A2" s="6" t="n">
        <v>1</v>
      </c>
      <c r="B2" s="7" t="n">
        <v>46080</v>
      </c>
      <c r="C2" s="6" t="s">
        <v>51</v>
      </c>
      <c r="D2" s="6" t="s">
        <v>52</v>
      </c>
      <c r="E2" s="6" t="s">
        <v>53</v>
      </c>
      <c r="F2" s="6" t="s">
        <v>54</v>
      </c>
      <c r="G2" s="6"/>
      <c r="H2" s="6" t="s">
        <v>55</v>
      </c>
      <c r="I2" s="8" t="s">
        <v>56</v>
      </c>
      <c r="J2" s="6" t="s">
        <v>57</v>
      </c>
      <c r="K2" s="8" t="s">
        <v>58</v>
      </c>
      <c r="L2" s="6"/>
      <c r="M2" s="6" t="s">
        <v>59</v>
      </c>
      <c r="N2" s="6" t="n">
        <v>2</v>
      </c>
      <c r="O2" s="6" t="n">
        <v>1</v>
      </c>
      <c r="P2" s="9" t="n">
        <v>0.8</v>
      </c>
      <c r="Q2" s="8" t="s">
        <v>60</v>
      </c>
      <c r="R2" s="6" t="s">
        <v>61</v>
      </c>
      <c r="S2" s="6"/>
      <c r="T2" s="6" t="s">
        <v>62</v>
      </c>
    </row>
    <row r="3" customFormat="false" ht="57.45" hidden="false" customHeight="false" outlineLevel="0" collapsed="false">
      <c r="A3" s="6" t="n">
        <v>2</v>
      </c>
      <c r="B3" s="7" t="n">
        <v>46081</v>
      </c>
      <c r="C3" s="6" t="s">
        <v>63</v>
      </c>
      <c r="D3" s="6" t="s">
        <v>64</v>
      </c>
      <c r="E3" s="6" t="s">
        <v>53</v>
      </c>
      <c r="F3" s="6" t="s">
        <v>65</v>
      </c>
      <c r="G3" s="6"/>
      <c r="H3" s="6" t="s">
        <v>66</v>
      </c>
      <c r="I3" s="8" t="s">
        <v>56</v>
      </c>
      <c r="J3" s="6" t="s">
        <v>67</v>
      </c>
      <c r="K3" s="8" t="s">
        <v>68</v>
      </c>
      <c r="L3" s="6" t="s">
        <v>69</v>
      </c>
      <c r="M3" s="6" t="s">
        <v>70</v>
      </c>
      <c r="N3" s="6" t="n">
        <v>3</v>
      </c>
      <c r="O3" s="6" t="n">
        <v>2</v>
      </c>
      <c r="P3" s="9" t="n">
        <v>0.96</v>
      </c>
      <c r="Q3" s="8" t="s">
        <v>60</v>
      </c>
      <c r="R3" s="6" t="s">
        <v>71</v>
      </c>
      <c r="S3" s="6" t="s">
        <v>72</v>
      </c>
      <c r="T3" s="6" t="s">
        <v>62</v>
      </c>
    </row>
    <row r="4" customFormat="false" ht="46.25" hidden="false" customHeight="false" outlineLevel="0" collapsed="false">
      <c r="A4" s="6" t="n">
        <v>3</v>
      </c>
      <c r="B4" s="7" t="n">
        <v>46081</v>
      </c>
      <c r="C4" s="6" t="s">
        <v>51</v>
      </c>
      <c r="D4" s="6" t="s">
        <v>73</v>
      </c>
      <c r="E4" s="6" t="s">
        <v>53</v>
      </c>
      <c r="F4" s="6" t="s">
        <v>74</v>
      </c>
      <c r="G4" s="6" t="n">
        <v>2</v>
      </c>
      <c r="H4" s="6" t="s">
        <v>75</v>
      </c>
      <c r="I4" s="8" t="s">
        <v>56</v>
      </c>
      <c r="J4" s="6" t="s">
        <v>76</v>
      </c>
      <c r="K4" s="8" t="s">
        <v>68</v>
      </c>
      <c r="L4" s="6" t="s">
        <v>77</v>
      </c>
      <c r="M4" s="6" t="s">
        <v>70</v>
      </c>
      <c r="N4" s="6" t="n">
        <v>3</v>
      </c>
      <c r="O4" s="6" t="n">
        <v>3</v>
      </c>
      <c r="P4" s="9" t="n">
        <v>0.99</v>
      </c>
      <c r="Q4" s="8" t="s">
        <v>60</v>
      </c>
      <c r="R4" s="6" t="s">
        <v>71</v>
      </c>
      <c r="S4" s="6" t="s">
        <v>72</v>
      </c>
      <c r="T4" s="6" t="s">
        <v>62</v>
      </c>
    </row>
    <row r="5" customFormat="false" ht="35.05" hidden="false" customHeight="false" outlineLevel="0" collapsed="false">
      <c r="A5" s="6" t="n">
        <v>4</v>
      </c>
      <c r="B5" s="7" t="n">
        <v>46081</v>
      </c>
      <c r="C5" s="6" t="s">
        <v>53</v>
      </c>
      <c r="D5" s="6" t="s">
        <v>78</v>
      </c>
      <c r="E5" s="6" t="s">
        <v>79</v>
      </c>
      <c r="F5" s="6" t="s">
        <v>80</v>
      </c>
      <c r="G5" s="6" t="n">
        <v>2</v>
      </c>
      <c r="H5" s="6" t="s">
        <v>81</v>
      </c>
      <c r="I5" s="8" t="s">
        <v>56</v>
      </c>
      <c r="J5" s="6" t="s">
        <v>82</v>
      </c>
      <c r="K5" s="8" t="s">
        <v>68</v>
      </c>
      <c r="L5" s="6" t="s">
        <v>83</v>
      </c>
      <c r="M5" s="6" t="s">
        <v>84</v>
      </c>
      <c r="N5" s="6" t="n">
        <v>2</v>
      </c>
      <c r="O5" s="6" t="n">
        <v>1</v>
      </c>
      <c r="P5" s="9" t="n">
        <v>0.8</v>
      </c>
      <c r="Q5" s="8" t="s">
        <v>60</v>
      </c>
      <c r="R5" s="6" t="s">
        <v>71</v>
      </c>
      <c r="S5" s="6" t="s">
        <v>72</v>
      </c>
      <c r="T5" s="6" t="s">
        <v>62</v>
      </c>
    </row>
    <row r="6" customFormat="false" ht="46.25" hidden="false" customHeight="false" outlineLevel="0" collapsed="false">
      <c r="A6" s="6" t="n">
        <v>5</v>
      </c>
      <c r="B6" s="7" t="n">
        <v>46081</v>
      </c>
      <c r="C6" s="6" t="s">
        <v>53</v>
      </c>
      <c r="D6" s="6" t="s">
        <v>85</v>
      </c>
      <c r="E6" s="6" t="s">
        <v>86</v>
      </c>
      <c r="F6" s="6" t="s">
        <v>87</v>
      </c>
      <c r="G6" s="6" t="n">
        <v>2</v>
      </c>
      <c r="H6" s="6" t="s">
        <v>88</v>
      </c>
      <c r="I6" s="10" t="s">
        <v>89</v>
      </c>
      <c r="J6" s="6" t="s">
        <v>90</v>
      </c>
      <c r="K6" s="10" t="s">
        <v>91</v>
      </c>
      <c r="L6" s="6" t="s">
        <v>92</v>
      </c>
      <c r="M6" s="6" t="s">
        <v>70</v>
      </c>
      <c r="N6" s="6" t="n">
        <v>3</v>
      </c>
      <c r="O6" s="6" t="n">
        <v>2</v>
      </c>
      <c r="P6" s="9" t="n">
        <v>0.77</v>
      </c>
      <c r="Q6" s="8" t="s">
        <v>60</v>
      </c>
      <c r="R6" s="6" t="s">
        <v>71</v>
      </c>
      <c r="S6" s="6" t="s">
        <v>72</v>
      </c>
      <c r="T6" s="6" t="s">
        <v>62</v>
      </c>
    </row>
    <row r="7" customFormat="false" ht="46.25" hidden="false" customHeight="false" outlineLevel="0" collapsed="false">
      <c r="A7" s="6" t="n">
        <v>6</v>
      </c>
      <c r="B7" s="7" t="n">
        <v>46082</v>
      </c>
      <c r="C7" s="6" t="s">
        <v>53</v>
      </c>
      <c r="D7" s="6" t="s">
        <v>85</v>
      </c>
      <c r="E7" s="6" t="s">
        <v>93</v>
      </c>
      <c r="F7" s="6" t="s">
        <v>94</v>
      </c>
      <c r="G7" s="6" t="n">
        <v>2</v>
      </c>
      <c r="H7" s="6" t="s">
        <v>95</v>
      </c>
      <c r="I7" s="10" t="s">
        <v>89</v>
      </c>
      <c r="J7" s="6" t="s">
        <v>96</v>
      </c>
      <c r="K7" s="10" t="s">
        <v>91</v>
      </c>
      <c r="L7" s="6" t="s">
        <v>97</v>
      </c>
      <c r="M7" s="6" t="s">
        <v>70</v>
      </c>
      <c r="N7" s="6" t="n">
        <v>3</v>
      </c>
      <c r="O7" s="6" t="n">
        <v>3</v>
      </c>
      <c r="P7" s="9" t="n">
        <v>0.79</v>
      </c>
      <c r="Q7" s="8" t="s">
        <v>60</v>
      </c>
      <c r="R7" s="6" t="s">
        <v>71</v>
      </c>
      <c r="S7" s="6" t="s">
        <v>72</v>
      </c>
      <c r="T7" s="6" t="s">
        <v>98</v>
      </c>
    </row>
    <row r="8" customFormat="false" ht="23.85" hidden="false" customHeight="false" outlineLevel="0" collapsed="false">
      <c r="A8" s="6" t="n">
        <v>7</v>
      </c>
      <c r="B8" s="7" t="n">
        <v>46082</v>
      </c>
      <c r="C8" s="6" t="s">
        <v>53</v>
      </c>
      <c r="D8" s="6" t="s">
        <v>85</v>
      </c>
      <c r="E8" s="6" t="s">
        <v>99</v>
      </c>
      <c r="F8" s="6" t="s">
        <v>100</v>
      </c>
      <c r="G8" s="6"/>
      <c r="H8" s="6" t="s">
        <v>101</v>
      </c>
      <c r="I8" s="8" t="s">
        <v>56</v>
      </c>
      <c r="J8" s="6" t="s">
        <v>102</v>
      </c>
      <c r="K8" s="8" t="s">
        <v>68</v>
      </c>
      <c r="L8" s="6" t="s">
        <v>103</v>
      </c>
      <c r="M8" s="6" t="s">
        <v>70</v>
      </c>
      <c r="N8" s="6" t="n">
        <v>2</v>
      </c>
      <c r="O8" s="6" t="n">
        <v>2</v>
      </c>
      <c r="P8" s="9" t="n">
        <v>0.96</v>
      </c>
      <c r="Q8" s="8" t="s">
        <v>60</v>
      </c>
      <c r="R8" s="6" t="s">
        <v>71</v>
      </c>
      <c r="S8" s="6"/>
      <c r="T8" s="6" t="s">
        <v>98</v>
      </c>
    </row>
    <row r="9" customFormat="false" ht="35.05" hidden="false" customHeight="false" outlineLevel="0" collapsed="false">
      <c r="A9" s="6" t="n">
        <v>8</v>
      </c>
      <c r="B9" s="7" t="n">
        <v>46081</v>
      </c>
      <c r="C9" s="6" t="s">
        <v>51</v>
      </c>
      <c r="D9" s="6" t="s">
        <v>73</v>
      </c>
      <c r="E9" s="6" t="s">
        <v>53</v>
      </c>
      <c r="F9" s="6" t="s">
        <v>104</v>
      </c>
      <c r="G9" s="6"/>
      <c r="H9" s="6" t="s">
        <v>105</v>
      </c>
      <c r="I9" s="8" t="s">
        <v>56</v>
      </c>
      <c r="J9" s="6" t="s">
        <v>106</v>
      </c>
      <c r="K9" s="8" t="s">
        <v>68</v>
      </c>
      <c r="L9" s="6" t="s">
        <v>107</v>
      </c>
      <c r="M9" s="6" t="s">
        <v>70</v>
      </c>
      <c r="N9" s="6" t="n">
        <v>3</v>
      </c>
      <c r="O9" s="6" t="n">
        <v>3</v>
      </c>
      <c r="P9" s="9" t="n">
        <v>0.99</v>
      </c>
      <c r="Q9" s="8" t="s">
        <v>60</v>
      </c>
      <c r="R9" s="6" t="s">
        <v>71</v>
      </c>
      <c r="S9" s="6"/>
      <c r="T9" s="6" t="s">
        <v>62</v>
      </c>
    </row>
    <row r="10" customFormat="false" ht="35.05" hidden="false" customHeight="false" outlineLevel="0" collapsed="false">
      <c r="A10" s="6" t="n">
        <v>9</v>
      </c>
      <c r="B10" s="7" t="n">
        <v>46083</v>
      </c>
      <c r="C10" s="6" t="s">
        <v>53</v>
      </c>
      <c r="D10" s="6" t="s">
        <v>85</v>
      </c>
      <c r="E10" s="6" t="s">
        <v>108</v>
      </c>
      <c r="F10" s="6" t="s">
        <v>109</v>
      </c>
      <c r="G10" s="6"/>
      <c r="H10" s="6" t="s">
        <v>110</v>
      </c>
      <c r="I10" s="10" t="s">
        <v>89</v>
      </c>
      <c r="J10" s="6" t="s">
        <v>111</v>
      </c>
      <c r="K10" s="10" t="s">
        <v>91</v>
      </c>
      <c r="L10" s="6" t="s">
        <v>112</v>
      </c>
      <c r="M10" s="6" t="s">
        <v>70</v>
      </c>
      <c r="N10" s="6" t="n">
        <v>2</v>
      </c>
      <c r="O10" s="6" t="n">
        <v>2</v>
      </c>
      <c r="P10" s="9" t="n">
        <v>0.77</v>
      </c>
      <c r="Q10" s="8" t="s">
        <v>60</v>
      </c>
      <c r="R10" s="6" t="s">
        <v>71</v>
      </c>
      <c r="S10" s="6"/>
      <c r="T10" s="6" t="s">
        <v>113</v>
      </c>
    </row>
    <row r="11" customFormat="false" ht="35.05" hidden="false" customHeight="false" outlineLevel="0" collapsed="false">
      <c r="A11" s="6" t="n">
        <v>10</v>
      </c>
      <c r="B11" s="7" t="n">
        <v>46084</v>
      </c>
      <c r="C11" s="6" t="s">
        <v>114</v>
      </c>
      <c r="D11" s="6" t="s">
        <v>73</v>
      </c>
      <c r="E11" s="6" t="s">
        <v>53</v>
      </c>
      <c r="F11" s="6" t="s">
        <v>115</v>
      </c>
      <c r="G11" s="6"/>
      <c r="H11" s="6" t="s">
        <v>116</v>
      </c>
      <c r="I11" s="10" t="s">
        <v>89</v>
      </c>
      <c r="J11" s="6" t="s">
        <v>117</v>
      </c>
      <c r="K11" s="10" t="s">
        <v>91</v>
      </c>
      <c r="L11" s="6" t="s">
        <v>118</v>
      </c>
      <c r="M11" s="6" t="s">
        <v>70</v>
      </c>
      <c r="N11" s="6" t="n">
        <v>1</v>
      </c>
      <c r="O11" s="6" t="n">
        <v>1</v>
      </c>
      <c r="P11" s="9" t="n">
        <v>0.64</v>
      </c>
      <c r="Q11" s="10" t="s">
        <v>119</v>
      </c>
      <c r="R11" s="6" t="s">
        <v>71</v>
      </c>
      <c r="S11" s="6" t="s">
        <v>120</v>
      </c>
      <c r="T11" s="6" t="s">
        <v>121</v>
      </c>
    </row>
    <row r="12" customFormat="false" ht="23.85" hidden="false" customHeight="false" outlineLevel="0" collapsed="false">
      <c r="A12" s="6" t="n">
        <v>11</v>
      </c>
      <c r="B12" s="7" t="n">
        <v>46084</v>
      </c>
      <c r="C12" s="6" t="s">
        <v>53</v>
      </c>
      <c r="D12" s="6" t="s">
        <v>85</v>
      </c>
      <c r="E12" s="6" t="s">
        <v>122</v>
      </c>
      <c r="F12" s="6" t="s">
        <v>123</v>
      </c>
      <c r="G12" s="6" t="n">
        <v>10</v>
      </c>
      <c r="H12" s="6" t="s">
        <v>124</v>
      </c>
      <c r="I12" s="8" t="s">
        <v>56</v>
      </c>
      <c r="J12" s="6" t="s">
        <v>125</v>
      </c>
      <c r="K12" s="8" t="s">
        <v>68</v>
      </c>
      <c r="L12" s="6" t="s">
        <v>126</v>
      </c>
      <c r="M12" s="6" t="s">
        <v>70</v>
      </c>
      <c r="N12" s="6" t="n">
        <v>1</v>
      </c>
      <c r="O12" s="6" t="n">
        <v>1</v>
      </c>
      <c r="P12" s="9" t="n">
        <v>0.8</v>
      </c>
      <c r="Q12" s="8" t="s">
        <v>60</v>
      </c>
      <c r="R12" s="6" t="s">
        <v>71</v>
      </c>
      <c r="S12" s="6" t="s">
        <v>120</v>
      </c>
      <c r="T12" s="6" t="s">
        <v>121</v>
      </c>
    </row>
    <row r="13" customFormat="false" ht="57.45" hidden="false" customHeight="false" outlineLevel="0" collapsed="false">
      <c r="A13" s="6" t="n">
        <v>12</v>
      </c>
      <c r="B13" s="7" t="n">
        <v>46084</v>
      </c>
      <c r="C13" s="6" t="s">
        <v>53</v>
      </c>
      <c r="D13" s="6" t="s">
        <v>85</v>
      </c>
      <c r="E13" s="6" t="s">
        <v>127</v>
      </c>
      <c r="F13" s="6" t="s">
        <v>128</v>
      </c>
      <c r="G13" s="6"/>
      <c r="H13" s="6" t="s">
        <v>129</v>
      </c>
      <c r="I13" s="8" t="s">
        <v>56</v>
      </c>
      <c r="J13" s="6" t="s">
        <v>130</v>
      </c>
      <c r="K13" s="8" t="s">
        <v>68</v>
      </c>
      <c r="L13" s="6" t="s">
        <v>131</v>
      </c>
      <c r="M13" s="6" t="s">
        <v>70</v>
      </c>
      <c r="N13" s="6" t="n">
        <v>2</v>
      </c>
      <c r="O13" s="6" t="n">
        <v>2</v>
      </c>
      <c r="P13" s="9" t="n">
        <v>0.93</v>
      </c>
      <c r="Q13" s="8" t="s">
        <v>60</v>
      </c>
      <c r="R13" s="6" t="s">
        <v>71</v>
      </c>
      <c r="S13" s="6"/>
      <c r="T13" s="6" t="s">
        <v>121</v>
      </c>
    </row>
    <row r="14" customFormat="false" ht="35.05" hidden="false" customHeight="false" outlineLevel="0" collapsed="false">
      <c r="A14" s="6" t="n">
        <v>13</v>
      </c>
      <c r="B14" s="7" t="n">
        <v>46085</v>
      </c>
      <c r="C14" s="6" t="s">
        <v>51</v>
      </c>
      <c r="D14" s="6" t="s">
        <v>73</v>
      </c>
      <c r="E14" s="6" t="s">
        <v>53</v>
      </c>
      <c r="F14" s="6" t="s">
        <v>132</v>
      </c>
      <c r="G14" s="6"/>
      <c r="H14" s="6" t="s">
        <v>133</v>
      </c>
      <c r="I14" s="8" t="s">
        <v>56</v>
      </c>
      <c r="J14" s="6" t="s">
        <v>134</v>
      </c>
      <c r="K14" s="8" t="s">
        <v>68</v>
      </c>
      <c r="L14" s="6" t="s">
        <v>135</v>
      </c>
      <c r="M14" s="6" t="s">
        <v>70</v>
      </c>
      <c r="N14" s="6" t="n">
        <v>3</v>
      </c>
      <c r="O14" s="6" t="n">
        <v>3</v>
      </c>
      <c r="P14" s="9" t="n">
        <v>0.99</v>
      </c>
      <c r="Q14" s="8" t="s">
        <v>60</v>
      </c>
      <c r="R14" s="6" t="s">
        <v>71</v>
      </c>
      <c r="S14" s="6"/>
      <c r="T14" s="6" t="s">
        <v>136</v>
      </c>
    </row>
    <row r="15" customFormat="false" ht="46.25" hidden="false" customHeight="false" outlineLevel="0" collapsed="false">
      <c r="A15" s="6" t="n">
        <v>14</v>
      </c>
      <c r="B15" s="7" t="n">
        <v>46091</v>
      </c>
      <c r="C15" s="6" t="s">
        <v>53</v>
      </c>
      <c r="D15" s="6" t="s">
        <v>137</v>
      </c>
      <c r="E15" s="6" t="s">
        <v>79</v>
      </c>
      <c r="F15" s="6" t="s">
        <v>138</v>
      </c>
      <c r="G15" s="6"/>
      <c r="H15" s="6" t="s">
        <v>139</v>
      </c>
      <c r="I15" s="8" t="s">
        <v>56</v>
      </c>
      <c r="J15" s="6" t="s">
        <v>140</v>
      </c>
      <c r="K15" s="8" t="s">
        <v>68</v>
      </c>
      <c r="L15" s="6" t="s">
        <v>141</v>
      </c>
      <c r="M15" s="6" t="s">
        <v>84</v>
      </c>
      <c r="N15" s="6" t="n">
        <v>3</v>
      </c>
      <c r="O15" s="6" t="n">
        <v>3</v>
      </c>
      <c r="P15" s="9" t="n">
        <v>0.99</v>
      </c>
      <c r="Q15" s="8" t="s">
        <v>60</v>
      </c>
      <c r="R15" s="6" t="s">
        <v>71</v>
      </c>
      <c r="S15" s="6"/>
      <c r="T15" s="6" t="s">
        <v>142</v>
      </c>
    </row>
    <row r="16" customFormat="false" ht="46.25" hidden="false" customHeight="false" outlineLevel="0" collapsed="false">
      <c r="A16" s="6" t="n">
        <v>15</v>
      </c>
      <c r="B16" s="7" t="n">
        <v>46102</v>
      </c>
      <c r="C16" s="6" t="s">
        <v>51</v>
      </c>
      <c r="D16" s="6" t="s">
        <v>73</v>
      </c>
      <c r="E16" s="6" t="s">
        <v>79</v>
      </c>
      <c r="F16" s="6" t="s">
        <v>143</v>
      </c>
      <c r="G16" s="6"/>
      <c r="H16" s="6" t="s">
        <v>144</v>
      </c>
      <c r="I16" s="8" t="s">
        <v>56</v>
      </c>
      <c r="J16" s="6" t="s">
        <v>145</v>
      </c>
      <c r="K16" s="8" t="s">
        <v>68</v>
      </c>
      <c r="L16" s="6" t="s">
        <v>146</v>
      </c>
      <c r="M16" s="6" t="s">
        <v>70</v>
      </c>
      <c r="N16" s="6" t="n">
        <v>2</v>
      </c>
      <c r="O16" s="6" t="n">
        <v>2</v>
      </c>
      <c r="P16" s="9" t="n">
        <v>0.96</v>
      </c>
      <c r="Q16" s="8" t="s">
        <v>60</v>
      </c>
      <c r="R16" s="6" t="s">
        <v>71</v>
      </c>
      <c r="S16" s="6"/>
      <c r="T16" s="6" t="s">
        <v>147</v>
      </c>
    </row>
    <row r="17" customFormat="false" ht="35.05" hidden="false" customHeight="false" outlineLevel="0" collapsed="false">
      <c r="A17" s="6" t="n">
        <v>16</v>
      </c>
      <c r="B17" s="7" t="n">
        <v>46102</v>
      </c>
      <c r="C17" s="6" t="s">
        <v>148</v>
      </c>
      <c r="D17" s="6" t="s">
        <v>149</v>
      </c>
      <c r="E17" s="6" t="s">
        <v>53</v>
      </c>
      <c r="F17" s="6" t="s">
        <v>150</v>
      </c>
      <c r="G17" s="6"/>
      <c r="H17" s="6" t="s">
        <v>151</v>
      </c>
      <c r="I17" s="8" t="s">
        <v>56</v>
      </c>
      <c r="J17" s="6" t="s">
        <v>152</v>
      </c>
      <c r="K17" s="8" t="s">
        <v>68</v>
      </c>
      <c r="L17" s="6" t="s">
        <v>153</v>
      </c>
      <c r="M17" s="6" t="s">
        <v>70</v>
      </c>
      <c r="N17" s="6" t="n">
        <v>3</v>
      </c>
      <c r="O17" s="6" t="n">
        <v>3</v>
      </c>
      <c r="P17" s="9" t="n">
        <v>0.98</v>
      </c>
      <c r="Q17" s="8" t="s">
        <v>60</v>
      </c>
      <c r="R17" s="6" t="s">
        <v>71</v>
      </c>
      <c r="S17" s="6" t="s">
        <v>154</v>
      </c>
      <c r="T17" s="6" t="s">
        <v>147</v>
      </c>
    </row>
    <row r="18" customFormat="false" ht="23.85" hidden="false" customHeight="false" outlineLevel="0" collapsed="false">
      <c r="A18" s="6" t="n">
        <v>17</v>
      </c>
      <c r="B18" s="7" t="n">
        <v>46102</v>
      </c>
      <c r="C18" s="6" t="s">
        <v>53</v>
      </c>
      <c r="D18" s="6" t="s">
        <v>85</v>
      </c>
      <c r="E18" s="6" t="s">
        <v>155</v>
      </c>
      <c r="F18" s="6" t="s">
        <v>156</v>
      </c>
      <c r="G18" s="6" t="n">
        <v>16</v>
      </c>
      <c r="H18" s="6" t="s">
        <v>157</v>
      </c>
      <c r="I18" s="8" t="s">
        <v>56</v>
      </c>
      <c r="J18" s="6" t="s">
        <v>158</v>
      </c>
      <c r="K18" s="8" t="s">
        <v>68</v>
      </c>
      <c r="L18" s="6" t="s">
        <v>159</v>
      </c>
      <c r="M18" s="6" t="s">
        <v>70</v>
      </c>
      <c r="N18" s="6" t="n">
        <v>3</v>
      </c>
      <c r="O18" s="6" t="n">
        <v>3</v>
      </c>
      <c r="P18" s="9" t="n">
        <v>0.98</v>
      </c>
      <c r="Q18" s="8" t="s">
        <v>60</v>
      </c>
      <c r="R18" s="6" t="s">
        <v>71</v>
      </c>
      <c r="S18" s="6" t="s">
        <v>154</v>
      </c>
      <c r="T18" s="6" t="s">
        <v>147</v>
      </c>
    </row>
    <row r="19" customFormat="false" ht="23.85" hidden="false" customHeight="false" outlineLevel="0" collapsed="false">
      <c r="A19" s="6" t="n">
        <v>18</v>
      </c>
      <c r="B19" s="7" t="n">
        <v>46102</v>
      </c>
      <c r="C19" s="6" t="s">
        <v>51</v>
      </c>
      <c r="D19" s="6" t="s">
        <v>160</v>
      </c>
      <c r="E19" s="6" t="s">
        <v>53</v>
      </c>
      <c r="F19" s="6" t="s">
        <v>161</v>
      </c>
      <c r="G19" s="6"/>
      <c r="H19" s="6" t="s">
        <v>55</v>
      </c>
      <c r="I19" s="8" t="s">
        <v>56</v>
      </c>
      <c r="J19" s="6" t="s">
        <v>162</v>
      </c>
      <c r="K19" s="8" t="s">
        <v>58</v>
      </c>
      <c r="L19" s="6"/>
      <c r="M19" s="6" t="s">
        <v>59</v>
      </c>
      <c r="N19" s="6" t="n">
        <v>2</v>
      </c>
      <c r="O19" s="6" t="n">
        <v>2</v>
      </c>
      <c r="P19" s="9" t="n">
        <v>0.96</v>
      </c>
      <c r="Q19" s="8" t="s">
        <v>60</v>
      </c>
      <c r="R19" s="6" t="s">
        <v>71</v>
      </c>
      <c r="S19" s="6"/>
      <c r="T19" s="6" t="s">
        <v>147</v>
      </c>
    </row>
    <row r="20" customFormat="false" ht="23.85" hidden="false" customHeight="false" outlineLevel="0" collapsed="false">
      <c r="A20" s="6" t="n">
        <v>19</v>
      </c>
      <c r="B20" s="7" t="n">
        <v>46105</v>
      </c>
      <c r="C20" s="6" t="s">
        <v>51</v>
      </c>
      <c r="D20" s="6" t="s">
        <v>163</v>
      </c>
      <c r="E20" s="6" t="s">
        <v>53</v>
      </c>
      <c r="F20" s="6" t="s">
        <v>164</v>
      </c>
      <c r="G20" s="6"/>
      <c r="H20" s="6" t="s">
        <v>165</v>
      </c>
      <c r="I20" s="8" t="s">
        <v>56</v>
      </c>
      <c r="J20" s="6" t="s">
        <v>166</v>
      </c>
      <c r="K20" s="8" t="s">
        <v>68</v>
      </c>
      <c r="L20" s="6" t="s">
        <v>167</v>
      </c>
      <c r="M20" s="6" t="s">
        <v>59</v>
      </c>
      <c r="N20" s="6" t="n">
        <v>2</v>
      </c>
      <c r="O20" s="6" t="n">
        <v>2</v>
      </c>
      <c r="P20" s="9" t="n">
        <v>0.96</v>
      </c>
      <c r="Q20" s="8" t="s">
        <v>60</v>
      </c>
      <c r="R20" s="6" t="s">
        <v>71</v>
      </c>
      <c r="S20" s="6"/>
      <c r="T20" s="6" t="s">
        <v>168</v>
      </c>
    </row>
    <row r="21" customFormat="false" ht="35.05" hidden="false" customHeight="false" outlineLevel="0" collapsed="false">
      <c r="A21" s="6" t="n">
        <v>20</v>
      </c>
      <c r="B21" s="7" t="n">
        <v>46107</v>
      </c>
      <c r="C21" s="6" t="s">
        <v>155</v>
      </c>
      <c r="D21" s="6" t="s">
        <v>169</v>
      </c>
      <c r="E21" s="6" t="s">
        <v>53</v>
      </c>
      <c r="F21" s="6" t="s">
        <v>170</v>
      </c>
      <c r="G21" s="6"/>
      <c r="H21" s="6" t="s">
        <v>171</v>
      </c>
      <c r="I21" s="8" t="s">
        <v>56</v>
      </c>
      <c r="J21" s="6" t="s">
        <v>172</v>
      </c>
      <c r="K21" s="8" t="s">
        <v>68</v>
      </c>
      <c r="L21" s="6" t="s">
        <v>173</v>
      </c>
      <c r="M21" s="6" t="s">
        <v>70</v>
      </c>
      <c r="N21" s="6" t="n">
        <v>3</v>
      </c>
      <c r="O21" s="6" t="n">
        <v>3</v>
      </c>
      <c r="P21" s="9" t="n">
        <v>0.99</v>
      </c>
      <c r="Q21" s="8" t="s">
        <v>60</v>
      </c>
      <c r="R21" s="6" t="s">
        <v>71</v>
      </c>
      <c r="S21" s="6" t="s">
        <v>174</v>
      </c>
      <c r="T21" s="6" t="s">
        <v>175</v>
      </c>
    </row>
    <row r="22" customFormat="false" ht="46.25" hidden="false" customHeight="false" outlineLevel="0" collapsed="false">
      <c r="A22" s="6" t="n">
        <v>21</v>
      </c>
      <c r="B22" s="7" t="n">
        <v>46108</v>
      </c>
      <c r="C22" s="6" t="s">
        <v>53</v>
      </c>
      <c r="D22" s="6" t="s">
        <v>85</v>
      </c>
      <c r="E22" s="6" t="s">
        <v>122</v>
      </c>
      <c r="F22" s="6" t="s">
        <v>176</v>
      </c>
      <c r="G22" s="6" t="n">
        <v>20</v>
      </c>
      <c r="H22" s="6" t="s">
        <v>177</v>
      </c>
      <c r="I22" s="8" t="s">
        <v>56</v>
      </c>
      <c r="J22" s="6" t="s">
        <v>178</v>
      </c>
      <c r="K22" s="8" t="s">
        <v>68</v>
      </c>
      <c r="L22" s="6" t="s">
        <v>179</v>
      </c>
      <c r="M22" s="6" t="s">
        <v>70</v>
      </c>
      <c r="N22" s="6" t="n">
        <v>3</v>
      </c>
      <c r="O22" s="6" t="n">
        <v>3</v>
      </c>
      <c r="P22" s="9" t="n">
        <v>0.99</v>
      </c>
      <c r="Q22" s="8" t="s">
        <v>60</v>
      </c>
      <c r="R22" s="6" t="s">
        <v>71</v>
      </c>
      <c r="S22" s="6" t="s">
        <v>174</v>
      </c>
      <c r="T22" s="6" t="s">
        <v>180</v>
      </c>
    </row>
    <row r="23" customFormat="false" ht="46.25" hidden="false" customHeight="false" outlineLevel="0" collapsed="false">
      <c r="A23" s="6" t="n">
        <v>22</v>
      </c>
      <c r="B23" s="7" t="n">
        <v>46108</v>
      </c>
      <c r="C23" s="6" t="s">
        <v>53</v>
      </c>
      <c r="D23" s="6" t="s">
        <v>181</v>
      </c>
      <c r="E23" s="6" t="s">
        <v>79</v>
      </c>
      <c r="F23" s="6" t="s">
        <v>182</v>
      </c>
      <c r="G23" s="6"/>
      <c r="H23" s="6" t="s">
        <v>183</v>
      </c>
      <c r="I23" s="11" t="s">
        <v>184</v>
      </c>
      <c r="J23" s="6" t="s">
        <v>185</v>
      </c>
      <c r="K23" s="11" t="s">
        <v>186</v>
      </c>
      <c r="L23" s="6" t="s">
        <v>187</v>
      </c>
      <c r="M23" s="6" t="s">
        <v>84</v>
      </c>
      <c r="N23" s="6" t="n">
        <v>1</v>
      </c>
      <c r="O23" s="6" t="n">
        <v>1</v>
      </c>
      <c r="P23" s="9" t="n">
        <v>0.2</v>
      </c>
      <c r="Q23" s="11" t="s">
        <v>188</v>
      </c>
      <c r="R23" s="6" t="s">
        <v>71</v>
      </c>
      <c r="S23" s="6"/>
      <c r="T23" s="6" t="s">
        <v>180</v>
      </c>
    </row>
    <row r="24" customFormat="false" ht="35.05" hidden="false" customHeight="false" outlineLevel="0" collapsed="false">
      <c r="A24" s="6" t="n">
        <v>23</v>
      </c>
      <c r="B24" s="7" t="n">
        <v>46112</v>
      </c>
      <c r="C24" s="6" t="s">
        <v>51</v>
      </c>
      <c r="D24" s="6" t="s">
        <v>73</v>
      </c>
      <c r="E24" s="6" t="s">
        <v>53</v>
      </c>
      <c r="F24" s="6" t="s">
        <v>189</v>
      </c>
      <c r="G24" s="6"/>
      <c r="H24" s="6" t="s">
        <v>55</v>
      </c>
      <c r="I24" s="8" t="s">
        <v>56</v>
      </c>
      <c r="J24" s="6" t="s">
        <v>190</v>
      </c>
      <c r="K24" s="8" t="s">
        <v>68</v>
      </c>
      <c r="L24" s="6" t="s">
        <v>191</v>
      </c>
      <c r="M24" s="6" t="s">
        <v>70</v>
      </c>
      <c r="N24" s="6" t="n">
        <v>1</v>
      </c>
      <c r="O24" s="6" t="n">
        <v>1</v>
      </c>
      <c r="P24" s="9" t="n">
        <v>0.8</v>
      </c>
      <c r="Q24" s="8" t="s">
        <v>60</v>
      </c>
      <c r="R24" s="6" t="s">
        <v>71</v>
      </c>
      <c r="S24" s="6"/>
      <c r="T24" s="6" t="s">
        <v>192</v>
      </c>
    </row>
    <row r="25" customFormat="false" ht="15" hidden="false" customHeight="false" outlineLevel="0" collapsed="false">
      <c r="A25" s="6" t="n">
        <v>24</v>
      </c>
      <c r="B25" s="7" t="n">
        <v>46112</v>
      </c>
      <c r="C25" s="6" t="s">
        <v>193</v>
      </c>
      <c r="D25" s="6" t="s">
        <v>163</v>
      </c>
      <c r="E25" s="6" t="s">
        <v>194</v>
      </c>
      <c r="F25" s="6" t="s">
        <v>195</v>
      </c>
      <c r="G25" s="6"/>
      <c r="H25" s="6" t="s">
        <v>55</v>
      </c>
      <c r="I25" s="8" t="s">
        <v>56</v>
      </c>
      <c r="J25" s="6" t="s">
        <v>196</v>
      </c>
      <c r="K25" s="8" t="s">
        <v>58</v>
      </c>
      <c r="L25" s="6"/>
      <c r="M25" s="6" t="s">
        <v>59</v>
      </c>
      <c r="N25" s="6" t="n">
        <v>1</v>
      </c>
      <c r="O25" s="6" t="n">
        <v>1</v>
      </c>
      <c r="P25" s="9" t="n">
        <v>0.8</v>
      </c>
      <c r="Q25" s="8" t="s">
        <v>60</v>
      </c>
      <c r="R25" s="6" t="s">
        <v>71</v>
      </c>
      <c r="S25" s="6"/>
      <c r="T25" s="6" t="s">
        <v>192</v>
      </c>
    </row>
    <row r="26" customFormat="false" ht="46.25" hidden="false" customHeight="false" outlineLevel="0" collapsed="false">
      <c r="A26" s="6" t="n">
        <v>25</v>
      </c>
      <c r="B26" s="7" t="n">
        <v>46114</v>
      </c>
      <c r="C26" s="6" t="s">
        <v>51</v>
      </c>
      <c r="D26" s="6" t="s">
        <v>73</v>
      </c>
      <c r="E26" s="6" t="s">
        <v>53</v>
      </c>
      <c r="F26" s="6" t="s">
        <v>197</v>
      </c>
      <c r="G26" s="6"/>
      <c r="H26" s="6" t="s">
        <v>198</v>
      </c>
      <c r="I26" s="8" t="s">
        <v>56</v>
      </c>
      <c r="J26" s="6" t="s">
        <v>199</v>
      </c>
      <c r="K26" s="8" t="s">
        <v>58</v>
      </c>
      <c r="L26" s="6" t="s">
        <v>200</v>
      </c>
      <c r="M26" s="6" t="s">
        <v>70</v>
      </c>
      <c r="N26" s="6" t="n">
        <v>3</v>
      </c>
      <c r="O26" s="6" t="n">
        <v>3</v>
      </c>
      <c r="P26" s="9" t="n">
        <v>0.99</v>
      </c>
      <c r="Q26" s="8" t="s">
        <v>60</v>
      </c>
      <c r="R26" s="6" t="s">
        <v>71</v>
      </c>
      <c r="S26" s="6"/>
      <c r="T26" s="6" t="s">
        <v>201</v>
      </c>
    </row>
    <row r="27" customFormat="false" ht="35.05" hidden="false" customHeight="false" outlineLevel="0" collapsed="false">
      <c r="A27" s="6" t="n">
        <v>26</v>
      </c>
      <c r="B27" s="7" t="n">
        <v>46115</v>
      </c>
      <c r="C27" s="6" t="s">
        <v>53</v>
      </c>
      <c r="D27" s="6" t="s">
        <v>202</v>
      </c>
      <c r="E27" s="6" t="s">
        <v>51</v>
      </c>
      <c r="F27" s="6" t="s">
        <v>203</v>
      </c>
      <c r="G27" s="6"/>
      <c r="H27" s="6" t="s">
        <v>204</v>
      </c>
      <c r="I27" s="8" t="s">
        <v>56</v>
      </c>
      <c r="J27" s="6" t="s">
        <v>205</v>
      </c>
      <c r="K27" s="8" t="s">
        <v>68</v>
      </c>
      <c r="L27" s="6" t="s">
        <v>206</v>
      </c>
      <c r="M27" s="6" t="s">
        <v>70</v>
      </c>
      <c r="N27" s="6" t="n">
        <v>1</v>
      </c>
      <c r="O27" s="6" t="n">
        <v>1</v>
      </c>
      <c r="P27" s="9" t="n">
        <v>0.8</v>
      </c>
      <c r="Q27" s="8" t="s">
        <v>60</v>
      </c>
      <c r="R27" s="6" t="s">
        <v>71</v>
      </c>
      <c r="S27" s="6"/>
      <c r="T27" s="6" t="s">
        <v>207</v>
      </c>
    </row>
    <row r="28" customFormat="false" ht="35.05" hidden="false" customHeight="false" outlineLevel="0" collapsed="false">
      <c r="A28" s="6" t="n">
        <v>27</v>
      </c>
      <c r="B28" s="7" t="n">
        <v>46118</v>
      </c>
      <c r="C28" s="6" t="s">
        <v>208</v>
      </c>
      <c r="D28" s="6" t="s">
        <v>163</v>
      </c>
      <c r="E28" s="6" t="s">
        <v>194</v>
      </c>
      <c r="F28" s="6" t="s">
        <v>209</v>
      </c>
      <c r="G28" s="6"/>
      <c r="H28" s="6" t="s">
        <v>210</v>
      </c>
      <c r="I28" s="8" t="s">
        <v>56</v>
      </c>
      <c r="J28" s="6" t="s">
        <v>211</v>
      </c>
      <c r="K28" s="8" t="s">
        <v>68</v>
      </c>
      <c r="L28" s="6" t="s">
        <v>212</v>
      </c>
      <c r="M28" s="6" t="s">
        <v>59</v>
      </c>
      <c r="N28" s="6" t="n">
        <v>3</v>
      </c>
      <c r="O28" s="6" t="n">
        <v>2</v>
      </c>
      <c r="P28" s="9" t="n">
        <v>0.96</v>
      </c>
      <c r="Q28" s="8" t="s">
        <v>60</v>
      </c>
      <c r="R28" s="6" t="s">
        <v>71</v>
      </c>
      <c r="S28" s="6"/>
      <c r="T28" s="6" t="s">
        <v>201</v>
      </c>
    </row>
    <row r="29" customFormat="false" ht="46.25" hidden="false" customHeight="false" outlineLevel="0" collapsed="false">
      <c r="A29" s="6" t="n">
        <v>28</v>
      </c>
      <c r="B29" s="7" t="n">
        <v>46119</v>
      </c>
      <c r="C29" s="6" t="s">
        <v>213</v>
      </c>
      <c r="D29" s="6" t="s">
        <v>214</v>
      </c>
      <c r="E29" s="6" t="s">
        <v>215</v>
      </c>
      <c r="F29" s="6" t="s">
        <v>216</v>
      </c>
      <c r="G29" s="6"/>
      <c r="H29" s="6" t="s">
        <v>55</v>
      </c>
      <c r="I29" s="8" t="s">
        <v>56</v>
      </c>
      <c r="J29" s="6" t="s">
        <v>217</v>
      </c>
      <c r="K29" s="8" t="s">
        <v>68</v>
      </c>
      <c r="L29" s="6" t="s">
        <v>218</v>
      </c>
      <c r="M29" s="6" t="s">
        <v>59</v>
      </c>
      <c r="N29" s="6" t="n">
        <v>6</v>
      </c>
      <c r="O29" s="6" t="n">
        <v>2</v>
      </c>
      <c r="P29" s="9" t="n">
        <v>0.96</v>
      </c>
      <c r="Q29" s="8" t="s">
        <v>60</v>
      </c>
      <c r="R29" s="6" t="s">
        <v>71</v>
      </c>
      <c r="S29" s="6" t="s">
        <v>219</v>
      </c>
      <c r="T29" s="6" t="s">
        <v>201</v>
      </c>
    </row>
    <row r="30" customFormat="false" ht="46.25" hidden="false" customHeight="false" outlineLevel="0" collapsed="false">
      <c r="A30" s="6" t="n">
        <v>29</v>
      </c>
      <c r="B30" s="7" t="n">
        <v>46120</v>
      </c>
      <c r="C30" s="6" t="s">
        <v>220</v>
      </c>
      <c r="D30" s="6" t="s">
        <v>221</v>
      </c>
      <c r="E30" s="6" t="s">
        <v>215</v>
      </c>
      <c r="F30" s="6" t="s">
        <v>222</v>
      </c>
      <c r="G30" s="6"/>
      <c r="H30" s="6" t="s">
        <v>55</v>
      </c>
      <c r="I30" s="6" t="s">
        <v>223</v>
      </c>
      <c r="J30" s="6" t="s">
        <v>224</v>
      </c>
      <c r="K30" s="11" t="s">
        <v>186</v>
      </c>
      <c r="L30" s="6" t="s">
        <v>225</v>
      </c>
      <c r="M30" s="6" t="s">
        <v>59</v>
      </c>
      <c r="N30" s="6" t="n">
        <v>0</v>
      </c>
      <c r="O30" s="6" t="n">
        <v>0</v>
      </c>
      <c r="P30" s="9"/>
      <c r="Q30" s="11" t="s">
        <v>226</v>
      </c>
      <c r="R30" s="6" t="s">
        <v>227</v>
      </c>
      <c r="S30" s="6"/>
      <c r="T30" s="6" t="s">
        <v>201</v>
      </c>
    </row>
    <row r="31" customFormat="false" ht="23.85" hidden="false" customHeight="false" outlineLevel="0" collapsed="false">
      <c r="A31" s="6" t="n">
        <v>30</v>
      </c>
      <c r="B31" s="7" t="n">
        <v>46120</v>
      </c>
      <c r="C31" s="6" t="s">
        <v>155</v>
      </c>
      <c r="D31" s="6" t="s">
        <v>228</v>
      </c>
      <c r="E31" s="6" t="s">
        <v>229</v>
      </c>
      <c r="F31" s="6" t="s">
        <v>230</v>
      </c>
      <c r="G31" s="6" t="n">
        <v>28</v>
      </c>
      <c r="H31" s="6" t="s">
        <v>231</v>
      </c>
      <c r="I31" s="8" t="s">
        <v>56</v>
      </c>
      <c r="J31" s="6" t="s">
        <v>232</v>
      </c>
      <c r="K31" s="8" t="s">
        <v>58</v>
      </c>
      <c r="L31" s="6" t="s">
        <v>233</v>
      </c>
      <c r="M31" s="6" t="s">
        <v>70</v>
      </c>
      <c r="N31" s="6" t="n">
        <v>3</v>
      </c>
      <c r="O31" s="6" t="n">
        <v>3</v>
      </c>
      <c r="P31" s="9" t="n">
        <v>0.99</v>
      </c>
      <c r="Q31" s="8" t="s">
        <v>60</v>
      </c>
      <c r="R31" s="6" t="s">
        <v>227</v>
      </c>
      <c r="S31" s="6" t="s">
        <v>219</v>
      </c>
      <c r="T31" s="6" t="s">
        <v>201</v>
      </c>
    </row>
    <row r="32" customFormat="false" ht="23.85" hidden="false" customHeight="false" outlineLevel="0" collapsed="false">
      <c r="A32" s="6" t="n">
        <v>31</v>
      </c>
      <c r="B32" s="7" t="n">
        <v>46120</v>
      </c>
      <c r="C32" s="6" t="s">
        <v>53</v>
      </c>
      <c r="D32" s="6" t="s">
        <v>234</v>
      </c>
      <c r="E32" s="6" t="s">
        <v>79</v>
      </c>
      <c r="F32" s="6" t="s">
        <v>235</v>
      </c>
      <c r="G32" s="6" t="n">
        <v>30</v>
      </c>
      <c r="H32" s="6" t="s">
        <v>55</v>
      </c>
      <c r="I32" s="8" t="s">
        <v>56</v>
      </c>
      <c r="J32" s="6" t="s">
        <v>236</v>
      </c>
      <c r="K32" s="8" t="s">
        <v>58</v>
      </c>
      <c r="L32" s="6"/>
      <c r="M32" s="6" t="s">
        <v>84</v>
      </c>
      <c r="N32" s="6" t="n">
        <v>3</v>
      </c>
      <c r="O32" s="6" t="n">
        <v>3</v>
      </c>
      <c r="P32" s="9" t="n">
        <v>0.99</v>
      </c>
      <c r="Q32" s="8" t="s">
        <v>60</v>
      </c>
      <c r="R32" s="6" t="s">
        <v>227</v>
      </c>
      <c r="S32" s="6" t="s">
        <v>219</v>
      </c>
      <c r="T32" s="6" t="s">
        <v>201</v>
      </c>
    </row>
    <row r="33" customFormat="false" ht="46.25" hidden="false" customHeight="false" outlineLevel="0" collapsed="false">
      <c r="A33" s="6" t="n">
        <v>32</v>
      </c>
      <c r="B33" s="7" t="n">
        <v>46120</v>
      </c>
      <c r="C33" s="6" t="s">
        <v>237</v>
      </c>
      <c r="D33" s="6" t="s">
        <v>238</v>
      </c>
      <c r="E33" s="6" t="s">
        <v>53</v>
      </c>
      <c r="F33" s="6" t="s">
        <v>239</v>
      </c>
      <c r="G33" s="6"/>
      <c r="H33" s="6" t="s">
        <v>240</v>
      </c>
      <c r="I33" s="10" t="s">
        <v>89</v>
      </c>
      <c r="J33" s="6" t="s">
        <v>241</v>
      </c>
      <c r="K33" s="10" t="s">
        <v>91</v>
      </c>
      <c r="L33" s="6" t="s">
        <v>242</v>
      </c>
      <c r="M33" s="6" t="s">
        <v>70</v>
      </c>
      <c r="N33" s="6" t="n">
        <v>4</v>
      </c>
      <c r="O33" s="6" t="n">
        <v>1</v>
      </c>
      <c r="P33" s="9" t="n">
        <v>0.64</v>
      </c>
      <c r="Q33" s="10" t="s">
        <v>119</v>
      </c>
      <c r="R33" s="6" t="s">
        <v>227</v>
      </c>
      <c r="S33" s="6"/>
      <c r="T33" s="6" t="s">
        <v>201</v>
      </c>
    </row>
    <row r="34" customFormat="false" ht="23.85" hidden="false" customHeight="false" outlineLevel="0" collapsed="false">
      <c r="A34" s="6" t="n">
        <v>33</v>
      </c>
      <c r="B34" s="7" t="n">
        <v>46123</v>
      </c>
      <c r="C34" s="6" t="s">
        <v>51</v>
      </c>
      <c r="D34" s="6" t="s">
        <v>243</v>
      </c>
      <c r="E34" s="6" t="s">
        <v>79</v>
      </c>
      <c r="F34" s="6" t="s">
        <v>244</v>
      </c>
      <c r="G34" s="6"/>
      <c r="H34" s="6" t="s">
        <v>245</v>
      </c>
      <c r="I34" s="8" t="s">
        <v>56</v>
      </c>
      <c r="J34" s="6" t="s">
        <v>246</v>
      </c>
      <c r="K34" s="8" t="s">
        <v>58</v>
      </c>
      <c r="L34" s="6"/>
      <c r="M34" s="6" t="s">
        <v>84</v>
      </c>
      <c r="N34" s="6" t="n">
        <v>2</v>
      </c>
      <c r="O34" s="6" t="n">
        <v>2</v>
      </c>
      <c r="P34" s="9" t="n">
        <v>0.96</v>
      </c>
      <c r="Q34" s="8" t="s">
        <v>60</v>
      </c>
      <c r="R34" s="6" t="s">
        <v>227</v>
      </c>
      <c r="S34" s="6"/>
      <c r="T34" s="6" t="s">
        <v>247</v>
      </c>
    </row>
    <row r="35" customFormat="false" ht="23.85" hidden="false" customHeight="false" outlineLevel="0" collapsed="false">
      <c r="A35" s="6" t="n">
        <v>34</v>
      </c>
      <c r="B35" s="7" t="n">
        <v>46123</v>
      </c>
      <c r="C35" s="6" t="s">
        <v>220</v>
      </c>
      <c r="D35" s="6" t="s">
        <v>248</v>
      </c>
      <c r="E35" s="6" t="s">
        <v>215</v>
      </c>
      <c r="F35" s="6" t="s">
        <v>249</v>
      </c>
      <c r="G35" s="6"/>
      <c r="H35" s="6" t="s">
        <v>250</v>
      </c>
      <c r="I35" s="8" t="s">
        <v>56</v>
      </c>
      <c r="J35" s="6" t="s">
        <v>251</v>
      </c>
      <c r="K35" s="8" t="s">
        <v>58</v>
      </c>
      <c r="L35" s="6"/>
      <c r="M35" s="6" t="s">
        <v>59</v>
      </c>
      <c r="N35" s="6" t="n">
        <v>3</v>
      </c>
      <c r="O35" s="6" t="n">
        <v>3</v>
      </c>
      <c r="P35" s="9" t="n">
        <v>0.99</v>
      </c>
      <c r="Q35" s="8" t="s">
        <v>60</v>
      </c>
      <c r="R35" s="6" t="s">
        <v>227</v>
      </c>
      <c r="S35" s="6" t="s">
        <v>252</v>
      </c>
      <c r="T35" s="6" t="s">
        <v>247</v>
      </c>
    </row>
    <row r="36" customFormat="false" ht="23.85" hidden="false" customHeight="false" outlineLevel="0" collapsed="false">
      <c r="A36" s="6" t="n">
        <v>35</v>
      </c>
      <c r="B36" s="7" t="n">
        <v>46125</v>
      </c>
      <c r="C36" s="6" t="s">
        <v>51</v>
      </c>
      <c r="D36" s="6" t="s">
        <v>253</v>
      </c>
      <c r="E36" s="6" t="s">
        <v>53</v>
      </c>
      <c r="F36" s="6" t="s">
        <v>254</v>
      </c>
      <c r="G36" s="6" t="n">
        <v>34</v>
      </c>
      <c r="H36" s="6" t="s">
        <v>55</v>
      </c>
      <c r="I36" s="8" t="s">
        <v>56</v>
      </c>
      <c r="J36" s="6" t="s">
        <v>255</v>
      </c>
      <c r="K36" s="8" t="s">
        <v>58</v>
      </c>
      <c r="L36" s="6"/>
      <c r="M36" s="6" t="s">
        <v>84</v>
      </c>
      <c r="N36" s="6" t="n">
        <v>3</v>
      </c>
      <c r="O36" s="6" t="n">
        <v>3</v>
      </c>
      <c r="P36" s="9" t="n">
        <v>0.99</v>
      </c>
      <c r="Q36" s="8" t="s">
        <v>60</v>
      </c>
      <c r="R36" s="6" t="s">
        <v>227</v>
      </c>
      <c r="S36" s="6" t="s">
        <v>252</v>
      </c>
      <c r="T36" s="6" t="s">
        <v>207</v>
      </c>
    </row>
    <row r="37" customFormat="false" ht="23.85" hidden="false" customHeight="false" outlineLevel="0" collapsed="false">
      <c r="A37" s="6" t="n">
        <v>36</v>
      </c>
      <c r="B37" s="7" t="n">
        <v>46130</v>
      </c>
      <c r="C37" s="6" t="s">
        <v>53</v>
      </c>
      <c r="D37" s="6" t="s">
        <v>234</v>
      </c>
      <c r="E37" s="6" t="s">
        <v>79</v>
      </c>
      <c r="F37" s="6" t="s">
        <v>256</v>
      </c>
      <c r="G37" s="6" t="n">
        <v>35</v>
      </c>
      <c r="H37" s="6" t="s">
        <v>55</v>
      </c>
      <c r="I37" s="8" t="s">
        <v>56</v>
      </c>
      <c r="J37" s="6" t="s">
        <v>257</v>
      </c>
      <c r="K37" s="8" t="s">
        <v>58</v>
      </c>
      <c r="L37" s="6"/>
      <c r="M37" s="6" t="s">
        <v>84</v>
      </c>
      <c r="N37" s="6" t="n">
        <v>1</v>
      </c>
      <c r="O37" s="6" t="n">
        <v>1</v>
      </c>
      <c r="P37" s="9" t="n">
        <v>0.8</v>
      </c>
      <c r="Q37" s="8" t="s">
        <v>60</v>
      </c>
      <c r="R37" s="6" t="s">
        <v>227</v>
      </c>
      <c r="S37" s="6" t="s">
        <v>252</v>
      </c>
      <c r="T37" s="6" t="s">
        <v>258</v>
      </c>
    </row>
    <row r="38" customFormat="false" ht="46.25" hidden="false" customHeight="false" outlineLevel="0" collapsed="false">
      <c r="A38" s="6" t="n">
        <v>37</v>
      </c>
      <c r="B38" s="7" t="n">
        <v>46131</v>
      </c>
      <c r="C38" s="6" t="s">
        <v>51</v>
      </c>
      <c r="D38" s="6" t="s">
        <v>259</v>
      </c>
      <c r="E38" s="6" t="s">
        <v>260</v>
      </c>
      <c r="F38" s="6" t="s">
        <v>261</v>
      </c>
      <c r="G38" s="6"/>
      <c r="H38" s="6" t="s">
        <v>262</v>
      </c>
      <c r="I38" s="8" t="s">
        <v>56</v>
      </c>
      <c r="J38" s="6" t="s">
        <v>263</v>
      </c>
      <c r="K38" s="8" t="s">
        <v>68</v>
      </c>
      <c r="L38" s="6" t="s">
        <v>264</v>
      </c>
      <c r="M38" s="6" t="s">
        <v>84</v>
      </c>
      <c r="N38" s="6" t="n">
        <v>1</v>
      </c>
      <c r="O38" s="6" t="n">
        <v>1</v>
      </c>
      <c r="P38" s="9" t="n">
        <v>0.8</v>
      </c>
      <c r="Q38" s="8" t="s">
        <v>60</v>
      </c>
      <c r="R38" s="6" t="s">
        <v>227</v>
      </c>
      <c r="S38" s="6" t="s">
        <v>265</v>
      </c>
      <c r="T38" s="6" t="s">
        <v>192</v>
      </c>
    </row>
    <row r="39" customFormat="false" ht="23.85" hidden="false" customHeight="false" outlineLevel="0" collapsed="false">
      <c r="A39" s="6" t="n">
        <v>38</v>
      </c>
      <c r="B39" s="7" t="n">
        <v>46134</v>
      </c>
      <c r="C39" s="6" t="s">
        <v>53</v>
      </c>
      <c r="D39" s="6" t="s">
        <v>266</v>
      </c>
      <c r="E39" s="6" t="s">
        <v>267</v>
      </c>
      <c r="F39" s="6" t="s">
        <v>268</v>
      </c>
      <c r="G39" s="6" t="n">
        <v>37</v>
      </c>
      <c r="H39" s="6" t="s">
        <v>269</v>
      </c>
      <c r="I39" s="8" t="s">
        <v>56</v>
      </c>
      <c r="J39" s="6" t="s">
        <v>270</v>
      </c>
      <c r="K39" s="8" t="s">
        <v>58</v>
      </c>
      <c r="L39" s="6" t="s">
        <v>271</v>
      </c>
      <c r="M39" s="6" t="s">
        <v>84</v>
      </c>
      <c r="N39" s="6" t="n">
        <v>2</v>
      </c>
      <c r="O39" s="6" t="n">
        <v>2</v>
      </c>
      <c r="P39" s="9" t="n">
        <v>0.96</v>
      </c>
      <c r="Q39" s="8" t="s">
        <v>60</v>
      </c>
      <c r="R39" s="6" t="s">
        <v>227</v>
      </c>
      <c r="S39" s="6" t="s">
        <v>265</v>
      </c>
      <c r="T39" s="6" t="s">
        <v>272</v>
      </c>
    </row>
    <row r="40" customFormat="false" ht="35.05" hidden="false" customHeight="false" outlineLevel="0" collapsed="false">
      <c r="A40" s="6" t="n">
        <v>39</v>
      </c>
      <c r="B40" s="7" t="n">
        <v>46143</v>
      </c>
      <c r="C40" s="6" t="s">
        <v>53</v>
      </c>
      <c r="D40" s="6" t="s">
        <v>273</v>
      </c>
      <c r="E40" s="6" t="s">
        <v>99</v>
      </c>
      <c r="F40" s="6" t="s">
        <v>274</v>
      </c>
      <c r="G40" s="6"/>
      <c r="H40" s="6" t="s">
        <v>275</v>
      </c>
      <c r="I40" s="8" t="s">
        <v>56</v>
      </c>
      <c r="J40" s="6" t="s">
        <v>276</v>
      </c>
      <c r="K40" s="8" t="s">
        <v>58</v>
      </c>
      <c r="L40" s="6" t="s">
        <v>277</v>
      </c>
      <c r="M40" s="6" t="s">
        <v>70</v>
      </c>
      <c r="N40" s="6" t="n">
        <v>2</v>
      </c>
      <c r="O40" s="6" t="n">
        <v>2</v>
      </c>
      <c r="P40" s="9" t="n">
        <v>0.96</v>
      </c>
      <c r="Q40" s="8" t="s">
        <v>60</v>
      </c>
      <c r="R40" s="6" t="s">
        <v>227</v>
      </c>
      <c r="S40" s="6"/>
      <c r="T40" s="6" t="s">
        <v>278</v>
      </c>
    </row>
    <row r="41" customFormat="false" ht="35.05" hidden="false" customHeight="false" outlineLevel="0" collapsed="false">
      <c r="A41" s="6" t="n">
        <v>40</v>
      </c>
      <c r="B41" s="7" t="n">
        <v>46146</v>
      </c>
      <c r="C41" s="6" t="s">
        <v>51</v>
      </c>
      <c r="D41" s="6" t="s">
        <v>279</v>
      </c>
      <c r="E41" s="6" t="s">
        <v>79</v>
      </c>
      <c r="F41" s="6" t="s">
        <v>280</v>
      </c>
      <c r="G41" s="6"/>
      <c r="H41" s="6" t="s">
        <v>55</v>
      </c>
      <c r="I41" s="8" t="s">
        <v>56</v>
      </c>
      <c r="J41" s="6" t="s">
        <v>281</v>
      </c>
      <c r="K41" s="8" t="s">
        <v>68</v>
      </c>
      <c r="L41" s="6" t="s">
        <v>282</v>
      </c>
      <c r="M41" s="6" t="s">
        <v>70</v>
      </c>
      <c r="N41" s="6" t="n">
        <v>3</v>
      </c>
      <c r="O41" s="6" t="n">
        <v>2</v>
      </c>
      <c r="P41" s="9" t="n">
        <v>0.96</v>
      </c>
      <c r="Q41" s="8" t="s">
        <v>60</v>
      </c>
      <c r="R41" s="6" t="s">
        <v>227</v>
      </c>
      <c r="S41" s="6"/>
      <c r="T41" s="6" t="s">
        <v>278</v>
      </c>
    </row>
    <row r="42" customFormat="false" ht="23.85" hidden="false" customHeight="false" outlineLevel="0" collapsed="false">
      <c r="A42" s="6" t="n">
        <v>41</v>
      </c>
      <c r="B42" s="7" t="n">
        <v>46149</v>
      </c>
      <c r="C42" s="6" t="s">
        <v>53</v>
      </c>
      <c r="D42" s="6" t="s">
        <v>73</v>
      </c>
      <c r="E42" s="6" t="s">
        <v>283</v>
      </c>
      <c r="F42" s="6" t="s">
        <v>284</v>
      </c>
      <c r="G42" s="6"/>
      <c r="H42" s="6" t="s">
        <v>285</v>
      </c>
      <c r="I42" s="8" t="s">
        <v>56</v>
      </c>
      <c r="J42" s="6" t="s">
        <v>286</v>
      </c>
      <c r="K42" s="8" t="s">
        <v>58</v>
      </c>
      <c r="L42" s="6" t="s">
        <v>287</v>
      </c>
      <c r="M42" s="6" t="s">
        <v>70</v>
      </c>
      <c r="N42" s="6" t="n">
        <v>2</v>
      </c>
      <c r="O42" s="6" t="n">
        <v>2</v>
      </c>
      <c r="P42" s="9" t="n">
        <v>0.96</v>
      </c>
      <c r="Q42" s="8" t="s">
        <v>60</v>
      </c>
      <c r="R42" s="6" t="s">
        <v>227</v>
      </c>
      <c r="S42" s="6" t="s">
        <v>288</v>
      </c>
      <c r="T42" s="6" t="s">
        <v>289</v>
      </c>
    </row>
    <row r="43" customFormat="false" ht="23.85" hidden="false" customHeight="false" outlineLevel="0" collapsed="false">
      <c r="A43" s="6" t="n">
        <v>42</v>
      </c>
      <c r="B43" s="7" t="n">
        <v>46149</v>
      </c>
      <c r="C43" s="6" t="s">
        <v>51</v>
      </c>
      <c r="D43" s="6" t="s">
        <v>85</v>
      </c>
      <c r="E43" s="6" t="s">
        <v>53</v>
      </c>
      <c r="F43" s="6" t="s">
        <v>290</v>
      </c>
      <c r="G43" s="6" t="n">
        <v>41</v>
      </c>
      <c r="H43" s="6" t="s">
        <v>55</v>
      </c>
      <c r="I43" s="8" t="s">
        <v>56</v>
      </c>
      <c r="J43" s="6" t="s">
        <v>286</v>
      </c>
      <c r="K43" s="8" t="s">
        <v>58</v>
      </c>
      <c r="L43" s="6" t="s">
        <v>291</v>
      </c>
      <c r="M43" s="6" t="s">
        <v>70</v>
      </c>
      <c r="N43" s="6" t="n">
        <v>2</v>
      </c>
      <c r="O43" s="6" t="n">
        <v>2</v>
      </c>
      <c r="P43" s="9" t="n">
        <v>0.96</v>
      </c>
      <c r="Q43" s="8" t="s">
        <v>60</v>
      </c>
      <c r="R43" s="6" t="s">
        <v>227</v>
      </c>
      <c r="S43" s="6" t="s">
        <v>288</v>
      </c>
      <c r="T43" s="6" t="s">
        <v>289</v>
      </c>
    </row>
    <row r="44" customFormat="false" ht="35.05" hidden="false" customHeight="false" outlineLevel="0" collapsed="false">
      <c r="A44" s="6" t="n">
        <v>43</v>
      </c>
      <c r="B44" s="7" t="n">
        <v>46181</v>
      </c>
      <c r="C44" s="6" t="s">
        <v>213</v>
      </c>
      <c r="D44" s="6" t="s">
        <v>292</v>
      </c>
      <c r="E44" s="6" t="s">
        <v>215</v>
      </c>
      <c r="F44" s="6" t="s">
        <v>293</v>
      </c>
      <c r="G44" s="6"/>
      <c r="H44" s="6" t="s">
        <v>55</v>
      </c>
      <c r="I44" s="8" t="s">
        <v>56</v>
      </c>
      <c r="J44" s="6" t="s">
        <v>294</v>
      </c>
      <c r="K44" s="8" t="s">
        <v>68</v>
      </c>
      <c r="L44" s="6" t="s">
        <v>295</v>
      </c>
      <c r="M44" s="6" t="s">
        <v>59</v>
      </c>
      <c r="N44" s="6" t="n">
        <v>1</v>
      </c>
      <c r="O44" s="6" t="n">
        <v>1</v>
      </c>
      <c r="P44" s="9" t="n">
        <v>0.8</v>
      </c>
      <c r="Q44" s="8" t="s">
        <v>60</v>
      </c>
      <c r="R44" s="6" t="s">
        <v>227</v>
      </c>
      <c r="S44" s="6" t="s">
        <v>296</v>
      </c>
      <c r="T44" s="6" t="s">
        <v>297</v>
      </c>
    </row>
    <row r="45" customFormat="false" ht="35.05" hidden="false" customHeight="false" outlineLevel="0" collapsed="false">
      <c r="A45" s="6" t="n">
        <v>44</v>
      </c>
      <c r="B45" s="7" t="n">
        <v>46181</v>
      </c>
      <c r="C45" s="6" t="s">
        <v>155</v>
      </c>
      <c r="D45" s="6" t="s">
        <v>298</v>
      </c>
      <c r="E45" s="6" t="s">
        <v>53</v>
      </c>
      <c r="F45" s="6" t="s">
        <v>299</v>
      </c>
      <c r="G45" s="6" t="n">
        <v>43</v>
      </c>
      <c r="H45" s="6" t="s">
        <v>300</v>
      </c>
      <c r="I45" s="8" t="s">
        <v>56</v>
      </c>
      <c r="J45" s="6" t="s">
        <v>301</v>
      </c>
      <c r="K45" s="8" t="s">
        <v>68</v>
      </c>
      <c r="L45" s="6" t="s">
        <v>302</v>
      </c>
      <c r="M45" s="6" t="s">
        <v>70</v>
      </c>
      <c r="N45" s="6" t="n">
        <v>1</v>
      </c>
      <c r="O45" s="6" t="n">
        <v>1</v>
      </c>
      <c r="P45" s="9" t="n">
        <v>0.8</v>
      </c>
      <c r="Q45" s="8" t="s">
        <v>60</v>
      </c>
      <c r="R45" s="6" t="s">
        <v>227</v>
      </c>
      <c r="S45" s="6" t="s">
        <v>296</v>
      </c>
      <c r="T45" s="6" t="s">
        <v>297</v>
      </c>
    </row>
    <row r="46" customFormat="false" ht="46.25" hidden="false" customHeight="false" outlineLevel="0" collapsed="false">
      <c r="A46" s="6" t="n">
        <v>45</v>
      </c>
      <c r="B46" s="7" t="n">
        <v>46181</v>
      </c>
      <c r="C46" s="6" t="s">
        <v>53</v>
      </c>
      <c r="D46" s="6" t="s">
        <v>303</v>
      </c>
      <c r="E46" s="6" t="s">
        <v>51</v>
      </c>
      <c r="F46" s="6" t="s">
        <v>304</v>
      </c>
      <c r="G46" s="6" t="n">
        <v>44</v>
      </c>
      <c r="H46" s="6" t="s">
        <v>305</v>
      </c>
      <c r="I46" s="8" t="s">
        <v>56</v>
      </c>
      <c r="J46" s="6" t="s">
        <v>306</v>
      </c>
      <c r="K46" s="8" t="s">
        <v>68</v>
      </c>
      <c r="L46" s="6" t="s">
        <v>307</v>
      </c>
      <c r="M46" s="6" t="s">
        <v>70</v>
      </c>
      <c r="N46" s="6" t="n">
        <v>1</v>
      </c>
      <c r="O46" s="6" t="n">
        <v>1</v>
      </c>
      <c r="P46" s="9" t="n">
        <v>0.8</v>
      </c>
      <c r="Q46" s="8" t="s">
        <v>60</v>
      </c>
      <c r="R46" s="6" t="s">
        <v>227</v>
      </c>
      <c r="S46" s="6" t="s">
        <v>296</v>
      </c>
      <c r="T46" s="6" t="s">
        <v>297</v>
      </c>
    </row>
    <row r="47" customFormat="false" ht="35.05" hidden="false" customHeight="false" outlineLevel="0" collapsed="false">
      <c r="A47" s="6" t="n">
        <v>46</v>
      </c>
      <c r="B47" s="7" t="n">
        <v>46182</v>
      </c>
      <c r="C47" s="6" t="s">
        <v>51</v>
      </c>
      <c r="D47" s="6" t="s">
        <v>85</v>
      </c>
      <c r="E47" s="6" t="s">
        <v>53</v>
      </c>
      <c r="F47" s="6" t="s">
        <v>308</v>
      </c>
      <c r="G47" s="6" t="n">
        <v>45</v>
      </c>
      <c r="H47" s="6" t="s">
        <v>124</v>
      </c>
      <c r="I47" s="8" t="s">
        <v>56</v>
      </c>
      <c r="J47" s="6" t="s">
        <v>309</v>
      </c>
      <c r="K47" s="8" t="s">
        <v>68</v>
      </c>
      <c r="L47" s="6" t="s">
        <v>310</v>
      </c>
      <c r="M47" s="6" t="s">
        <v>70</v>
      </c>
      <c r="N47" s="6" t="n">
        <v>2</v>
      </c>
      <c r="O47" s="6" t="n">
        <v>2</v>
      </c>
      <c r="P47" s="9" t="n">
        <v>0.93</v>
      </c>
      <c r="Q47" s="8" t="s">
        <v>60</v>
      </c>
      <c r="R47" s="6" t="s">
        <v>227</v>
      </c>
      <c r="S47" s="6" t="s">
        <v>296</v>
      </c>
      <c r="T47" s="6" t="s">
        <v>180</v>
      </c>
    </row>
    <row r="48" customFormat="false" ht="57.45" hidden="false" customHeight="false" outlineLevel="0" collapsed="false">
      <c r="A48" s="6" t="n">
        <v>47</v>
      </c>
      <c r="B48" s="7" t="n">
        <v>46183</v>
      </c>
      <c r="C48" s="6" t="s">
        <v>53</v>
      </c>
      <c r="D48" s="6" t="s">
        <v>85</v>
      </c>
      <c r="E48" s="6" t="s">
        <v>311</v>
      </c>
      <c r="F48" s="6" t="s">
        <v>312</v>
      </c>
      <c r="G48" s="6" t="n">
        <v>46</v>
      </c>
      <c r="H48" s="6" t="s">
        <v>313</v>
      </c>
      <c r="I48" s="8" t="s">
        <v>56</v>
      </c>
      <c r="J48" s="6" t="s">
        <v>314</v>
      </c>
      <c r="K48" s="8" t="s">
        <v>58</v>
      </c>
      <c r="L48" s="6" t="s">
        <v>315</v>
      </c>
      <c r="M48" s="6" t="s">
        <v>70</v>
      </c>
      <c r="N48" s="6" t="n">
        <v>3</v>
      </c>
      <c r="O48" s="6" t="n">
        <v>3</v>
      </c>
      <c r="P48" s="9" t="n">
        <v>0.99</v>
      </c>
      <c r="Q48" s="8" t="s">
        <v>60</v>
      </c>
      <c r="R48" s="6" t="s">
        <v>227</v>
      </c>
      <c r="S48" s="6" t="s">
        <v>296</v>
      </c>
      <c r="T48" s="6" t="s">
        <v>192</v>
      </c>
    </row>
    <row r="49" customFormat="false" ht="35.05" hidden="false" customHeight="false" outlineLevel="0" collapsed="false">
      <c r="A49" s="6" t="n">
        <v>48</v>
      </c>
      <c r="B49" s="7" t="n">
        <v>46184</v>
      </c>
      <c r="C49" s="6" t="s">
        <v>53</v>
      </c>
      <c r="D49" s="6" t="s">
        <v>85</v>
      </c>
      <c r="E49" s="6" t="s">
        <v>316</v>
      </c>
      <c r="F49" s="6" t="s">
        <v>317</v>
      </c>
      <c r="G49" s="6" t="n">
        <v>47</v>
      </c>
      <c r="H49" s="6" t="s">
        <v>318</v>
      </c>
      <c r="I49" s="8" t="s">
        <v>56</v>
      </c>
      <c r="J49" s="6" t="s">
        <v>319</v>
      </c>
      <c r="K49" s="8" t="s">
        <v>68</v>
      </c>
      <c r="L49" s="6" t="s">
        <v>320</v>
      </c>
      <c r="M49" s="6" t="s">
        <v>70</v>
      </c>
      <c r="N49" s="6" t="n">
        <v>2</v>
      </c>
      <c r="O49" s="6" t="n">
        <v>2</v>
      </c>
      <c r="P49" s="9" t="n">
        <v>0.96</v>
      </c>
      <c r="Q49" s="8" t="s">
        <v>60</v>
      </c>
      <c r="R49" s="6" t="s">
        <v>227</v>
      </c>
      <c r="S49" s="6" t="s">
        <v>296</v>
      </c>
      <c r="T49" s="6" t="s">
        <v>201</v>
      </c>
    </row>
    <row r="50" customFormat="false" ht="57.45" hidden="false" customHeight="false" outlineLevel="0" collapsed="false">
      <c r="A50" s="6" t="n">
        <v>49</v>
      </c>
      <c r="B50" s="7" t="n">
        <v>46190</v>
      </c>
      <c r="C50" s="6" t="s">
        <v>213</v>
      </c>
      <c r="D50" s="6" t="s">
        <v>321</v>
      </c>
      <c r="E50" s="6" t="s">
        <v>215</v>
      </c>
      <c r="F50" s="6" t="s">
        <v>322</v>
      </c>
      <c r="G50" s="6"/>
      <c r="H50" s="6" t="s">
        <v>323</v>
      </c>
      <c r="I50" s="6" t="s">
        <v>223</v>
      </c>
      <c r="J50" s="6" t="s">
        <v>324</v>
      </c>
      <c r="K50" s="8" t="s">
        <v>68</v>
      </c>
      <c r="L50" s="6" t="s">
        <v>325</v>
      </c>
      <c r="M50" s="6" t="s">
        <v>59</v>
      </c>
      <c r="N50" s="6" t="n">
        <v>0</v>
      </c>
      <c r="O50" s="6" t="n">
        <v>0</v>
      </c>
      <c r="P50" s="9"/>
      <c r="Q50" s="11" t="s">
        <v>226</v>
      </c>
      <c r="R50" s="6" t="s">
        <v>227</v>
      </c>
      <c r="S50" s="6"/>
      <c r="T50" s="6" t="s">
        <v>326</v>
      </c>
    </row>
    <row r="51" customFormat="false" ht="79.85" hidden="false" customHeight="false" outlineLevel="0" collapsed="false">
      <c r="A51" s="6" t="n">
        <v>50</v>
      </c>
      <c r="B51" s="7" t="n">
        <v>46190</v>
      </c>
      <c r="C51" s="6" t="s">
        <v>213</v>
      </c>
      <c r="D51" s="6" t="s">
        <v>321</v>
      </c>
      <c r="E51" s="6" t="s">
        <v>215</v>
      </c>
      <c r="F51" s="6" t="s">
        <v>327</v>
      </c>
      <c r="G51" s="6"/>
      <c r="H51" s="6" t="s">
        <v>55</v>
      </c>
      <c r="I51" s="8" t="s">
        <v>56</v>
      </c>
      <c r="J51" s="6" t="s">
        <v>328</v>
      </c>
      <c r="K51" s="8" t="s">
        <v>68</v>
      </c>
      <c r="L51" s="6" t="s">
        <v>329</v>
      </c>
      <c r="M51" s="6" t="s">
        <v>59</v>
      </c>
      <c r="N51" s="6" t="n">
        <v>7</v>
      </c>
      <c r="O51" s="6" t="n">
        <v>4</v>
      </c>
      <c r="P51" s="9" t="n">
        <v>0.99</v>
      </c>
      <c r="Q51" s="8" t="s">
        <v>60</v>
      </c>
      <c r="R51" s="6" t="s">
        <v>227</v>
      </c>
      <c r="S51" s="6" t="s">
        <v>330</v>
      </c>
      <c r="T51" s="6" t="s">
        <v>326</v>
      </c>
    </row>
    <row r="52" customFormat="false" ht="15" hidden="false" customHeight="false" outlineLevel="0" collapsed="false">
      <c r="A52" s="6" t="n">
        <v>51</v>
      </c>
      <c r="B52" s="7" t="n">
        <v>46191</v>
      </c>
      <c r="C52" s="6" t="s">
        <v>51</v>
      </c>
      <c r="D52" s="6" t="s">
        <v>331</v>
      </c>
      <c r="E52" s="6" t="s">
        <v>53</v>
      </c>
      <c r="F52" s="6" t="s">
        <v>332</v>
      </c>
      <c r="G52" s="6" t="n">
        <v>50</v>
      </c>
      <c r="H52" s="6" t="s">
        <v>55</v>
      </c>
      <c r="I52" s="8" t="s">
        <v>56</v>
      </c>
      <c r="J52" s="6" t="s">
        <v>333</v>
      </c>
      <c r="K52" s="8" t="s">
        <v>58</v>
      </c>
      <c r="L52" s="6"/>
      <c r="M52" s="6" t="s">
        <v>84</v>
      </c>
      <c r="N52" s="6" t="n">
        <v>1</v>
      </c>
      <c r="O52" s="6" t="n">
        <v>1</v>
      </c>
      <c r="P52" s="9" t="n">
        <v>0.8</v>
      </c>
      <c r="Q52" s="8" t="s">
        <v>60</v>
      </c>
      <c r="R52" s="6" t="s">
        <v>227</v>
      </c>
      <c r="S52" s="6" t="s">
        <v>330</v>
      </c>
      <c r="T52" s="6" t="s">
        <v>326</v>
      </c>
    </row>
    <row r="53" customFormat="false" ht="23.85" hidden="false" customHeight="false" outlineLevel="0" collapsed="false">
      <c r="A53" s="6" t="n">
        <v>52</v>
      </c>
      <c r="B53" s="7" t="n">
        <v>46193</v>
      </c>
      <c r="C53" s="6" t="s">
        <v>155</v>
      </c>
      <c r="D53" s="6" t="s">
        <v>228</v>
      </c>
      <c r="E53" s="6" t="s">
        <v>229</v>
      </c>
      <c r="F53" s="6" t="s">
        <v>334</v>
      </c>
      <c r="G53" s="6"/>
      <c r="H53" s="6" t="s">
        <v>335</v>
      </c>
      <c r="I53" s="8" t="s">
        <v>56</v>
      </c>
      <c r="J53" s="6" t="s">
        <v>336</v>
      </c>
      <c r="K53" s="8" t="s">
        <v>68</v>
      </c>
      <c r="L53" s="6" t="s">
        <v>337</v>
      </c>
      <c r="M53" s="6" t="s">
        <v>70</v>
      </c>
      <c r="N53" s="6" t="n">
        <v>3</v>
      </c>
      <c r="O53" s="6" t="n">
        <v>2</v>
      </c>
      <c r="P53" s="9" t="n">
        <v>0.96</v>
      </c>
      <c r="Q53" s="8" t="s">
        <v>60</v>
      </c>
      <c r="R53" s="6" t="s">
        <v>227</v>
      </c>
      <c r="S53" s="6" t="s">
        <v>338</v>
      </c>
      <c r="T53" s="6" t="s">
        <v>247</v>
      </c>
    </row>
    <row r="54" customFormat="false" ht="23.85" hidden="false" customHeight="false" outlineLevel="0" collapsed="false">
      <c r="A54" s="6" t="n">
        <v>53</v>
      </c>
      <c r="B54" s="7" t="n">
        <v>46193</v>
      </c>
      <c r="C54" s="6" t="s">
        <v>53</v>
      </c>
      <c r="D54" s="6" t="s">
        <v>234</v>
      </c>
      <c r="E54" s="6" t="s">
        <v>79</v>
      </c>
      <c r="F54" s="6" t="s">
        <v>339</v>
      </c>
      <c r="G54" s="6" t="n">
        <v>52</v>
      </c>
      <c r="H54" s="6" t="s">
        <v>55</v>
      </c>
      <c r="I54" s="8" t="s">
        <v>56</v>
      </c>
      <c r="J54" s="6" t="s">
        <v>340</v>
      </c>
      <c r="K54" s="8" t="s">
        <v>58</v>
      </c>
      <c r="L54" s="6"/>
      <c r="M54" s="6" t="s">
        <v>84</v>
      </c>
      <c r="N54" s="6" t="n">
        <v>2</v>
      </c>
      <c r="O54" s="6" t="n">
        <v>2</v>
      </c>
      <c r="P54" s="9" t="n">
        <v>0.93</v>
      </c>
      <c r="Q54" s="8" t="s">
        <v>60</v>
      </c>
      <c r="R54" s="6" t="s">
        <v>227</v>
      </c>
      <c r="S54" s="6" t="s">
        <v>338</v>
      </c>
      <c r="T54" s="6" t="s">
        <v>247</v>
      </c>
    </row>
    <row r="55" customFormat="false" ht="35.05" hidden="false" customHeight="false" outlineLevel="0" collapsed="false">
      <c r="A55" s="6" t="n">
        <v>54</v>
      </c>
      <c r="B55" s="7" t="n">
        <v>46198</v>
      </c>
      <c r="C55" s="6" t="s">
        <v>53</v>
      </c>
      <c r="D55" s="6" t="s">
        <v>341</v>
      </c>
      <c r="E55" s="6" t="s">
        <v>267</v>
      </c>
      <c r="F55" s="6" t="s">
        <v>342</v>
      </c>
      <c r="G55" s="6"/>
      <c r="H55" s="6" t="s">
        <v>343</v>
      </c>
      <c r="I55" s="8" t="s">
        <v>56</v>
      </c>
      <c r="J55" s="6" t="s">
        <v>344</v>
      </c>
      <c r="K55" s="8" t="s">
        <v>58</v>
      </c>
      <c r="L55" s="6" t="s">
        <v>345</v>
      </c>
      <c r="M55" s="6" t="s">
        <v>84</v>
      </c>
      <c r="N55" s="6" t="n">
        <v>1</v>
      </c>
      <c r="O55" s="6" t="n">
        <v>1</v>
      </c>
      <c r="P55" s="9" t="n">
        <v>0.8</v>
      </c>
      <c r="Q55" s="8" t="s">
        <v>60</v>
      </c>
      <c r="R55" s="6" t="s">
        <v>227</v>
      </c>
      <c r="S55" s="6" t="s">
        <v>346</v>
      </c>
      <c r="T55" s="6" t="s">
        <v>180</v>
      </c>
    </row>
    <row r="56" customFormat="false" ht="46.25" hidden="false" customHeight="false" outlineLevel="0" collapsed="false">
      <c r="A56" s="6" t="n">
        <v>55</v>
      </c>
      <c r="B56" s="7" t="n">
        <v>46199</v>
      </c>
      <c r="C56" s="6" t="s">
        <v>51</v>
      </c>
      <c r="D56" s="6" t="s">
        <v>85</v>
      </c>
      <c r="E56" s="6" t="s">
        <v>53</v>
      </c>
      <c r="F56" s="6" t="s">
        <v>347</v>
      </c>
      <c r="G56" s="6" t="n">
        <v>54</v>
      </c>
      <c r="H56" s="6" t="s">
        <v>55</v>
      </c>
      <c r="I56" s="8" t="s">
        <v>56</v>
      </c>
      <c r="J56" s="6" t="s">
        <v>348</v>
      </c>
      <c r="K56" s="8" t="s">
        <v>58</v>
      </c>
      <c r="L56" s="6" t="s">
        <v>349</v>
      </c>
      <c r="M56" s="6" t="s">
        <v>70</v>
      </c>
      <c r="N56" s="6" t="n">
        <v>3</v>
      </c>
      <c r="O56" s="6" t="n">
        <v>3</v>
      </c>
      <c r="P56" s="9" t="n">
        <v>0.99</v>
      </c>
      <c r="Q56" s="8" t="s">
        <v>60</v>
      </c>
      <c r="R56" s="6" t="s">
        <v>227</v>
      </c>
      <c r="S56" s="6" t="s">
        <v>346</v>
      </c>
      <c r="T56" s="6" t="s">
        <v>168</v>
      </c>
    </row>
    <row r="57" customFormat="false" ht="46.25" hidden="false" customHeight="false" outlineLevel="0" collapsed="false">
      <c r="A57" s="6" t="n">
        <v>56</v>
      </c>
      <c r="B57" s="7" t="n">
        <v>46200</v>
      </c>
      <c r="C57" s="6" t="s">
        <v>53</v>
      </c>
      <c r="D57" s="6" t="s">
        <v>85</v>
      </c>
      <c r="E57" s="6" t="s">
        <v>108</v>
      </c>
      <c r="F57" s="6" t="s">
        <v>350</v>
      </c>
      <c r="G57" s="6" t="n">
        <v>55</v>
      </c>
      <c r="H57" s="6" t="s">
        <v>351</v>
      </c>
      <c r="I57" s="8" t="s">
        <v>56</v>
      </c>
      <c r="J57" s="6" t="s">
        <v>352</v>
      </c>
      <c r="K57" s="8" t="s">
        <v>68</v>
      </c>
      <c r="L57" s="6" t="s">
        <v>353</v>
      </c>
      <c r="M57" s="6" t="s">
        <v>70</v>
      </c>
      <c r="N57" s="6" t="n">
        <v>4</v>
      </c>
      <c r="O57" s="6" t="n">
        <v>3</v>
      </c>
      <c r="P57" s="9" t="n">
        <v>0.99</v>
      </c>
      <c r="Q57" s="8" t="s">
        <v>60</v>
      </c>
      <c r="R57" s="6" t="s">
        <v>227</v>
      </c>
      <c r="S57" s="6" t="s">
        <v>346</v>
      </c>
      <c r="T57" s="6" t="s">
        <v>258</v>
      </c>
    </row>
    <row r="58" customFormat="false" ht="35.05" hidden="false" customHeight="false" outlineLevel="0" collapsed="false">
      <c r="A58" s="6" t="n">
        <v>57</v>
      </c>
      <c r="B58" s="7" t="n">
        <v>46210</v>
      </c>
      <c r="C58" s="6" t="s">
        <v>53</v>
      </c>
      <c r="D58" s="6" t="s">
        <v>354</v>
      </c>
      <c r="E58" s="6" t="s">
        <v>267</v>
      </c>
      <c r="F58" s="6" t="s">
        <v>355</v>
      </c>
      <c r="G58" s="6"/>
      <c r="H58" s="6" t="s">
        <v>356</v>
      </c>
      <c r="I58" s="8" t="s">
        <v>56</v>
      </c>
      <c r="J58" s="6" t="s">
        <v>357</v>
      </c>
      <c r="K58" s="8" t="s">
        <v>68</v>
      </c>
      <c r="L58" s="6" t="s">
        <v>358</v>
      </c>
      <c r="M58" s="6" t="s">
        <v>84</v>
      </c>
      <c r="N58" s="6" t="n">
        <v>2</v>
      </c>
      <c r="O58" s="6" t="n">
        <v>2</v>
      </c>
      <c r="P58" s="9" t="n">
        <v>0.96</v>
      </c>
      <c r="Q58" s="8" t="s">
        <v>60</v>
      </c>
      <c r="R58" s="6" t="s">
        <v>227</v>
      </c>
      <c r="S58" s="6" t="s">
        <v>359</v>
      </c>
      <c r="T58" s="6" t="s">
        <v>360</v>
      </c>
    </row>
    <row r="59" customFormat="false" ht="23.85" hidden="false" customHeight="false" outlineLevel="0" collapsed="false">
      <c r="A59" s="6" t="n">
        <v>58</v>
      </c>
      <c r="B59" s="7" t="n">
        <v>46210</v>
      </c>
      <c r="C59" s="6" t="s">
        <v>51</v>
      </c>
      <c r="D59" s="6" t="s">
        <v>361</v>
      </c>
      <c r="E59" s="6" t="s">
        <v>53</v>
      </c>
      <c r="F59" s="6" t="s">
        <v>362</v>
      </c>
      <c r="G59" s="6" t="n">
        <v>57</v>
      </c>
      <c r="H59" s="6" t="s">
        <v>55</v>
      </c>
      <c r="I59" s="8" t="s">
        <v>56</v>
      </c>
      <c r="J59" s="6" t="s">
        <v>363</v>
      </c>
      <c r="K59" s="8" t="s">
        <v>58</v>
      </c>
      <c r="L59" s="6" t="s">
        <v>364</v>
      </c>
      <c r="M59" s="6" t="s">
        <v>365</v>
      </c>
      <c r="N59" s="6" t="n">
        <v>1</v>
      </c>
      <c r="O59" s="6" t="n">
        <v>1</v>
      </c>
      <c r="P59" s="9" t="n">
        <v>0.8</v>
      </c>
      <c r="Q59" s="8" t="s">
        <v>60</v>
      </c>
      <c r="R59" s="6" t="s">
        <v>227</v>
      </c>
      <c r="S59" s="6" t="s">
        <v>359</v>
      </c>
      <c r="T59" s="6" t="s">
        <v>360</v>
      </c>
    </row>
    <row r="60" customFormat="false" ht="35.05" hidden="false" customHeight="false" outlineLevel="0" collapsed="false">
      <c r="A60" s="6" t="n">
        <v>59</v>
      </c>
      <c r="B60" s="7" t="n">
        <v>46210</v>
      </c>
      <c r="C60" s="6" t="s">
        <v>51</v>
      </c>
      <c r="D60" s="6" t="s">
        <v>366</v>
      </c>
      <c r="E60" s="6" t="s">
        <v>215</v>
      </c>
      <c r="F60" s="6" t="s">
        <v>367</v>
      </c>
      <c r="G60" s="6" t="n">
        <v>57</v>
      </c>
      <c r="H60" s="6" t="s">
        <v>55</v>
      </c>
      <c r="I60" s="8" t="s">
        <v>56</v>
      </c>
      <c r="J60" s="6" t="s">
        <v>368</v>
      </c>
      <c r="K60" s="8" t="s">
        <v>58</v>
      </c>
      <c r="L60" s="6" t="s">
        <v>369</v>
      </c>
      <c r="M60" s="6" t="s">
        <v>59</v>
      </c>
      <c r="N60" s="6" t="n">
        <v>1</v>
      </c>
      <c r="O60" s="6" t="n">
        <v>1</v>
      </c>
      <c r="P60" s="9" t="n">
        <v>0.8</v>
      </c>
      <c r="Q60" s="8" t="s">
        <v>60</v>
      </c>
      <c r="R60" s="6" t="s">
        <v>227</v>
      </c>
      <c r="S60" s="6" t="s">
        <v>359</v>
      </c>
      <c r="T60" s="6" t="s">
        <v>360</v>
      </c>
    </row>
    <row r="61" customFormat="false" ht="46.25" hidden="false" customHeight="false" outlineLevel="0" collapsed="false">
      <c r="A61" s="6" t="n">
        <v>60</v>
      </c>
      <c r="B61" s="7" t="n">
        <v>46211</v>
      </c>
      <c r="C61" s="6" t="s">
        <v>51</v>
      </c>
      <c r="D61" s="6" t="s">
        <v>370</v>
      </c>
      <c r="E61" s="6" t="s">
        <v>53</v>
      </c>
      <c r="F61" s="6" t="s">
        <v>371</v>
      </c>
      <c r="G61" s="6" t="n">
        <v>59</v>
      </c>
      <c r="H61" s="6" t="s">
        <v>55</v>
      </c>
      <c r="I61" s="8" t="s">
        <v>56</v>
      </c>
      <c r="J61" s="6" t="s">
        <v>372</v>
      </c>
      <c r="K61" s="8" t="s">
        <v>68</v>
      </c>
      <c r="L61" s="6" t="s">
        <v>373</v>
      </c>
      <c r="M61" s="6" t="s">
        <v>70</v>
      </c>
      <c r="N61" s="6" t="n">
        <v>2</v>
      </c>
      <c r="O61" s="6" t="n">
        <v>2</v>
      </c>
      <c r="P61" s="9" t="n">
        <v>0.96</v>
      </c>
      <c r="Q61" s="8" t="s">
        <v>60</v>
      </c>
      <c r="R61" s="6" t="s">
        <v>71</v>
      </c>
      <c r="S61" s="6" t="s">
        <v>359</v>
      </c>
      <c r="T61" s="6" t="s">
        <v>175</v>
      </c>
    </row>
    <row r="62" customFormat="false" ht="35.05" hidden="false" customHeight="false" outlineLevel="0" collapsed="false">
      <c r="A62" s="6" t="n">
        <v>61</v>
      </c>
      <c r="B62" s="7" t="n">
        <v>46212</v>
      </c>
      <c r="C62" s="6" t="s">
        <v>53</v>
      </c>
      <c r="D62" s="6" t="s">
        <v>85</v>
      </c>
      <c r="E62" s="6" t="s">
        <v>316</v>
      </c>
      <c r="F62" s="6" t="s">
        <v>374</v>
      </c>
      <c r="G62" s="6" t="n">
        <v>60</v>
      </c>
      <c r="H62" s="6" t="s">
        <v>375</v>
      </c>
      <c r="I62" s="8" t="s">
        <v>56</v>
      </c>
      <c r="J62" s="6" t="s">
        <v>376</v>
      </c>
      <c r="K62" s="8" t="s">
        <v>58</v>
      </c>
      <c r="L62" s="6" t="s">
        <v>377</v>
      </c>
      <c r="M62" s="6" t="s">
        <v>70</v>
      </c>
      <c r="N62" s="6" t="n">
        <v>2</v>
      </c>
      <c r="O62" s="6" t="n">
        <v>2</v>
      </c>
      <c r="P62" s="9" t="n">
        <v>0.96</v>
      </c>
      <c r="Q62" s="8" t="s">
        <v>60</v>
      </c>
      <c r="R62" s="6" t="s">
        <v>71</v>
      </c>
      <c r="S62" s="6" t="s">
        <v>359</v>
      </c>
      <c r="T62" s="6" t="s">
        <v>180</v>
      </c>
    </row>
    <row r="63" customFormat="false" ht="23.85" hidden="false" customHeight="false" outlineLevel="0" collapsed="false">
      <c r="A63" s="6" t="n">
        <v>62</v>
      </c>
      <c r="B63" s="7" t="n">
        <v>46215</v>
      </c>
      <c r="C63" s="6" t="s">
        <v>53</v>
      </c>
      <c r="D63" s="6" t="s">
        <v>378</v>
      </c>
      <c r="E63" s="6" t="s">
        <v>379</v>
      </c>
      <c r="F63" s="6" t="s">
        <v>380</v>
      </c>
      <c r="G63" s="6" t="n">
        <v>60</v>
      </c>
      <c r="H63" s="6" t="s">
        <v>381</v>
      </c>
      <c r="I63" s="8" t="s">
        <v>56</v>
      </c>
      <c r="J63" s="6" t="s">
        <v>382</v>
      </c>
      <c r="K63" s="8" t="s">
        <v>58</v>
      </c>
      <c r="L63" s="6"/>
      <c r="M63" s="6" t="s">
        <v>70</v>
      </c>
      <c r="N63" s="6" t="n">
        <v>1</v>
      </c>
      <c r="O63" s="6" t="n">
        <v>1</v>
      </c>
      <c r="P63" s="9" t="n">
        <v>0.8</v>
      </c>
      <c r="Q63" s="8" t="s">
        <v>60</v>
      </c>
      <c r="R63" s="6" t="s">
        <v>71</v>
      </c>
      <c r="S63" s="6" t="s">
        <v>359</v>
      </c>
      <c r="T63" s="6" t="s">
        <v>360</v>
      </c>
    </row>
    <row r="64" customFormat="false" ht="15" hidden="false" customHeight="false" outlineLevel="0" collapsed="false">
      <c r="A64" s="6" t="n">
        <v>63</v>
      </c>
      <c r="B64" s="7" t="n">
        <v>46215</v>
      </c>
      <c r="C64" s="6" t="s">
        <v>53</v>
      </c>
      <c r="D64" s="6" t="s">
        <v>234</v>
      </c>
      <c r="E64" s="6" t="s">
        <v>79</v>
      </c>
      <c r="F64" s="6" t="s">
        <v>383</v>
      </c>
      <c r="G64" s="6" t="n">
        <v>62</v>
      </c>
      <c r="H64" s="6" t="s">
        <v>55</v>
      </c>
      <c r="I64" s="8" t="s">
        <v>56</v>
      </c>
      <c r="J64" s="6" t="s">
        <v>382</v>
      </c>
      <c r="K64" s="8" t="s">
        <v>58</v>
      </c>
      <c r="L64" s="6"/>
      <c r="M64" s="6" t="s">
        <v>84</v>
      </c>
      <c r="N64" s="6" t="n">
        <v>1</v>
      </c>
      <c r="O64" s="6" t="n">
        <v>1</v>
      </c>
      <c r="P64" s="9" t="n">
        <v>0.8</v>
      </c>
      <c r="Q64" s="8" t="s">
        <v>60</v>
      </c>
      <c r="R64" s="6" t="s">
        <v>71</v>
      </c>
      <c r="S64" s="6" t="s">
        <v>359</v>
      </c>
      <c r="T64" s="6" t="s">
        <v>360</v>
      </c>
    </row>
    <row r="65" customFormat="false" ht="23.85" hidden="false" customHeight="false" outlineLevel="0" collapsed="false">
      <c r="A65" s="6" t="n">
        <v>64</v>
      </c>
      <c r="B65" s="7" t="n">
        <v>46217</v>
      </c>
      <c r="C65" s="6" t="s">
        <v>53</v>
      </c>
      <c r="D65" s="6" t="s">
        <v>85</v>
      </c>
      <c r="E65" s="6" t="s">
        <v>384</v>
      </c>
      <c r="F65" s="6" t="s">
        <v>385</v>
      </c>
      <c r="G65" s="6"/>
      <c r="H65" s="6" t="s">
        <v>386</v>
      </c>
      <c r="I65" s="11" t="s">
        <v>184</v>
      </c>
      <c r="J65" s="6" t="s">
        <v>387</v>
      </c>
      <c r="K65" s="10" t="s">
        <v>91</v>
      </c>
      <c r="L65" s="6" t="s">
        <v>388</v>
      </c>
      <c r="M65" s="6" t="s">
        <v>70</v>
      </c>
      <c r="N65" s="6" t="n">
        <v>1</v>
      </c>
      <c r="O65" s="6" t="n">
        <v>0</v>
      </c>
      <c r="P65" s="9" t="n">
        <v>0</v>
      </c>
      <c r="Q65" s="11" t="s">
        <v>188</v>
      </c>
      <c r="R65" s="6" t="s">
        <v>71</v>
      </c>
      <c r="S65" s="6"/>
      <c r="T65" s="6" t="s">
        <v>180</v>
      </c>
    </row>
    <row r="66" customFormat="false" ht="35.05" hidden="false" customHeight="false" outlineLevel="0" collapsed="false">
      <c r="A66" s="6" t="n">
        <v>65</v>
      </c>
      <c r="B66" s="7" t="n">
        <v>46220</v>
      </c>
      <c r="C66" s="6" t="s">
        <v>53</v>
      </c>
      <c r="D66" s="6" t="s">
        <v>85</v>
      </c>
      <c r="E66" s="6" t="s">
        <v>316</v>
      </c>
      <c r="F66" s="6" t="s">
        <v>389</v>
      </c>
      <c r="G66" s="6"/>
      <c r="H66" s="6" t="s">
        <v>390</v>
      </c>
      <c r="I66" s="8" t="s">
        <v>56</v>
      </c>
      <c r="J66" s="6" t="s">
        <v>391</v>
      </c>
      <c r="K66" s="8" t="s">
        <v>68</v>
      </c>
      <c r="L66" s="6" t="s">
        <v>392</v>
      </c>
      <c r="M66" s="6" t="s">
        <v>70</v>
      </c>
      <c r="N66" s="6" t="n">
        <v>3</v>
      </c>
      <c r="O66" s="6" t="n">
        <v>3</v>
      </c>
      <c r="P66" s="9" t="n">
        <v>0.99</v>
      </c>
      <c r="Q66" s="8" t="s">
        <v>60</v>
      </c>
      <c r="R66" s="6" t="s">
        <v>71</v>
      </c>
      <c r="S66" s="6"/>
      <c r="T66" s="6" t="s">
        <v>180</v>
      </c>
    </row>
    <row r="67" customFormat="false" ht="35.05" hidden="false" customHeight="false" outlineLevel="0" collapsed="false">
      <c r="A67" s="6" t="n">
        <v>66</v>
      </c>
      <c r="B67" s="7" t="n">
        <v>46222</v>
      </c>
      <c r="C67" s="6" t="s">
        <v>53</v>
      </c>
      <c r="D67" s="6" t="s">
        <v>85</v>
      </c>
      <c r="E67" s="6" t="s">
        <v>316</v>
      </c>
      <c r="F67" s="6" t="s">
        <v>393</v>
      </c>
      <c r="G67" s="6"/>
      <c r="H67" s="6" t="s">
        <v>394</v>
      </c>
      <c r="I67" s="10" t="s">
        <v>89</v>
      </c>
      <c r="J67" s="6" t="s">
        <v>395</v>
      </c>
      <c r="K67" s="10" t="s">
        <v>91</v>
      </c>
      <c r="L67" s="6" t="s">
        <v>396</v>
      </c>
      <c r="M67" s="6" t="s">
        <v>70</v>
      </c>
      <c r="N67" s="6" t="n">
        <v>3</v>
      </c>
      <c r="O67" s="6" t="n">
        <v>2</v>
      </c>
      <c r="P67" s="9" t="n">
        <v>0.77</v>
      </c>
      <c r="Q67" s="8" t="s">
        <v>60</v>
      </c>
      <c r="R67" s="6" t="s">
        <v>71</v>
      </c>
      <c r="S67" s="6"/>
      <c r="T67" s="6" t="s">
        <v>201</v>
      </c>
    </row>
    <row r="68" customFormat="false" ht="35.05" hidden="false" customHeight="false" outlineLevel="0" collapsed="false">
      <c r="A68" s="6" t="n">
        <v>67</v>
      </c>
      <c r="B68" s="7" t="n">
        <v>46223</v>
      </c>
      <c r="C68" s="6" t="s">
        <v>53</v>
      </c>
      <c r="D68" s="6" t="s">
        <v>85</v>
      </c>
      <c r="E68" s="6" t="s">
        <v>316</v>
      </c>
      <c r="F68" s="6" t="s">
        <v>397</v>
      </c>
      <c r="G68" s="6"/>
      <c r="H68" s="6" t="s">
        <v>398</v>
      </c>
      <c r="I68" s="11" t="s">
        <v>184</v>
      </c>
      <c r="J68" s="6" t="s">
        <v>399</v>
      </c>
      <c r="K68" s="11" t="s">
        <v>186</v>
      </c>
      <c r="L68" s="6" t="s">
        <v>400</v>
      </c>
      <c r="M68" s="6" t="s">
        <v>70</v>
      </c>
      <c r="N68" s="6" t="n">
        <v>0</v>
      </c>
      <c r="O68" s="6" t="n">
        <v>0</v>
      </c>
      <c r="P68" s="9" t="n">
        <v>0</v>
      </c>
      <c r="Q68" s="11" t="s">
        <v>188</v>
      </c>
      <c r="R68" s="6" t="s">
        <v>71</v>
      </c>
      <c r="S68" s="6"/>
      <c r="T68" s="6" t="s">
        <v>326</v>
      </c>
    </row>
    <row r="69" customFormat="false" ht="35.05" hidden="false" customHeight="false" outlineLevel="0" collapsed="false">
      <c r="A69" s="6" t="n">
        <v>68</v>
      </c>
      <c r="B69" s="7" t="n">
        <v>46253</v>
      </c>
      <c r="C69" s="6" t="s">
        <v>401</v>
      </c>
      <c r="D69" s="6" t="s">
        <v>402</v>
      </c>
      <c r="E69" s="6" t="s">
        <v>215</v>
      </c>
      <c r="F69" s="6" t="s">
        <v>403</v>
      </c>
      <c r="G69" s="6"/>
      <c r="H69" s="6" t="s">
        <v>404</v>
      </c>
      <c r="I69" s="8" t="s">
        <v>56</v>
      </c>
      <c r="J69" s="6" t="s">
        <v>405</v>
      </c>
      <c r="K69" s="8" t="s">
        <v>58</v>
      </c>
      <c r="L69" s="6" t="s">
        <v>406</v>
      </c>
      <c r="M69" s="6" t="s">
        <v>407</v>
      </c>
      <c r="N69" s="6" t="n">
        <v>1</v>
      </c>
      <c r="O69" s="6" t="n">
        <v>1</v>
      </c>
      <c r="P69" s="9" t="n">
        <v>0.8</v>
      </c>
      <c r="Q69" s="8" t="s">
        <v>60</v>
      </c>
      <c r="R69" s="6" t="s">
        <v>408</v>
      </c>
      <c r="S69" s="6"/>
      <c r="T69" s="6" t="s">
        <v>62</v>
      </c>
    </row>
    <row r="70" customFormat="false" ht="35.05" hidden="false" customHeight="false" outlineLevel="0" collapsed="false">
      <c r="A70" s="6" t="n">
        <v>69</v>
      </c>
      <c r="B70" s="7" t="n">
        <v>46259</v>
      </c>
      <c r="C70" s="6" t="s">
        <v>51</v>
      </c>
      <c r="D70" s="6" t="s">
        <v>409</v>
      </c>
      <c r="E70" s="6" t="s">
        <v>79</v>
      </c>
      <c r="F70" s="6" t="s">
        <v>410</v>
      </c>
      <c r="G70" s="6"/>
      <c r="H70" s="6" t="s">
        <v>55</v>
      </c>
      <c r="I70" s="8" t="s">
        <v>56</v>
      </c>
      <c r="J70" s="6" t="s">
        <v>411</v>
      </c>
      <c r="K70" s="8" t="s">
        <v>68</v>
      </c>
      <c r="L70" s="6" t="s">
        <v>412</v>
      </c>
      <c r="M70" s="6" t="s">
        <v>84</v>
      </c>
      <c r="N70" s="6" t="n">
        <v>1</v>
      </c>
      <c r="O70" s="6" t="n">
        <v>1</v>
      </c>
      <c r="P70" s="9" t="n">
        <v>0.8</v>
      </c>
      <c r="Q70" s="8" t="s">
        <v>60</v>
      </c>
      <c r="R70" s="6" t="s">
        <v>408</v>
      </c>
      <c r="S70" s="6"/>
      <c r="T70" s="6" t="s">
        <v>62</v>
      </c>
    </row>
    <row r="71" customFormat="false" ht="35.05" hidden="false" customHeight="false" outlineLevel="0" collapsed="false">
      <c r="A71" s="6" t="n">
        <v>70</v>
      </c>
      <c r="B71" s="7" t="n">
        <v>46264</v>
      </c>
      <c r="C71" s="6" t="s">
        <v>51</v>
      </c>
      <c r="D71" s="6" t="s">
        <v>73</v>
      </c>
      <c r="E71" s="6" t="s">
        <v>53</v>
      </c>
      <c r="F71" s="6" t="s">
        <v>413</v>
      </c>
      <c r="G71" s="6"/>
      <c r="H71" s="6" t="s">
        <v>414</v>
      </c>
      <c r="I71" s="8" t="s">
        <v>56</v>
      </c>
      <c r="J71" s="6" t="s">
        <v>415</v>
      </c>
      <c r="K71" s="8" t="s">
        <v>68</v>
      </c>
      <c r="L71" s="6" t="s">
        <v>416</v>
      </c>
      <c r="M71" s="6" t="s">
        <v>70</v>
      </c>
      <c r="N71" s="6" t="n">
        <v>1</v>
      </c>
      <c r="O71" s="6" t="n">
        <v>1</v>
      </c>
      <c r="P71" s="9" t="n">
        <v>0.8</v>
      </c>
      <c r="Q71" s="8" t="s">
        <v>60</v>
      </c>
      <c r="R71" s="6" t="s">
        <v>408</v>
      </c>
      <c r="S71" s="6" t="s">
        <v>417</v>
      </c>
      <c r="T71" s="6" t="s">
        <v>147</v>
      </c>
    </row>
    <row r="72" customFormat="false" ht="23.85" hidden="false" customHeight="false" outlineLevel="0" collapsed="false">
      <c r="A72" s="6" t="n">
        <v>71</v>
      </c>
      <c r="B72" s="7" t="n">
        <v>46265</v>
      </c>
      <c r="C72" s="6" t="s">
        <v>53</v>
      </c>
      <c r="D72" s="6" t="s">
        <v>85</v>
      </c>
      <c r="E72" s="6" t="s">
        <v>316</v>
      </c>
      <c r="F72" s="6" t="s">
        <v>418</v>
      </c>
      <c r="G72" s="6" t="n">
        <v>70</v>
      </c>
      <c r="H72" s="6" t="s">
        <v>419</v>
      </c>
      <c r="I72" s="8" t="s">
        <v>56</v>
      </c>
      <c r="J72" s="6" t="s">
        <v>420</v>
      </c>
      <c r="K72" s="8" t="s">
        <v>58</v>
      </c>
      <c r="L72" s="6"/>
      <c r="M72" s="6" t="s">
        <v>70</v>
      </c>
      <c r="N72" s="6" t="n">
        <v>2</v>
      </c>
      <c r="O72" s="6" t="n">
        <v>2</v>
      </c>
      <c r="P72" s="9" t="n">
        <v>0.96</v>
      </c>
      <c r="Q72" s="8" t="s">
        <v>60</v>
      </c>
      <c r="R72" s="6" t="s">
        <v>408</v>
      </c>
      <c r="S72" s="6" t="s">
        <v>417</v>
      </c>
      <c r="T72" s="6" t="s">
        <v>360</v>
      </c>
    </row>
    <row r="73" customFormat="false" ht="46.25" hidden="false" customHeight="false" outlineLevel="0" collapsed="false">
      <c r="A73" s="6" t="n">
        <v>72</v>
      </c>
      <c r="B73" s="7" t="n">
        <v>46265</v>
      </c>
      <c r="C73" s="6" t="s">
        <v>421</v>
      </c>
      <c r="D73" s="6" t="s">
        <v>422</v>
      </c>
      <c r="E73" s="6" t="s">
        <v>79</v>
      </c>
      <c r="F73" s="6" t="s">
        <v>423</v>
      </c>
      <c r="G73" s="6"/>
      <c r="H73" s="6" t="s">
        <v>424</v>
      </c>
      <c r="I73" s="8" t="s">
        <v>56</v>
      </c>
      <c r="J73" s="6" t="s">
        <v>425</v>
      </c>
      <c r="K73" s="8" t="s">
        <v>68</v>
      </c>
      <c r="L73" s="6" t="s">
        <v>426</v>
      </c>
      <c r="M73" s="6" t="s">
        <v>84</v>
      </c>
      <c r="N73" s="6" t="n">
        <v>3</v>
      </c>
      <c r="O73" s="6" t="n">
        <v>3</v>
      </c>
      <c r="P73" s="9" t="n">
        <v>0.99</v>
      </c>
      <c r="Q73" s="8" t="s">
        <v>60</v>
      </c>
      <c r="R73" s="6" t="s">
        <v>408</v>
      </c>
      <c r="S73" s="6"/>
      <c r="T73" s="6" t="s">
        <v>360</v>
      </c>
    </row>
    <row r="74" customFormat="false" ht="23.85" hidden="false" customHeight="false" outlineLevel="0" collapsed="false">
      <c r="A74" s="6" t="n">
        <v>73</v>
      </c>
      <c r="B74" s="7" t="n">
        <v>46266</v>
      </c>
      <c r="C74" s="6" t="s">
        <v>51</v>
      </c>
      <c r="D74" s="6" t="s">
        <v>73</v>
      </c>
      <c r="E74" s="6" t="s">
        <v>53</v>
      </c>
      <c r="F74" s="6" t="s">
        <v>427</v>
      </c>
      <c r="G74" s="6" t="n">
        <v>71</v>
      </c>
      <c r="H74" s="6" t="s">
        <v>428</v>
      </c>
      <c r="I74" s="8" t="s">
        <v>56</v>
      </c>
      <c r="J74" s="6" t="s">
        <v>429</v>
      </c>
      <c r="K74" s="8" t="s">
        <v>58</v>
      </c>
      <c r="L74" s="6"/>
      <c r="M74" s="6" t="s">
        <v>70</v>
      </c>
      <c r="N74" s="6" t="n">
        <v>3</v>
      </c>
      <c r="O74" s="6" t="n">
        <v>3</v>
      </c>
      <c r="P74" s="9" t="n">
        <v>0.99</v>
      </c>
      <c r="Q74" s="8" t="s">
        <v>60</v>
      </c>
      <c r="R74" s="6" t="s">
        <v>408</v>
      </c>
      <c r="S74" s="6" t="s">
        <v>417</v>
      </c>
      <c r="T74" s="6" t="s">
        <v>192</v>
      </c>
    </row>
    <row r="75" customFormat="false" ht="23.85" hidden="false" customHeight="false" outlineLevel="0" collapsed="false">
      <c r="A75" s="6" t="n">
        <v>74</v>
      </c>
      <c r="B75" s="7" t="n">
        <v>46266</v>
      </c>
      <c r="C75" s="6" t="s">
        <v>51</v>
      </c>
      <c r="D75" s="6" t="s">
        <v>430</v>
      </c>
      <c r="E75" s="6" t="s">
        <v>53</v>
      </c>
      <c r="F75" s="6" t="s">
        <v>431</v>
      </c>
      <c r="G75" s="6" t="n">
        <v>73</v>
      </c>
      <c r="H75" s="6" t="s">
        <v>432</v>
      </c>
      <c r="I75" s="8" t="s">
        <v>56</v>
      </c>
      <c r="J75" s="6" t="s">
        <v>433</v>
      </c>
      <c r="K75" s="8" t="s">
        <v>58</v>
      </c>
      <c r="L75" s="6"/>
      <c r="M75" s="6" t="s">
        <v>70</v>
      </c>
      <c r="N75" s="6" t="n">
        <v>3</v>
      </c>
      <c r="O75" s="6" t="n">
        <v>3</v>
      </c>
      <c r="P75" s="9" t="n">
        <v>0.99</v>
      </c>
      <c r="Q75" s="8" t="s">
        <v>60</v>
      </c>
      <c r="R75" s="6" t="s">
        <v>408</v>
      </c>
      <c r="S75" s="6" t="s">
        <v>417</v>
      </c>
      <c r="T75" s="6" t="s">
        <v>192</v>
      </c>
    </row>
    <row r="76" customFormat="false" ht="46.25" hidden="false" customHeight="false" outlineLevel="0" collapsed="false">
      <c r="A76" s="6" t="n">
        <v>75</v>
      </c>
      <c r="B76" s="7" t="n">
        <v>46266</v>
      </c>
      <c r="C76" s="6" t="s">
        <v>53</v>
      </c>
      <c r="D76" s="6" t="s">
        <v>85</v>
      </c>
      <c r="E76" s="6" t="s">
        <v>316</v>
      </c>
      <c r="F76" s="6" t="s">
        <v>434</v>
      </c>
      <c r="G76" s="6" t="n">
        <v>74</v>
      </c>
      <c r="H76" s="6" t="s">
        <v>435</v>
      </c>
      <c r="I76" s="8" t="s">
        <v>56</v>
      </c>
      <c r="J76" s="6" t="s">
        <v>436</v>
      </c>
      <c r="K76" s="8" t="s">
        <v>68</v>
      </c>
      <c r="L76" s="6" t="s">
        <v>437</v>
      </c>
      <c r="M76" s="6" t="s">
        <v>70</v>
      </c>
      <c r="N76" s="6" t="n">
        <v>6</v>
      </c>
      <c r="O76" s="6" t="n">
        <v>2</v>
      </c>
      <c r="P76" s="9" t="n">
        <v>0.96</v>
      </c>
      <c r="Q76" s="8" t="s">
        <v>60</v>
      </c>
      <c r="R76" s="6" t="s">
        <v>408</v>
      </c>
      <c r="S76" s="6" t="s">
        <v>417</v>
      </c>
      <c r="T76" s="6" t="s">
        <v>192</v>
      </c>
    </row>
    <row r="77" customFormat="false" ht="57.45" hidden="false" customHeight="false" outlineLevel="0" collapsed="false">
      <c r="A77" s="6" t="n">
        <v>76</v>
      </c>
      <c r="B77" s="7" t="n">
        <v>46267</v>
      </c>
      <c r="C77" s="6" t="s">
        <v>53</v>
      </c>
      <c r="D77" s="6" t="s">
        <v>438</v>
      </c>
      <c r="E77" s="6" t="s">
        <v>316</v>
      </c>
      <c r="F77" s="6" t="s">
        <v>439</v>
      </c>
      <c r="G77" s="6" t="n">
        <v>75</v>
      </c>
      <c r="H77" s="6" t="s">
        <v>55</v>
      </c>
      <c r="I77" s="6" t="s">
        <v>223</v>
      </c>
      <c r="J77" s="6" t="s">
        <v>436</v>
      </c>
      <c r="K77" s="11" t="s">
        <v>186</v>
      </c>
      <c r="L77" s="6" t="s">
        <v>440</v>
      </c>
      <c r="M77" s="6" t="s">
        <v>70</v>
      </c>
      <c r="N77" s="6" t="n">
        <v>0</v>
      </c>
      <c r="O77" s="6" t="n">
        <v>0</v>
      </c>
      <c r="P77" s="9"/>
      <c r="Q77" s="11" t="s">
        <v>226</v>
      </c>
      <c r="R77" s="6" t="s">
        <v>408</v>
      </c>
      <c r="S77" s="6"/>
      <c r="T77" s="6" t="s">
        <v>441</v>
      </c>
    </row>
    <row r="78" customFormat="false" ht="23.85" hidden="false" customHeight="false" outlineLevel="0" collapsed="false">
      <c r="A78" s="6" t="n">
        <v>77</v>
      </c>
      <c r="B78" s="7" t="n">
        <v>46270</v>
      </c>
      <c r="C78" s="6" t="s">
        <v>51</v>
      </c>
      <c r="D78" s="6" t="s">
        <v>73</v>
      </c>
      <c r="E78" s="6" t="s">
        <v>260</v>
      </c>
      <c r="F78" s="6" t="s">
        <v>442</v>
      </c>
      <c r="G78" s="6"/>
      <c r="H78" s="6" t="s">
        <v>443</v>
      </c>
      <c r="I78" s="8" t="s">
        <v>56</v>
      </c>
      <c r="J78" s="6" t="s">
        <v>444</v>
      </c>
      <c r="K78" s="8" t="s">
        <v>58</v>
      </c>
      <c r="L78" s="6"/>
      <c r="M78" s="6" t="s">
        <v>70</v>
      </c>
      <c r="N78" s="6" t="n">
        <v>1</v>
      </c>
      <c r="O78" s="6" t="n">
        <v>1</v>
      </c>
      <c r="P78" s="9" t="n">
        <v>0.8</v>
      </c>
      <c r="Q78" s="8" t="s">
        <v>60</v>
      </c>
      <c r="R78" s="6" t="s">
        <v>408</v>
      </c>
      <c r="S78" s="6"/>
      <c r="T78" s="6" t="s">
        <v>441</v>
      </c>
    </row>
    <row r="79" customFormat="false" ht="35.05" hidden="false" customHeight="false" outlineLevel="0" collapsed="false">
      <c r="A79" s="6" t="n">
        <v>78</v>
      </c>
      <c r="B79" s="7" t="n">
        <v>46273</v>
      </c>
      <c r="C79" s="6" t="s">
        <v>53</v>
      </c>
      <c r="D79" s="6" t="s">
        <v>73</v>
      </c>
      <c r="E79" s="6" t="s">
        <v>283</v>
      </c>
      <c r="F79" s="6" t="s">
        <v>445</v>
      </c>
      <c r="G79" s="6"/>
      <c r="H79" s="6" t="s">
        <v>446</v>
      </c>
      <c r="I79" s="8" t="s">
        <v>56</v>
      </c>
      <c r="J79" s="6" t="s">
        <v>447</v>
      </c>
      <c r="K79" s="8" t="s">
        <v>58</v>
      </c>
      <c r="L79" s="6" t="s">
        <v>448</v>
      </c>
      <c r="M79" s="6" t="s">
        <v>70</v>
      </c>
      <c r="N79" s="6" t="n">
        <v>3</v>
      </c>
      <c r="O79" s="6" t="n">
        <v>3</v>
      </c>
      <c r="P79" s="9" t="n">
        <v>0.99</v>
      </c>
      <c r="Q79" s="8" t="s">
        <v>60</v>
      </c>
      <c r="R79" s="6" t="s">
        <v>408</v>
      </c>
      <c r="S79" s="6" t="s">
        <v>449</v>
      </c>
      <c r="T79" s="6" t="s">
        <v>450</v>
      </c>
    </row>
    <row r="80" customFormat="false" ht="35.05" hidden="false" customHeight="false" outlineLevel="0" collapsed="false">
      <c r="A80" s="6" t="n">
        <v>79</v>
      </c>
      <c r="B80" s="7" t="n">
        <v>46273</v>
      </c>
      <c r="C80" s="6" t="s">
        <v>51</v>
      </c>
      <c r="D80" s="6" t="s">
        <v>85</v>
      </c>
      <c r="E80" s="6" t="s">
        <v>260</v>
      </c>
      <c r="F80" s="6" t="s">
        <v>451</v>
      </c>
      <c r="G80" s="6" t="n">
        <v>78</v>
      </c>
      <c r="H80" s="6" t="s">
        <v>452</v>
      </c>
      <c r="I80" s="8" t="s">
        <v>56</v>
      </c>
      <c r="J80" s="6" t="s">
        <v>453</v>
      </c>
      <c r="K80" s="8" t="s">
        <v>68</v>
      </c>
      <c r="L80" s="6" t="s">
        <v>454</v>
      </c>
      <c r="M80" s="6" t="s">
        <v>70</v>
      </c>
      <c r="N80" s="6" t="n">
        <v>4</v>
      </c>
      <c r="O80" s="6" t="n">
        <v>4</v>
      </c>
      <c r="P80" s="9" t="n">
        <v>0.99</v>
      </c>
      <c r="Q80" s="8" t="s">
        <v>60</v>
      </c>
      <c r="R80" s="6" t="s">
        <v>408</v>
      </c>
      <c r="S80" s="6" t="s">
        <v>449</v>
      </c>
      <c r="T80" s="6" t="s">
        <v>450</v>
      </c>
    </row>
    <row r="81" customFormat="false" ht="68.65" hidden="false" customHeight="false" outlineLevel="0" collapsed="false">
      <c r="A81" s="6" t="n">
        <v>80</v>
      </c>
      <c r="B81" s="7" t="n">
        <v>46274</v>
      </c>
      <c r="C81" s="6" t="s">
        <v>53</v>
      </c>
      <c r="D81" s="6" t="s">
        <v>85</v>
      </c>
      <c r="E81" s="6" t="s">
        <v>316</v>
      </c>
      <c r="F81" s="6" t="s">
        <v>455</v>
      </c>
      <c r="G81" s="6" t="n">
        <v>79</v>
      </c>
      <c r="H81" s="6" t="s">
        <v>456</v>
      </c>
      <c r="I81" s="8" t="s">
        <v>56</v>
      </c>
      <c r="J81" s="6" t="s">
        <v>457</v>
      </c>
      <c r="K81" s="8" t="s">
        <v>68</v>
      </c>
      <c r="L81" s="6" t="s">
        <v>458</v>
      </c>
      <c r="M81" s="6" t="s">
        <v>70</v>
      </c>
      <c r="N81" s="6" t="n">
        <v>5</v>
      </c>
      <c r="O81" s="6" t="n">
        <v>4</v>
      </c>
      <c r="P81" s="9" t="n">
        <v>0.99</v>
      </c>
      <c r="Q81" s="8" t="s">
        <v>60</v>
      </c>
      <c r="R81" s="6" t="s">
        <v>408</v>
      </c>
      <c r="S81" s="6" t="s">
        <v>449</v>
      </c>
      <c r="T81" s="6" t="s">
        <v>121</v>
      </c>
    </row>
    <row r="82" customFormat="false" ht="23.85" hidden="false" customHeight="false" outlineLevel="0" collapsed="false">
      <c r="A82" s="6" t="n">
        <v>81</v>
      </c>
      <c r="B82" s="7" t="n">
        <v>46288</v>
      </c>
      <c r="C82" s="6" t="s">
        <v>53</v>
      </c>
      <c r="D82" s="6" t="s">
        <v>163</v>
      </c>
      <c r="E82" s="6" t="s">
        <v>51</v>
      </c>
      <c r="F82" s="6" t="s">
        <v>459</v>
      </c>
      <c r="G82" s="6"/>
      <c r="H82" s="6" t="s">
        <v>460</v>
      </c>
      <c r="I82" s="8" t="s">
        <v>56</v>
      </c>
      <c r="J82" s="6" t="s">
        <v>461</v>
      </c>
      <c r="K82" s="8" t="s">
        <v>58</v>
      </c>
      <c r="L82" s="6"/>
      <c r="M82" s="6" t="s">
        <v>59</v>
      </c>
      <c r="N82" s="6" t="n">
        <v>1</v>
      </c>
      <c r="O82" s="6" t="n">
        <v>1</v>
      </c>
      <c r="P82" s="9" t="n">
        <v>0.8</v>
      </c>
      <c r="Q82" s="8" t="s">
        <v>60</v>
      </c>
      <c r="R82" s="6" t="s">
        <v>462</v>
      </c>
      <c r="S82" s="6" t="s">
        <v>463</v>
      </c>
      <c r="T82" s="6" t="s">
        <v>297</v>
      </c>
    </row>
    <row r="83" customFormat="false" ht="23.85" hidden="false" customHeight="false" outlineLevel="0" collapsed="false">
      <c r="A83" s="6" t="n">
        <v>82</v>
      </c>
      <c r="B83" s="7" t="n">
        <v>46291</v>
      </c>
      <c r="C83" s="6" t="s">
        <v>51</v>
      </c>
      <c r="D83" s="6" t="s">
        <v>464</v>
      </c>
      <c r="E83" s="6" t="s">
        <v>53</v>
      </c>
      <c r="F83" s="6" t="s">
        <v>465</v>
      </c>
      <c r="G83" s="6" t="n">
        <v>81</v>
      </c>
      <c r="H83" s="6" t="s">
        <v>55</v>
      </c>
      <c r="I83" s="8" t="s">
        <v>56</v>
      </c>
      <c r="J83" s="6" t="s">
        <v>466</v>
      </c>
      <c r="K83" s="8" t="s">
        <v>58</v>
      </c>
      <c r="L83" s="6"/>
      <c r="M83" s="6" t="s">
        <v>59</v>
      </c>
      <c r="N83" s="6" t="n">
        <v>2</v>
      </c>
      <c r="O83" s="6" t="n">
        <v>2</v>
      </c>
      <c r="P83" s="9" t="n">
        <v>0.96</v>
      </c>
      <c r="Q83" s="8" t="s">
        <v>60</v>
      </c>
      <c r="R83" s="6" t="s">
        <v>462</v>
      </c>
      <c r="S83" s="6" t="s">
        <v>463</v>
      </c>
      <c r="T83" s="6" t="s">
        <v>62</v>
      </c>
    </row>
    <row r="84" customFormat="false" ht="68.65" hidden="false" customHeight="false" outlineLevel="0" collapsed="false">
      <c r="A84" s="6" t="n">
        <v>83</v>
      </c>
      <c r="B84" s="7" t="n">
        <v>46292</v>
      </c>
      <c r="C84" s="6" t="s">
        <v>467</v>
      </c>
      <c r="D84" s="6" t="s">
        <v>468</v>
      </c>
      <c r="E84" s="6" t="s">
        <v>469</v>
      </c>
      <c r="F84" s="6" t="s">
        <v>470</v>
      </c>
      <c r="G84" s="6"/>
      <c r="H84" s="6" t="s">
        <v>471</v>
      </c>
      <c r="I84" s="8" t="s">
        <v>56</v>
      </c>
      <c r="J84" s="6" t="s">
        <v>472</v>
      </c>
      <c r="K84" s="8" t="s">
        <v>58</v>
      </c>
      <c r="L84" s="6" t="s">
        <v>473</v>
      </c>
      <c r="M84" s="6" t="s">
        <v>407</v>
      </c>
      <c r="N84" s="6" t="n">
        <v>1</v>
      </c>
      <c r="O84" s="6" t="n">
        <v>1</v>
      </c>
      <c r="P84" s="9" t="n">
        <v>0.8</v>
      </c>
      <c r="Q84" s="8" t="s">
        <v>60</v>
      </c>
      <c r="R84" s="6" t="s">
        <v>462</v>
      </c>
      <c r="S84" s="6" t="s">
        <v>474</v>
      </c>
      <c r="T84" s="6" t="s">
        <v>62</v>
      </c>
    </row>
    <row r="85" customFormat="false" ht="35.05" hidden="false" customHeight="false" outlineLevel="0" collapsed="false">
      <c r="A85" s="6" t="n">
        <v>84</v>
      </c>
      <c r="B85" s="7" t="n">
        <v>46293</v>
      </c>
      <c r="C85" s="6" t="s">
        <v>475</v>
      </c>
      <c r="D85" s="6" t="s">
        <v>476</v>
      </c>
      <c r="E85" s="6" t="s">
        <v>79</v>
      </c>
      <c r="F85" s="6" t="s">
        <v>477</v>
      </c>
      <c r="G85" s="6"/>
      <c r="H85" s="6" t="s">
        <v>124</v>
      </c>
      <c r="I85" s="10" t="s">
        <v>89</v>
      </c>
      <c r="J85" s="6" t="s">
        <v>478</v>
      </c>
      <c r="K85" s="12" t="s">
        <v>479</v>
      </c>
      <c r="L85" s="6" t="s">
        <v>480</v>
      </c>
      <c r="M85" s="6" t="s">
        <v>84</v>
      </c>
      <c r="N85" s="6" t="n">
        <v>1</v>
      </c>
      <c r="O85" s="6" t="n">
        <v>1</v>
      </c>
      <c r="P85" s="9" t="n">
        <v>0.52</v>
      </c>
      <c r="Q85" s="10" t="s">
        <v>119</v>
      </c>
      <c r="R85" s="6" t="s">
        <v>462</v>
      </c>
      <c r="S85" s="6"/>
      <c r="T85" s="6" t="s">
        <v>62</v>
      </c>
    </row>
    <row r="86" customFormat="false" ht="23.85" hidden="false" customHeight="false" outlineLevel="0" collapsed="false">
      <c r="A86" s="6" t="n">
        <v>85</v>
      </c>
      <c r="B86" s="7" t="n">
        <v>46294</v>
      </c>
      <c r="C86" s="6" t="s">
        <v>51</v>
      </c>
      <c r="D86" s="6" t="s">
        <v>361</v>
      </c>
      <c r="E86" s="6" t="s">
        <v>53</v>
      </c>
      <c r="F86" s="6" t="s">
        <v>481</v>
      </c>
      <c r="G86" s="6"/>
      <c r="H86" s="6" t="s">
        <v>55</v>
      </c>
      <c r="I86" s="8" t="s">
        <v>56</v>
      </c>
      <c r="J86" s="6" t="s">
        <v>482</v>
      </c>
      <c r="K86" s="8" t="s">
        <v>68</v>
      </c>
      <c r="L86" s="6" t="s">
        <v>483</v>
      </c>
      <c r="M86" s="6" t="s">
        <v>365</v>
      </c>
      <c r="N86" s="6" t="n">
        <v>2</v>
      </c>
      <c r="O86" s="6" t="n">
        <v>2</v>
      </c>
      <c r="P86" s="9" t="n">
        <v>0.96</v>
      </c>
      <c r="Q86" s="8" t="s">
        <v>60</v>
      </c>
      <c r="R86" s="6" t="s">
        <v>462</v>
      </c>
      <c r="S86" s="6"/>
      <c r="T86" s="6" t="s">
        <v>147</v>
      </c>
    </row>
    <row r="87" customFormat="false" ht="35.05" hidden="false" customHeight="false" outlineLevel="0" collapsed="false">
      <c r="A87" s="6" t="n">
        <v>86</v>
      </c>
      <c r="B87" s="7" t="n">
        <v>46294</v>
      </c>
      <c r="C87" s="6" t="s">
        <v>51</v>
      </c>
      <c r="D87" s="6" t="s">
        <v>484</v>
      </c>
      <c r="E87" s="6" t="s">
        <v>53</v>
      </c>
      <c r="F87" s="6" t="s">
        <v>485</v>
      </c>
      <c r="G87" s="6" t="n">
        <v>82</v>
      </c>
      <c r="H87" s="6" t="s">
        <v>486</v>
      </c>
      <c r="I87" s="10" t="s">
        <v>89</v>
      </c>
      <c r="J87" s="6" t="s">
        <v>487</v>
      </c>
      <c r="K87" s="12" t="s">
        <v>479</v>
      </c>
      <c r="L87" s="6"/>
      <c r="M87" s="6" t="s">
        <v>59</v>
      </c>
      <c r="N87" s="6" t="n">
        <v>2</v>
      </c>
      <c r="O87" s="6" t="n">
        <v>2</v>
      </c>
      <c r="P87" s="9" t="n">
        <v>0.77</v>
      </c>
      <c r="Q87" s="8" t="s">
        <v>60</v>
      </c>
      <c r="R87" s="6" t="s">
        <v>462</v>
      </c>
      <c r="S87" s="6" t="s">
        <v>463</v>
      </c>
      <c r="T87" s="6" t="s">
        <v>147</v>
      </c>
    </row>
    <row r="88" customFormat="false" ht="46.25" hidden="false" customHeight="false" outlineLevel="0" collapsed="false">
      <c r="A88" s="6" t="n">
        <v>87</v>
      </c>
      <c r="B88" s="7" t="n">
        <v>46296</v>
      </c>
      <c r="C88" s="6" t="s">
        <v>51</v>
      </c>
      <c r="D88" s="6" t="s">
        <v>361</v>
      </c>
      <c r="E88" s="6" t="s">
        <v>53</v>
      </c>
      <c r="F88" s="6" t="s">
        <v>488</v>
      </c>
      <c r="G88" s="6"/>
      <c r="H88" s="6" t="s">
        <v>55</v>
      </c>
      <c r="I88" s="8" t="s">
        <v>56</v>
      </c>
      <c r="J88" s="6" t="s">
        <v>489</v>
      </c>
      <c r="K88" s="8" t="s">
        <v>58</v>
      </c>
      <c r="L88" s="6" t="s">
        <v>490</v>
      </c>
      <c r="M88" s="6" t="s">
        <v>365</v>
      </c>
      <c r="N88" s="6" t="n">
        <v>1</v>
      </c>
      <c r="O88" s="6" t="n">
        <v>1</v>
      </c>
      <c r="P88" s="9" t="n">
        <v>0.8</v>
      </c>
      <c r="Q88" s="8" t="s">
        <v>60</v>
      </c>
      <c r="R88" s="6" t="s">
        <v>462</v>
      </c>
      <c r="S88" s="6"/>
      <c r="T88" s="6" t="s">
        <v>147</v>
      </c>
    </row>
    <row r="89" customFormat="false" ht="35.05" hidden="false" customHeight="false" outlineLevel="0" collapsed="false">
      <c r="A89" s="6" t="n">
        <v>88</v>
      </c>
      <c r="B89" s="7" t="n">
        <v>46296</v>
      </c>
      <c r="C89" s="6" t="s">
        <v>51</v>
      </c>
      <c r="D89" s="6" t="s">
        <v>491</v>
      </c>
      <c r="E89" s="6" t="s">
        <v>53</v>
      </c>
      <c r="F89" s="6" t="s">
        <v>492</v>
      </c>
      <c r="G89" s="6"/>
      <c r="H89" s="6" t="s">
        <v>493</v>
      </c>
      <c r="I89" s="10" t="s">
        <v>89</v>
      </c>
      <c r="J89" s="6" t="s">
        <v>494</v>
      </c>
      <c r="K89" s="12" t="s">
        <v>479</v>
      </c>
      <c r="L89" s="6"/>
      <c r="M89" s="6" t="s">
        <v>59</v>
      </c>
      <c r="N89" s="6" t="n">
        <v>2</v>
      </c>
      <c r="O89" s="6" t="n">
        <v>2</v>
      </c>
      <c r="P89" s="9" t="n">
        <v>0.77</v>
      </c>
      <c r="Q89" s="8" t="s">
        <v>60</v>
      </c>
      <c r="R89" s="6" t="s">
        <v>462</v>
      </c>
      <c r="S89" s="6"/>
      <c r="T89" s="6" t="s">
        <v>147</v>
      </c>
    </row>
    <row r="90" customFormat="false" ht="35.05" hidden="false" customHeight="false" outlineLevel="0" collapsed="false">
      <c r="A90" s="6" t="n">
        <v>89</v>
      </c>
      <c r="B90" s="7" t="n">
        <v>46296</v>
      </c>
      <c r="C90" s="6" t="s">
        <v>51</v>
      </c>
      <c r="D90" s="6" t="s">
        <v>495</v>
      </c>
      <c r="E90" s="6" t="s">
        <v>496</v>
      </c>
      <c r="F90" s="6" t="s">
        <v>497</v>
      </c>
      <c r="G90" s="6"/>
      <c r="H90" s="6" t="s">
        <v>498</v>
      </c>
      <c r="I90" s="10" t="s">
        <v>89</v>
      </c>
      <c r="J90" s="6" t="s">
        <v>499</v>
      </c>
      <c r="K90" s="12" t="s">
        <v>479</v>
      </c>
      <c r="L90" s="6"/>
      <c r="M90" s="6" t="s">
        <v>500</v>
      </c>
      <c r="N90" s="6" t="n">
        <v>1</v>
      </c>
      <c r="O90" s="6" t="n">
        <v>1</v>
      </c>
      <c r="P90" s="9" t="n">
        <v>0.52</v>
      </c>
      <c r="Q90" s="10" t="s">
        <v>119</v>
      </c>
      <c r="R90" s="6" t="s">
        <v>462</v>
      </c>
      <c r="S90" s="6"/>
      <c r="T90" s="6" t="s">
        <v>147</v>
      </c>
    </row>
    <row r="91" customFormat="false" ht="46.25" hidden="false" customHeight="false" outlineLevel="0" collapsed="false">
      <c r="A91" s="6" t="n">
        <v>90</v>
      </c>
      <c r="B91" s="7" t="n">
        <v>46297</v>
      </c>
      <c r="C91" s="6" t="s">
        <v>501</v>
      </c>
      <c r="D91" s="6" t="s">
        <v>476</v>
      </c>
      <c r="E91" s="6" t="s">
        <v>79</v>
      </c>
      <c r="F91" s="6" t="s">
        <v>502</v>
      </c>
      <c r="G91" s="6"/>
      <c r="H91" s="6" t="s">
        <v>503</v>
      </c>
      <c r="I91" s="8" t="s">
        <v>56</v>
      </c>
      <c r="J91" s="6" t="s">
        <v>504</v>
      </c>
      <c r="K91" s="8" t="s">
        <v>58</v>
      </c>
      <c r="L91" s="6"/>
      <c r="M91" s="6" t="s">
        <v>84</v>
      </c>
      <c r="N91" s="6" t="n">
        <v>2</v>
      </c>
      <c r="O91" s="6" t="n">
        <v>2</v>
      </c>
      <c r="P91" s="9" t="n">
        <v>0.96</v>
      </c>
      <c r="Q91" s="8" t="s">
        <v>60</v>
      </c>
      <c r="R91" s="6" t="s">
        <v>462</v>
      </c>
      <c r="S91" s="6"/>
      <c r="T91" s="6" t="s">
        <v>147</v>
      </c>
    </row>
    <row r="92" customFormat="false" ht="35.05" hidden="false" customHeight="false" outlineLevel="0" collapsed="false">
      <c r="A92" s="6" t="n">
        <v>91</v>
      </c>
      <c r="B92" s="7" t="n">
        <v>46299</v>
      </c>
      <c r="C92" s="6" t="s">
        <v>51</v>
      </c>
      <c r="D92" s="6" t="s">
        <v>505</v>
      </c>
      <c r="E92" s="6" t="s">
        <v>506</v>
      </c>
      <c r="F92" s="6" t="s">
        <v>507</v>
      </c>
      <c r="G92" s="6" t="n">
        <v>83</v>
      </c>
      <c r="H92" s="6" t="s">
        <v>55</v>
      </c>
      <c r="I92" s="8" t="s">
        <v>56</v>
      </c>
      <c r="J92" s="6" t="s">
        <v>508</v>
      </c>
      <c r="K92" s="8" t="s">
        <v>58</v>
      </c>
      <c r="L92" s="6"/>
      <c r="M92" s="6" t="s">
        <v>500</v>
      </c>
      <c r="N92" s="6" t="n">
        <v>1</v>
      </c>
      <c r="O92" s="6" t="n">
        <v>1</v>
      </c>
      <c r="P92" s="9" t="n">
        <v>0.8</v>
      </c>
      <c r="Q92" s="8" t="s">
        <v>60</v>
      </c>
      <c r="R92" s="6" t="s">
        <v>462</v>
      </c>
      <c r="S92" s="6" t="s">
        <v>474</v>
      </c>
      <c r="T92" s="6" t="s">
        <v>297</v>
      </c>
    </row>
    <row r="93" customFormat="false" ht="35.05" hidden="false" customHeight="false" outlineLevel="0" collapsed="false">
      <c r="A93" s="6" t="n">
        <v>92</v>
      </c>
      <c r="B93" s="7" t="n">
        <v>46299</v>
      </c>
      <c r="C93" s="6" t="s">
        <v>51</v>
      </c>
      <c r="D93" s="6" t="s">
        <v>505</v>
      </c>
      <c r="E93" s="6" t="s">
        <v>496</v>
      </c>
      <c r="F93" s="6" t="s">
        <v>509</v>
      </c>
      <c r="G93" s="6"/>
      <c r="H93" s="6" t="s">
        <v>55</v>
      </c>
      <c r="I93" s="8" t="s">
        <v>56</v>
      </c>
      <c r="J93" s="6" t="s">
        <v>510</v>
      </c>
      <c r="K93" s="8" t="s">
        <v>58</v>
      </c>
      <c r="L93" s="6"/>
      <c r="M93" s="6" t="s">
        <v>500</v>
      </c>
      <c r="N93" s="6" t="n">
        <v>1</v>
      </c>
      <c r="O93" s="6" t="n">
        <v>1</v>
      </c>
      <c r="P93" s="9" t="n">
        <v>0.8</v>
      </c>
      <c r="Q93" s="8" t="s">
        <v>60</v>
      </c>
      <c r="R93" s="6" t="s">
        <v>462</v>
      </c>
      <c r="S93" s="6"/>
      <c r="T93" s="6" t="s">
        <v>297</v>
      </c>
    </row>
    <row r="94" customFormat="false" ht="23.85" hidden="false" customHeight="false" outlineLevel="0" collapsed="false">
      <c r="A94" s="6" t="n">
        <v>93</v>
      </c>
      <c r="B94" s="7" t="n">
        <v>46300</v>
      </c>
      <c r="C94" s="6" t="s">
        <v>53</v>
      </c>
      <c r="D94" s="6" t="s">
        <v>464</v>
      </c>
      <c r="E94" s="6" t="s">
        <v>51</v>
      </c>
      <c r="F94" s="6" t="s">
        <v>511</v>
      </c>
      <c r="G94" s="6" t="n">
        <v>86</v>
      </c>
      <c r="H94" s="6" t="s">
        <v>55</v>
      </c>
      <c r="I94" s="8" t="s">
        <v>56</v>
      </c>
      <c r="J94" s="6" t="s">
        <v>512</v>
      </c>
      <c r="K94" s="8" t="s">
        <v>58</v>
      </c>
      <c r="L94" s="6"/>
      <c r="M94" s="6" t="s">
        <v>59</v>
      </c>
      <c r="N94" s="6" t="n">
        <v>2</v>
      </c>
      <c r="O94" s="6" t="n">
        <v>1</v>
      </c>
      <c r="P94" s="9" t="n">
        <v>0.8</v>
      </c>
      <c r="Q94" s="8" t="s">
        <v>60</v>
      </c>
      <c r="R94" s="6" t="s">
        <v>462</v>
      </c>
      <c r="S94" s="6" t="s">
        <v>463</v>
      </c>
      <c r="T94" s="6" t="s">
        <v>297</v>
      </c>
    </row>
    <row r="95" customFormat="false" ht="23.85" hidden="false" customHeight="false" outlineLevel="0" collapsed="false">
      <c r="A95" s="6" t="n">
        <v>94</v>
      </c>
      <c r="B95" s="7" t="n">
        <v>46301</v>
      </c>
      <c r="C95" s="6" t="s">
        <v>513</v>
      </c>
      <c r="D95" s="6" t="s">
        <v>476</v>
      </c>
      <c r="E95" s="6" t="s">
        <v>79</v>
      </c>
      <c r="F95" s="6" t="s">
        <v>514</v>
      </c>
      <c r="G95" s="6"/>
      <c r="H95" s="6" t="s">
        <v>515</v>
      </c>
      <c r="I95" s="8" t="s">
        <v>56</v>
      </c>
      <c r="J95" s="6" t="s">
        <v>516</v>
      </c>
      <c r="K95" s="8" t="s">
        <v>58</v>
      </c>
      <c r="L95" s="6"/>
      <c r="M95" s="6" t="s">
        <v>84</v>
      </c>
      <c r="N95" s="6" t="n">
        <v>3</v>
      </c>
      <c r="O95" s="6" t="n">
        <v>3</v>
      </c>
      <c r="P95" s="9" t="n">
        <v>0.99</v>
      </c>
      <c r="Q95" s="8" t="s">
        <v>60</v>
      </c>
      <c r="R95" s="6" t="s">
        <v>462</v>
      </c>
      <c r="S95" s="6"/>
      <c r="T95" s="6" t="s">
        <v>297</v>
      </c>
    </row>
    <row r="96" customFormat="false" ht="35.05" hidden="false" customHeight="false" outlineLevel="0" collapsed="false">
      <c r="A96" s="6" t="n">
        <v>95</v>
      </c>
      <c r="B96" s="7" t="n">
        <v>46301</v>
      </c>
      <c r="C96" s="6" t="s">
        <v>51</v>
      </c>
      <c r="D96" s="6" t="s">
        <v>517</v>
      </c>
      <c r="E96" s="6" t="s">
        <v>53</v>
      </c>
      <c r="F96" s="6" t="s">
        <v>518</v>
      </c>
      <c r="G96" s="6"/>
      <c r="H96" s="6" t="s">
        <v>55</v>
      </c>
      <c r="I96" s="8" t="s">
        <v>56</v>
      </c>
      <c r="J96" s="6" t="s">
        <v>512</v>
      </c>
      <c r="K96" s="8" t="s">
        <v>58</v>
      </c>
      <c r="L96" s="6"/>
      <c r="M96" s="6" t="s">
        <v>59</v>
      </c>
      <c r="N96" s="6" t="n">
        <v>2</v>
      </c>
      <c r="O96" s="6" t="n">
        <v>1</v>
      </c>
      <c r="P96" s="9" t="n">
        <v>0.8</v>
      </c>
      <c r="Q96" s="8" t="s">
        <v>60</v>
      </c>
      <c r="R96" s="6" t="s">
        <v>462</v>
      </c>
      <c r="S96" s="6"/>
      <c r="T96" s="6" t="s">
        <v>297</v>
      </c>
    </row>
    <row r="97" customFormat="false" ht="23.85" hidden="false" customHeight="false" outlineLevel="0" collapsed="false">
      <c r="A97" s="6" t="n">
        <v>96</v>
      </c>
      <c r="B97" s="7" t="n">
        <v>46302</v>
      </c>
      <c r="C97" s="6" t="s">
        <v>519</v>
      </c>
      <c r="D97" s="6" t="s">
        <v>476</v>
      </c>
      <c r="E97" s="6" t="s">
        <v>520</v>
      </c>
      <c r="F97" s="6" t="s">
        <v>521</v>
      </c>
      <c r="G97" s="6"/>
      <c r="H97" s="6" t="s">
        <v>522</v>
      </c>
      <c r="I97" s="8" t="s">
        <v>56</v>
      </c>
      <c r="J97" s="6" t="s">
        <v>523</v>
      </c>
      <c r="K97" s="8" t="s">
        <v>58</v>
      </c>
      <c r="L97" s="6"/>
      <c r="M97" s="6" t="s">
        <v>84</v>
      </c>
      <c r="N97" s="6" t="n">
        <v>2</v>
      </c>
      <c r="O97" s="6" t="n">
        <v>2</v>
      </c>
      <c r="P97" s="9" t="n">
        <v>0.96</v>
      </c>
      <c r="Q97" s="8" t="s">
        <v>60</v>
      </c>
      <c r="R97" s="6" t="s">
        <v>462</v>
      </c>
      <c r="S97" s="6"/>
      <c r="T97" s="6" t="s">
        <v>360</v>
      </c>
    </row>
    <row r="98" customFormat="false" ht="35.05" hidden="false" customHeight="false" outlineLevel="0" collapsed="false">
      <c r="A98" s="6" t="n">
        <v>97</v>
      </c>
      <c r="B98" s="7" t="n">
        <v>46303</v>
      </c>
      <c r="C98" s="6" t="s">
        <v>51</v>
      </c>
      <c r="D98" s="6" t="s">
        <v>524</v>
      </c>
      <c r="E98" s="6" t="s">
        <v>53</v>
      </c>
      <c r="F98" s="6" t="s">
        <v>525</v>
      </c>
      <c r="G98" s="6"/>
      <c r="H98" s="6" t="s">
        <v>55</v>
      </c>
      <c r="I98" s="8" t="s">
        <v>56</v>
      </c>
      <c r="J98" s="6" t="s">
        <v>526</v>
      </c>
      <c r="K98" s="8" t="s">
        <v>58</v>
      </c>
      <c r="L98" s="6"/>
      <c r="M98" s="6" t="s">
        <v>59</v>
      </c>
      <c r="N98" s="6" t="n">
        <v>2</v>
      </c>
      <c r="O98" s="6" t="n">
        <v>2</v>
      </c>
      <c r="P98" s="9" t="n">
        <v>0.96</v>
      </c>
      <c r="Q98" s="8" t="s">
        <v>60</v>
      </c>
      <c r="R98" s="6" t="s">
        <v>462</v>
      </c>
      <c r="S98" s="6" t="s">
        <v>527</v>
      </c>
      <c r="T98" s="6" t="s">
        <v>175</v>
      </c>
    </row>
    <row r="99" customFormat="false" ht="35.05" hidden="false" customHeight="false" outlineLevel="0" collapsed="false">
      <c r="A99" s="6" t="n">
        <v>98</v>
      </c>
      <c r="B99" s="7" t="n">
        <v>46303</v>
      </c>
      <c r="C99" s="6" t="s">
        <v>528</v>
      </c>
      <c r="D99" s="6" t="s">
        <v>529</v>
      </c>
      <c r="E99" s="6" t="s">
        <v>122</v>
      </c>
      <c r="F99" s="6" t="s">
        <v>530</v>
      </c>
      <c r="G99" s="6"/>
      <c r="H99" s="6" t="s">
        <v>531</v>
      </c>
      <c r="I99" s="8" t="s">
        <v>56</v>
      </c>
      <c r="J99" s="6" t="s">
        <v>532</v>
      </c>
      <c r="K99" s="8" t="s">
        <v>58</v>
      </c>
      <c r="L99" s="6" t="s">
        <v>533</v>
      </c>
      <c r="M99" s="6" t="s">
        <v>70</v>
      </c>
      <c r="N99" s="6" t="n">
        <v>1</v>
      </c>
      <c r="O99" s="6" t="n">
        <v>1</v>
      </c>
      <c r="P99" s="9" t="n">
        <v>0.8</v>
      </c>
      <c r="Q99" s="8" t="s">
        <v>60</v>
      </c>
      <c r="R99" s="6" t="s">
        <v>462</v>
      </c>
      <c r="S99" s="6" t="s">
        <v>534</v>
      </c>
      <c r="T99" s="6" t="s">
        <v>175</v>
      </c>
    </row>
    <row r="100" customFormat="false" ht="35.05" hidden="false" customHeight="false" outlineLevel="0" collapsed="false">
      <c r="A100" s="6" t="n">
        <v>99</v>
      </c>
      <c r="B100" s="7" t="n">
        <v>46304</v>
      </c>
      <c r="C100" s="6" t="s">
        <v>53</v>
      </c>
      <c r="D100" s="6" t="s">
        <v>535</v>
      </c>
      <c r="E100" s="6" t="s">
        <v>51</v>
      </c>
      <c r="F100" s="6" t="s">
        <v>536</v>
      </c>
      <c r="G100" s="6" t="n">
        <v>86</v>
      </c>
      <c r="H100" s="6" t="s">
        <v>55</v>
      </c>
      <c r="I100" s="8" t="s">
        <v>56</v>
      </c>
      <c r="J100" s="6" t="s">
        <v>537</v>
      </c>
      <c r="K100" s="8" t="s">
        <v>58</v>
      </c>
      <c r="L100" s="6"/>
      <c r="M100" s="6" t="s">
        <v>59</v>
      </c>
      <c r="N100" s="6" t="n">
        <v>2</v>
      </c>
      <c r="O100" s="6" t="n">
        <v>2</v>
      </c>
      <c r="P100" s="9" t="n">
        <v>0.96</v>
      </c>
      <c r="Q100" s="8" t="s">
        <v>60</v>
      </c>
      <c r="R100" s="6" t="s">
        <v>462</v>
      </c>
      <c r="S100" s="6" t="s">
        <v>463</v>
      </c>
      <c r="T100" s="6" t="s">
        <v>175</v>
      </c>
    </row>
    <row r="101" customFormat="false" ht="23.85" hidden="false" customHeight="false" outlineLevel="0" collapsed="false">
      <c r="A101" s="6" t="n">
        <v>100</v>
      </c>
      <c r="B101" s="7" t="n">
        <v>46304</v>
      </c>
      <c r="C101" s="6" t="s">
        <v>538</v>
      </c>
      <c r="D101" s="6" t="s">
        <v>476</v>
      </c>
      <c r="E101" s="6" t="s">
        <v>237</v>
      </c>
      <c r="F101" s="6" t="s">
        <v>539</v>
      </c>
      <c r="G101" s="6"/>
      <c r="H101" s="6" t="s">
        <v>540</v>
      </c>
      <c r="I101" s="8" t="s">
        <v>56</v>
      </c>
      <c r="J101" s="6" t="s">
        <v>541</v>
      </c>
      <c r="K101" s="8" t="s">
        <v>58</v>
      </c>
      <c r="L101" s="6"/>
      <c r="M101" s="6" t="s">
        <v>84</v>
      </c>
      <c r="N101" s="6" t="n">
        <v>2</v>
      </c>
      <c r="O101" s="6" t="n">
        <v>2</v>
      </c>
      <c r="P101" s="9" t="n">
        <v>0.96</v>
      </c>
      <c r="Q101" s="8" t="s">
        <v>60</v>
      </c>
      <c r="R101" s="6" t="s">
        <v>462</v>
      </c>
      <c r="S101" s="6"/>
      <c r="T101" s="6" t="s">
        <v>175</v>
      </c>
    </row>
    <row r="102" customFormat="false" ht="23.85" hidden="false" customHeight="false" outlineLevel="0" collapsed="false">
      <c r="A102" s="6" t="n">
        <v>101</v>
      </c>
      <c r="B102" s="7" t="n">
        <v>46304</v>
      </c>
      <c r="C102" s="6" t="s">
        <v>542</v>
      </c>
      <c r="D102" s="6" t="s">
        <v>543</v>
      </c>
      <c r="E102" s="6" t="s">
        <v>79</v>
      </c>
      <c r="F102" s="6" t="s">
        <v>544</v>
      </c>
      <c r="G102" s="6"/>
      <c r="H102" s="6" t="s">
        <v>545</v>
      </c>
      <c r="I102" s="11" t="s">
        <v>184</v>
      </c>
      <c r="J102" s="6" t="s">
        <v>546</v>
      </c>
      <c r="K102" s="10" t="s">
        <v>91</v>
      </c>
      <c r="L102" s="6" t="s">
        <v>547</v>
      </c>
      <c r="M102" s="6" t="s">
        <v>84</v>
      </c>
      <c r="N102" s="6" t="n">
        <v>1</v>
      </c>
      <c r="O102" s="6" t="n">
        <v>0</v>
      </c>
      <c r="P102" s="9" t="n">
        <v>0.24</v>
      </c>
      <c r="Q102" s="11" t="s">
        <v>188</v>
      </c>
      <c r="R102" s="6" t="s">
        <v>462</v>
      </c>
      <c r="S102" s="6"/>
      <c r="T102" s="6" t="s">
        <v>175</v>
      </c>
    </row>
    <row r="103" customFormat="false" ht="35.05" hidden="false" customHeight="false" outlineLevel="0" collapsed="false">
      <c r="A103" s="6" t="n">
        <v>102</v>
      </c>
      <c r="B103" s="7" t="n">
        <v>46305</v>
      </c>
      <c r="C103" s="6" t="s">
        <v>528</v>
      </c>
      <c r="D103" s="6" t="s">
        <v>529</v>
      </c>
      <c r="E103" s="6" t="s">
        <v>122</v>
      </c>
      <c r="F103" s="6" t="s">
        <v>548</v>
      </c>
      <c r="G103" s="6" t="n">
        <v>98</v>
      </c>
      <c r="H103" s="6" t="s">
        <v>549</v>
      </c>
      <c r="I103" s="8" t="s">
        <v>56</v>
      </c>
      <c r="J103" s="6" t="s">
        <v>550</v>
      </c>
      <c r="K103" s="8" t="s">
        <v>58</v>
      </c>
      <c r="L103" s="6" t="s">
        <v>551</v>
      </c>
      <c r="M103" s="6" t="s">
        <v>70</v>
      </c>
      <c r="N103" s="6" t="n">
        <v>2</v>
      </c>
      <c r="O103" s="6" t="n">
        <v>2</v>
      </c>
      <c r="P103" s="9" t="n">
        <v>0.93</v>
      </c>
      <c r="Q103" s="8" t="s">
        <v>60</v>
      </c>
      <c r="R103" s="6" t="s">
        <v>462</v>
      </c>
      <c r="S103" s="6" t="s">
        <v>534</v>
      </c>
      <c r="T103" s="6" t="s">
        <v>168</v>
      </c>
    </row>
    <row r="104" customFormat="false" ht="23.85" hidden="false" customHeight="false" outlineLevel="0" collapsed="false">
      <c r="A104" s="6" t="n">
        <v>103</v>
      </c>
      <c r="B104" s="7" t="n">
        <v>46305</v>
      </c>
      <c r="C104" s="6" t="s">
        <v>542</v>
      </c>
      <c r="D104" s="6" t="s">
        <v>552</v>
      </c>
      <c r="E104" s="6" t="s">
        <v>79</v>
      </c>
      <c r="F104" s="6" t="s">
        <v>553</v>
      </c>
      <c r="G104" s="6"/>
      <c r="H104" s="6" t="s">
        <v>554</v>
      </c>
      <c r="I104" s="10" t="s">
        <v>89</v>
      </c>
      <c r="J104" s="6" t="s">
        <v>555</v>
      </c>
      <c r="K104" s="10" t="s">
        <v>91</v>
      </c>
      <c r="L104" s="6" t="s">
        <v>556</v>
      </c>
      <c r="M104" s="6" t="s">
        <v>84</v>
      </c>
      <c r="N104" s="6" t="n">
        <v>1</v>
      </c>
      <c r="O104" s="6" t="n">
        <v>1</v>
      </c>
      <c r="P104" s="9" t="n">
        <v>0.64</v>
      </c>
      <c r="Q104" s="10" t="s">
        <v>119</v>
      </c>
      <c r="R104" s="6" t="s">
        <v>462</v>
      </c>
      <c r="S104" s="6"/>
      <c r="T104" s="6" t="s">
        <v>168</v>
      </c>
    </row>
    <row r="105" customFormat="false" ht="35.05" hidden="false" customHeight="false" outlineLevel="0" collapsed="false">
      <c r="A105" s="6" t="n">
        <v>104</v>
      </c>
      <c r="B105" s="7" t="n">
        <v>46306</v>
      </c>
      <c r="C105" s="6" t="s">
        <v>51</v>
      </c>
      <c r="D105" s="6" t="s">
        <v>557</v>
      </c>
      <c r="E105" s="6" t="s">
        <v>260</v>
      </c>
      <c r="F105" s="6" t="s">
        <v>558</v>
      </c>
      <c r="G105" s="6"/>
      <c r="H105" s="6" t="s">
        <v>559</v>
      </c>
      <c r="I105" s="8" t="s">
        <v>56</v>
      </c>
      <c r="J105" s="6" t="s">
        <v>555</v>
      </c>
      <c r="K105" s="8" t="s">
        <v>58</v>
      </c>
      <c r="L105" s="6"/>
      <c r="M105" s="6" t="s">
        <v>84</v>
      </c>
      <c r="N105" s="6" t="n">
        <v>1</v>
      </c>
      <c r="O105" s="6" t="n">
        <v>1</v>
      </c>
      <c r="P105" s="9" t="n">
        <v>0.8</v>
      </c>
      <c r="Q105" s="8" t="s">
        <v>60</v>
      </c>
      <c r="R105" s="6" t="s">
        <v>462</v>
      </c>
      <c r="S105" s="6"/>
      <c r="T105" s="6" t="s">
        <v>180</v>
      </c>
    </row>
    <row r="106" customFormat="false" ht="35.05" hidden="false" customHeight="false" outlineLevel="0" collapsed="false">
      <c r="A106" s="6" t="n">
        <v>105</v>
      </c>
      <c r="B106" s="7" t="n">
        <v>46306</v>
      </c>
      <c r="C106" s="6" t="s">
        <v>519</v>
      </c>
      <c r="D106" s="6" t="s">
        <v>476</v>
      </c>
      <c r="E106" s="6" t="s">
        <v>79</v>
      </c>
      <c r="F106" s="6" t="s">
        <v>560</v>
      </c>
      <c r="G106" s="6"/>
      <c r="H106" s="6" t="s">
        <v>561</v>
      </c>
      <c r="I106" s="8" t="s">
        <v>56</v>
      </c>
      <c r="J106" s="6" t="s">
        <v>555</v>
      </c>
      <c r="K106" s="8" t="s">
        <v>58</v>
      </c>
      <c r="L106" s="6"/>
      <c r="M106" s="6" t="s">
        <v>84</v>
      </c>
      <c r="N106" s="6" t="n">
        <v>1</v>
      </c>
      <c r="O106" s="6" t="n">
        <v>1</v>
      </c>
      <c r="P106" s="9" t="n">
        <v>0.8</v>
      </c>
      <c r="Q106" s="8" t="s">
        <v>60</v>
      </c>
      <c r="R106" s="6" t="s">
        <v>462</v>
      </c>
      <c r="S106" s="6"/>
      <c r="T106" s="6" t="s">
        <v>180</v>
      </c>
    </row>
    <row r="107" customFormat="false" ht="35.05" hidden="false" customHeight="false" outlineLevel="0" collapsed="false">
      <c r="A107" s="6" t="n">
        <v>106</v>
      </c>
      <c r="B107" s="7" t="n">
        <v>46301</v>
      </c>
      <c r="C107" s="6" t="s">
        <v>51</v>
      </c>
      <c r="D107" s="6" t="s">
        <v>562</v>
      </c>
      <c r="E107" s="6" t="s">
        <v>563</v>
      </c>
      <c r="F107" s="6" t="s">
        <v>564</v>
      </c>
      <c r="G107" s="6"/>
      <c r="H107" s="6" t="s">
        <v>565</v>
      </c>
      <c r="I107" s="8" t="s">
        <v>56</v>
      </c>
      <c r="J107" s="6" t="s">
        <v>566</v>
      </c>
      <c r="K107" s="8" t="s">
        <v>58</v>
      </c>
      <c r="L107" s="6" t="s">
        <v>567</v>
      </c>
      <c r="M107" s="6" t="s">
        <v>70</v>
      </c>
      <c r="N107" s="6" t="n">
        <v>2</v>
      </c>
      <c r="O107" s="6" t="n">
        <v>2</v>
      </c>
      <c r="P107" s="9" t="n">
        <v>0.96</v>
      </c>
      <c r="Q107" s="8" t="s">
        <v>60</v>
      </c>
      <c r="R107" s="6" t="s">
        <v>462</v>
      </c>
      <c r="S107" s="6"/>
      <c r="T107" s="6" t="s">
        <v>297</v>
      </c>
    </row>
    <row r="108" customFormat="false" ht="23.85" hidden="false" customHeight="false" outlineLevel="0" collapsed="false">
      <c r="A108" s="6" t="n">
        <v>107</v>
      </c>
      <c r="B108" s="7" t="n">
        <v>46303</v>
      </c>
      <c r="C108" s="6" t="s">
        <v>51</v>
      </c>
      <c r="D108" s="6" t="s">
        <v>361</v>
      </c>
      <c r="E108" s="6" t="s">
        <v>53</v>
      </c>
      <c r="F108" s="6" t="s">
        <v>568</v>
      </c>
      <c r="G108" s="6"/>
      <c r="H108" s="6" t="s">
        <v>55</v>
      </c>
      <c r="I108" s="8" t="s">
        <v>56</v>
      </c>
      <c r="J108" s="6" t="s">
        <v>569</v>
      </c>
      <c r="K108" s="8" t="s">
        <v>58</v>
      </c>
      <c r="L108" s="6"/>
      <c r="M108" s="6" t="s">
        <v>365</v>
      </c>
      <c r="N108" s="6" t="n">
        <v>1</v>
      </c>
      <c r="O108" s="6" t="n">
        <v>1</v>
      </c>
      <c r="P108" s="9" t="n">
        <v>0.8</v>
      </c>
      <c r="Q108" s="8" t="s">
        <v>60</v>
      </c>
      <c r="R108" s="6" t="s">
        <v>462</v>
      </c>
      <c r="S108" s="6"/>
      <c r="T108" s="6" t="s">
        <v>175</v>
      </c>
    </row>
    <row r="109" customFormat="false" ht="35.05" hidden="false" customHeight="false" outlineLevel="0" collapsed="false">
      <c r="A109" s="6" t="n">
        <v>108</v>
      </c>
      <c r="B109" s="7" t="n">
        <v>46306</v>
      </c>
      <c r="C109" s="6" t="s">
        <v>53</v>
      </c>
      <c r="D109" s="6" t="s">
        <v>464</v>
      </c>
      <c r="E109" s="6" t="s">
        <v>51</v>
      </c>
      <c r="F109" s="6" t="s">
        <v>570</v>
      </c>
      <c r="G109" s="6" t="n">
        <v>86</v>
      </c>
      <c r="H109" s="6" t="s">
        <v>55</v>
      </c>
      <c r="I109" s="8" t="s">
        <v>56</v>
      </c>
      <c r="J109" s="6" t="s">
        <v>571</v>
      </c>
      <c r="K109" s="8" t="s">
        <v>58</v>
      </c>
      <c r="L109" s="6"/>
      <c r="M109" s="6" t="s">
        <v>59</v>
      </c>
      <c r="N109" s="6" t="n">
        <v>2</v>
      </c>
      <c r="O109" s="6" t="n">
        <v>2</v>
      </c>
      <c r="P109" s="9" t="n">
        <v>0.93</v>
      </c>
      <c r="Q109" s="8" t="s">
        <v>60</v>
      </c>
      <c r="R109" s="6" t="s">
        <v>462</v>
      </c>
      <c r="S109" s="6" t="s">
        <v>463</v>
      </c>
      <c r="T109" s="6" t="s">
        <v>180</v>
      </c>
    </row>
    <row r="110" customFormat="false" ht="35.05" hidden="false" customHeight="false" outlineLevel="0" collapsed="false">
      <c r="A110" s="6" t="n">
        <v>109</v>
      </c>
      <c r="B110" s="7" t="n">
        <v>46308</v>
      </c>
      <c r="C110" s="6" t="s">
        <v>572</v>
      </c>
      <c r="D110" s="6" t="s">
        <v>476</v>
      </c>
      <c r="E110" s="6" t="s">
        <v>79</v>
      </c>
      <c r="F110" s="6" t="s">
        <v>573</v>
      </c>
      <c r="G110" s="6"/>
      <c r="H110" s="6" t="s">
        <v>574</v>
      </c>
      <c r="I110" s="8" t="s">
        <v>56</v>
      </c>
      <c r="J110" s="6" t="s">
        <v>575</v>
      </c>
      <c r="K110" s="8" t="s">
        <v>58</v>
      </c>
      <c r="L110" s="6" t="s">
        <v>576</v>
      </c>
      <c r="M110" s="6" t="s">
        <v>84</v>
      </c>
      <c r="N110" s="6" t="n">
        <v>4</v>
      </c>
      <c r="O110" s="6" t="n">
        <v>3</v>
      </c>
      <c r="P110" s="9" t="n">
        <v>0.99</v>
      </c>
      <c r="Q110" s="8" t="s">
        <v>60</v>
      </c>
      <c r="R110" s="6" t="s">
        <v>462</v>
      </c>
      <c r="S110" s="6"/>
      <c r="T110" s="6" t="s">
        <v>258</v>
      </c>
    </row>
    <row r="111" customFormat="false" ht="35.05" hidden="false" customHeight="false" outlineLevel="0" collapsed="false">
      <c r="A111" s="6" t="n">
        <v>110</v>
      </c>
      <c r="B111" s="7" t="n">
        <v>46310</v>
      </c>
      <c r="C111" s="6" t="s">
        <v>51</v>
      </c>
      <c r="D111" s="6" t="s">
        <v>361</v>
      </c>
      <c r="E111" s="6" t="s">
        <v>53</v>
      </c>
      <c r="F111" s="6" t="s">
        <v>577</v>
      </c>
      <c r="G111" s="6"/>
      <c r="H111" s="6" t="s">
        <v>55</v>
      </c>
      <c r="I111" s="8" t="s">
        <v>56</v>
      </c>
      <c r="J111" s="6" t="s">
        <v>578</v>
      </c>
      <c r="K111" s="8" t="s">
        <v>58</v>
      </c>
      <c r="L111" s="6"/>
      <c r="M111" s="6" t="s">
        <v>365</v>
      </c>
      <c r="N111" s="6" t="n">
        <v>2</v>
      </c>
      <c r="O111" s="6" t="n">
        <v>1</v>
      </c>
      <c r="P111" s="9" t="n">
        <v>0.8</v>
      </c>
      <c r="Q111" s="8" t="s">
        <v>60</v>
      </c>
      <c r="R111" s="6" t="s">
        <v>462</v>
      </c>
      <c r="S111" s="6"/>
      <c r="T111" s="6" t="s">
        <v>192</v>
      </c>
    </row>
    <row r="112" customFormat="false" ht="57.45" hidden="false" customHeight="false" outlineLevel="0" collapsed="false">
      <c r="A112" s="6" t="n">
        <v>111</v>
      </c>
      <c r="B112" s="7" t="n">
        <v>46311</v>
      </c>
      <c r="C112" s="6" t="s">
        <v>51</v>
      </c>
      <c r="D112" s="6" t="s">
        <v>579</v>
      </c>
      <c r="E112" s="6" t="s">
        <v>53</v>
      </c>
      <c r="F112" s="6" t="s">
        <v>580</v>
      </c>
      <c r="G112" s="6" t="n">
        <v>97</v>
      </c>
      <c r="H112" s="6" t="s">
        <v>55</v>
      </c>
      <c r="I112" s="8" t="s">
        <v>56</v>
      </c>
      <c r="J112" s="6" t="s">
        <v>581</v>
      </c>
      <c r="K112" s="8" t="s">
        <v>58</v>
      </c>
      <c r="L112" s="6" t="s">
        <v>582</v>
      </c>
      <c r="M112" s="6" t="s">
        <v>59</v>
      </c>
      <c r="N112" s="6" t="n">
        <v>4</v>
      </c>
      <c r="O112" s="6" t="n">
        <v>3</v>
      </c>
      <c r="P112" s="9" t="n">
        <v>0.99</v>
      </c>
      <c r="Q112" s="8" t="s">
        <v>60</v>
      </c>
      <c r="R112" s="6" t="s">
        <v>462</v>
      </c>
      <c r="S112" s="6" t="s">
        <v>527</v>
      </c>
      <c r="T112" s="6" t="s">
        <v>192</v>
      </c>
    </row>
    <row r="113" customFormat="false" ht="35.05" hidden="false" customHeight="false" outlineLevel="0" collapsed="false">
      <c r="A113" s="6" t="n">
        <v>112</v>
      </c>
      <c r="B113" s="7" t="n">
        <v>46311</v>
      </c>
      <c r="C113" s="6" t="s">
        <v>519</v>
      </c>
      <c r="D113" s="6" t="s">
        <v>476</v>
      </c>
      <c r="E113" s="6" t="s">
        <v>583</v>
      </c>
      <c r="F113" s="6" t="s">
        <v>584</v>
      </c>
      <c r="G113" s="6"/>
      <c r="H113" s="6" t="s">
        <v>585</v>
      </c>
      <c r="I113" s="8" t="s">
        <v>56</v>
      </c>
      <c r="J113" s="6" t="s">
        <v>586</v>
      </c>
      <c r="K113" s="8" t="s">
        <v>58</v>
      </c>
      <c r="L113" s="6"/>
      <c r="M113" s="6" t="s">
        <v>84</v>
      </c>
      <c r="N113" s="6" t="n">
        <v>3</v>
      </c>
      <c r="O113" s="6" t="n">
        <v>2</v>
      </c>
      <c r="P113" s="9" t="n">
        <v>0.96</v>
      </c>
      <c r="Q113" s="8" t="s">
        <v>60</v>
      </c>
      <c r="R113" s="6" t="s">
        <v>462</v>
      </c>
      <c r="S113" s="6"/>
      <c r="T113" s="6" t="s">
        <v>192</v>
      </c>
    </row>
    <row r="114" customFormat="false" ht="46.25" hidden="false" customHeight="false" outlineLevel="0" collapsed="false">
      <c r="A114" s="6" t="n">
        <v>113</v>
      </c>
      <c r="B114" s="7" t="n">
        <v>46312</v>
      </c>
      <c r="C114" s="6" t="s">
        <v>542</v>
      </c>
      <c r="D114" s="6" t="s">
        <v>552</v>
      </c>
      <c r="E114" s="6" t="s">
        <v>79</v>
      </c>
      <c r="F114" s="6" t="s">
        <v>587</v>
      </c>
      <c r="G114" s="6"/>
      <c r="H114" s="6" t="s">
        <v>588</v>
      </c>
      <c r="I114" s="10" t="s">
        <v>89</v>
      </c>
      <c r="J114" s="6" t="s">
        <v>589</v>
      </c>
      <c r="K114" s="10" t="s">
        <v>91</v>
      </c>
      <c r="L114" s="6" t="s">
        <v>590</v>
      </c>
      <c r="M114" s="6" t="s">
        <v>84</v>
      </c>
      <c r="N114" s="6" t="n">
        <v>2</v>
      </c>
      <c r="O114" s="6" t="n">
        <v>1</v>
      </c>
      <c r="P114" s="9" t="n">
        <v>0.64</v>
      </c>
      <c r="Q114" s="10" t="s">
        <v>119</v>
      </c>
      <c r="R114" s="6" t="s">
        <v>462</v>
      </c>
      <c r="S114" s="6"/>
      <c r="T114" s="6" t="s">
        <v>192</v>
      </c>
    </row>
    <row r="115" customFormat="false" ht="23.85" hidden="false" customHeight="false" outlineLevel="0" collapsed="false">
      <c r="A115" s="6" t="n">
        <v>114</v>
      </c>
      <c r="B115" s="7" t="n">
        <v>46313</v>
      </c>
      <c r="C115" s="6" t="s">
        <v>519</v>
      </c>
      <c r="D115" s="6" t="s">
        <v>476</v>
      </c>
      <c r="E115" s="6" t="s">
        <v>237</v>
      </c>
      <c r="F115" s="6" t="s">
        <v>591</v>
      </c>
      <c r="G115" s="6"/>
      <c r="H115" s="6" t="s">
        <v>592</v>
      </c>
      <c r="I115" s="8" t="s">
        <v>56</v>
      </c>
      <c r="J115" s="6" t="s">
        <v>593</v>
      </c>
      <c r="K115" s="8" t="s">
        <v>58</v>
      </c>
      <c r="L115" s="6"/>
      <c r="M115" s="6" t="s">
        <v>84</v>
      </c>
      <c r="N115" s="6" t="n">
        <v>1</v>
      </c>
      <c r="O115" s="6" t="n">
        <v>1</v>
      </c>
      <c r="P115" s="9" t="n">
        <v>0.8</v>
      </c>
      <c r="Q115" s="8" t="s">
        <v>60</v>
      </c>
      <c r="R115" s="6" t="s">
        <v>462</v>
      </c>
      <c r="S115" s="6"/>
      <c r="T115" s="6" t="s">
        <v>272</v>
      </c>
    </row>
    <row r="116" customFormat="false" ht="35.05" hidden="false" customHeight="false" outlineLevel="0" collapsed="false">
      <c r="A116" s="6" t="n">
        <v>115</v>
      </c>
      <c r="B116" s="7" t="n">
        <v>46313</v>
      </c>
      <c r="C116" s="6" t="s">
        <v>53</v>
      </c>
      <c r="D116" s="6" t="s">
        <v>535</v>
      </c>
      <c r="E116" s="6" t="s">
        <v>51</v>
      </c>
      <c r="F116" s="6" t="s">
        <v>594</v>
      </c>
      <c r="G116" s="6" t="n">
        <v>86</v>
      </c>
      <c r="H116" s="6" t="s">
        <v>55</v>
      </c>
      <c r="I116" s="8" t="s">
        <v>56</v>
      </c>
      <c r="J116" s="6" t="s">
        <v>593</v>
      </c>
      <c r="K116" s="8" t="s">
        <v>58</v>
      </c>
      <c r="L116" s="6"/>
      <c r="M116" s="6" t="s">
        <v>59</v>
      </c>
      <c r="N116" s="6" t="n">
        <v>1</v>
      </c>
      <c r="O116" s="6" t="n">
        <v>1</v>
      </c>
      <c r="P116" s="9" t="n">
        <v>0.8</v>
      </c>
      <c r="Q116" s="8" t="s">
        <v>60</v>
      </c>
      <c r="R116" s="6" t="s">
        <v>462</v>
      </c>
      <c r="S116" s="6" t="s">
        <v>463</v>
      </c>
      <c r="T116" s="6" t="s">
        <v>272</v>
      </c>
    </row>
    <row r="117" customFormat="false" ht="35.05" hidden="false" customHeight="false" outlineLevel="0" collapsed="false">
      <c r="A117" s="6" t="n">
        <v>116</v>
      </c>
      <c r="B117" s="7" t="n">
        <v>46180</v>
      </c>
      <c r="C117" s="6" t="s">
        <v>53</v>
      </c>
      <c r="D117" s="6" t="s">
        <v>595</v>
      </c>
      <c r="E117" s="6" t="s">
        <v>155</v>
      </c>
      <c r="F117" s="6" t="s">
        <v>596</v>
      </c>
      <c r="G117" s="6"/>
      <c r="H117" s="6" t="s">
        <v>597</v>
      </c>
      <c r="I117" s="8" t="s">
        <v>56</v>
      </c>
      <c r="J117" s="6" t="s">
        <v>294</v>
      </c>
      <c r="K117" s="8" t="s">
        <v>58</v>
      </c>
      <c r="L117" s="6"/>
      <c r="M117" s="6" t="s">
        <v>70</v>
      </c>
      <c r="N117" s="6" t="n">
        <v>1</v>
      </c>
      <c r="O117" s="6" t="n">
        <v>1</v>
      </c>
      <c r="P117" s="9" t="n">
        <v>0.8</v>
      </c>
      <c r="Q117" s="8" t="s">
        <v>60</v>
      </c>
      <c r="R117" s="6" t="s">
        <v>227</v>
      </c>
      <c r="S117" s="6"/>
      <c r="T117" s="6" t="s">
        <v>62</v>
      </c>
    </row>
    <row r="118" customFormat="false" ht="23.85" hidden="false" customHeight="false" outlineLevel="0" collapsed="false">
      <c r="A118" s="6" t="n">
        <v>117</v>
      </c>
      <c r="B118" s="7" t="n">
        <v>46315</v>
      </c>
      <c r="C118" s="6" t="s">
        <v>519</v>
      </c>
      <c r="D118" s="6" t="s">
        <v>476</v>
      </c>
      <c r="E118" s="6" t="s">
        <v>598</v>
      </c>
      <c r="F118" s="6" t="s">
        <v>599</v>
      </c>
      <c r="G118" s="6"/>
      <c r="H118" s="6" t="s">
        <v>600</v>
      </c>
      <c r="I118" s="8" t="s">
        <v>56</v>
      </c>
      <c r="J118" s="6" t="s">
        <v>601</v>
      </c>
      <c r="K118" s="8" t="s">
        <v>58</v>
      </c>
      <c r="L118" s="6"/>
      <c r="M118" s="6" t="s">
        <v>84</v>
      </c>
      <c r="N118" s="6" t="n">
        <v>1</v>
      </c>
      <c r="O118" s="6" t="n">
        <v>1</v>
      </c>
      <c r="P118" s="9" t="n">
        <v>0.8</v>
      </c>
      <c r="Q118" s="8" t="s">
        <v>60</v>
      </c>
      <c r="R118" s="6" t="s">
        <v>462</v>
      </c>
      <c r="S118" s="6"/>
      <c r="T118" s="6" t="s">
        <v>201</v>
      </c>
    </row>
    <row r="119" customFormat="false" ht="35.05" hidden="false" customHeight="false" outlineLevel="0" collapsed="false">
      <c r="A119" s="6" t="n">
        <v>118</v>
      </c>
      <c r="B119" s="7" t="n">
        <v>46316</v>
      </c>
      <c r="C119" s="6" t="s">
        <v>519</v>
      </c>
      <c r="D119" s="6" t="s">
        <v>476</v>
      </c>
      <c r="E119" s="6" t="s">
        <v>79</v>
      </c>
      <c r="F119" s="6" t="s">
        <v>602</v>
      </c>
      <c r="G119" s="6"/>
      <c r="H119" s="6" t="s">
        <v>603</v>
      </c>
      <c r="I119" s="8" t="s">
        <v>56</v>
      </c>
      <c r="J119" s="6" t="s">
        <v>604</v>
      </c>
      <c r="K119" s="8" t="s">
        <v>58</v>
      </c>
      <c r="L119" s="6"/>
      <c r="M119" s="6" t="s">
        <v>84</v>
      </c>
      <c r="N119" s="6" t="n">
        <v>1</v>
      </c>
      <c r="O119" s="6" t="n">
        <v>1</v>
      </c>
      <c r="P119" s="9" t="n">
        <v>0.8</v>
      </c>
      <c r="Q119" s="8" t="s">
        <v>60</v>
      </c>
      <c r="R119" s="6" t="s">
        <v>462</v>
      </c>
      <c r="S119" s="6"/>
      <c r="T119" s="6" t="s">
        <v>192</v>
      </c>
    </row>
    <row r="120" customFormat="false" ht="23.85" hidden="false" customHeight="false" outlineLevel="0" collapsed="false">
      <c r="A120" s="6" t="n">
        <v>119</v>
      </c>
      <c r="B120" s="7" t="n">
        <v>46316</v>
      </c>
      <c r="C120" s="6" t="s">
        <v>51</v>
      </c>
      <c r="D120" s="6" t="s">
        <v>361</v>
      </c>
      <c r="E120" s="6" t="s">
        <v>53</v>
      </c>
      <c r="F120" s="6" t="s">
        <v>605</v>
      </c>
      <c r="G120" s="6"/>
      <c r="H120" s="6" t="s">
        <v>55</v>
      </c>
      <c r="I120" s="8" t="s">
        <v>56</v>
      </c>
      <c r="J120" s="6" t="s">
        <v>606</v>
      </c>
      <c r="K120" s="8" t="s">
        <v>58</v>
      </c>
      <c r="L120" s="6"/>
      <c r="M120" s="6" t="s">
        <v>365</v>
      </c>
      <c r="N120" s="6" t="n">
        <v>2</v>
      </c>
      <c r="O120" s="6" t="n">
        <v>1</v>
      </c>
      <c r="P120" s="9" t="n">
        <v>0.8</v>
      </c>
      <c r="Q120" s="8" t="s">
        <v>60</v>
      </c>
      <c r="R120" s="6" t="s">
        <v>462</v>
      </c>
      <c r="S120" s="6"/>
      <c r="T120" s="6" t="s">
        <v>192</v>
      </c>
    </row>
    <row r="121" customFormat="false" ht="57.45" hidden="false" customHeight="false" outlineLevel="0" collapsed="false">
      <c r="A121" s="6" t="n">
        <v>120</v>
      </c>
      <c r="B121" s="7" t="n">
        <v>46316</v>
      </c>
      <c r="C121" s="6" t="s">
        <v>51</v>
      </c>
      <c r="D121" s="6" t="s">
        <v>607</v>
      </c>
      <c r="E121" s="6" t="s">
        <v>496</v>
      </c>
      <c r="F121" s="6" t="s">
        <v>608</v>
      </c>
      <c r="G121" s="6"/>
      <c r="H121" s="6" t="s">
        <v>55</v>
      </c>
      <c r="I121" s="8" t="s">
        <v>56</v>
      </c>
      <c r="J121" s="6" t="s">
        <v>609</v>
      </c>
      <c r="K121" s="8" t="s">
        <v>58</v>
      </c>
      <c r="L121" s="6"/>
      <c r="M121" s="6" t="s">
        <v>500</v>
      </c>
      <c r="N121" s="6" t="n">
        <v>3</v>
      </c>
      <c r="O121" s="6" t="n">
        <v>2</v>
      </c>
      <c r="P121" s="9" t="n">
        <v>0.96</v>
      </c>
      <c r="Q121" s="8" t="s">
        <v>60</v>
      </c>
      <c r="R121" s="6" t="s">
        <v>462</v>
      </c>
      <c r="S121" s="6"/>
      <c r="T121" s="6" t="s">
        <v>192</v>
      </c>
    </row>
    <row r="122" customFormat="false" ht="57.45" hidden="false" customHeight="false" outlineLevel="0" collapsed="false">
      <c r="A122" s="6" t="n">
        <v>121</v>
      </c>
      <c r="B122" s="7" t="n">
        <v>46317</v>
      </c>
      <c r="C122" s="6" t="s">
        <v>542</v>
      </c>
      <c r="D122" s="6" t="s">
        <v>610</v>
      </c>
      <c r="E122" s="6" t="s">
        <v>79</v>
      </c>
      <c r="F122" s="6" t="s">
        <v>611</v>
      </c>
      <c r="G122" s="6"/>
      <c r="H122" s="6" t="s">
        <v>612</v>
      </c>
      <c r="I122" s="8" t="s">
        <v>56</v>
      </c>
      <c r="J122" s="6" t="s">
        <v>613</v>
      </c>
      <c r="K122" s="11" t="s">
        <v>614</v>
      </c>
      <c r="L122" s="6"/>
      <c r="M122" s="6" t="s">
        <v>84</v>
      </c>
      <c r="N122" s="6" t="n">
        <v>2</v>
      </c>
      <c r="O122" s="6" t="n">
        <v>2</v>
      </c>
      <c r="P122" s="9" t="n">
        <v>0.96</v>
      </c>
      <c r="Q122" s="8" t="s">
        <v>60</v>
      </c>
      <c r="R122" s="6" t="s">
        <v>462</v>
      </c>
      <c r="S122" s="6"/>
      <c r="T122" s="6" t="s">
        <v>192</v>
      </c>
    </row>
    <row r="123" customFormat="false" ht="46.25" hidden="false" customHeight="false" outlineLevel="0" collapsed="false">
      <c r="A123" s="6" t="n">
        <v>122</v>
      </c>
      <c r="B123" s="7" t="n">
        <v>46318</v>
      </c>
      <c r="C123" s="6" t="s">
        <v>51</v>
      </c>
      <c r="D123" s="6" t="s">
        <v>615</v>
      </c>
      <c r="E123" s="6" t="s">
        <v>53</v>
      </c>
      <c r="F123" s="6" t="s">
        <v>616</v>
      </c>
      <c r="G123" s="6" t="n">
        <v>97</v>
      </c>
      <c r="H123" s="6" t="s">
        <v>55</v>
      </c>
      <c r="I123" s="8" t="s">
        <v>56</v>
      </c>
      <c r="J123" s="6" t="s">
        <v>617</v>
      </c>
      <c r="K123" s="8" t="s">
        <v>58</v>
      </c>
      <c r="L123" s="6"/>
      <c r="M123" s="6" t="s">
        <v>59</v>
      </c>
      <c r="N123" s="6" t="n">
        <v>3</v>
      </c>
      <c r="O123" s="6" t="n">
        <v>2</v>
      </c>
      <c r="P123" s="9" t="n">
        <v>0.96</v>
      </c>
      <c r="Q123" s="8" t="s">
        <v>60</v>
      </c>
      <c r="R123" s="6" t="s">
        <v>462</v>
      </c>
      <c r="S123" s="6" t="s">
        <v>527</v>
      </c>
      <c r="T123" s="6" t="s">
        <v>272</v>
      </c>
    </row>
    <row r="124" customFormat="false" ht="46.25" hidden="false" customHeight="false" outlineLevel="0" collapsed="false">
      <c r="A124" s="6" t="n">
        <v>123</v>
      </c>
      <c r="B124" s="7" t="n">
        <v>46318</v>
      </c>
      <c r="C124" s="6" t="s">
        <v>542</v>
      </c>
      <c r="D124" s="6" t="s">
        <v>618</v>
      </c>
      <c r="E124" s="6" t="s">
        <v>79</v>
      </c>
      <c r="F124" s="6" t="s">
        <v>619</v>
      </c>
      <c r="G124" s="6"/>
      <c r="H124" s="6" t="s">
        <v>620</v>
      </c>
      <c r="I124" s="8" t="s">
        <v>56</v>
      </c>
      <c r="J124" s="6" t="s">
        <v>613</v>
      </c>
      <c r="K124" s="11" t="s">
        <v>614</v>
      </c>
      <c r="L124" s="6"/>
      <c r="M124" s="6" t="s">
        <v>84</v>
      </c>
      <c r="N124" s="6" t="n">
        <v>2</v>
      </c>
      <c r="O124" s="6" t="n">
        <v>2</v>
      </c>
      <c r="P124" s="9" t="n">
        <v>0.96</v>
      </c>
      <c r="Q124" s="8" t="s">
        <v>60</v>
      </c>
      <c r="R124" s="6" t="s">
        <v>462</v>
      </c>
      <c r="S124" s="6"/>
      <c r="T124" s="6" t="s">
        <v>272</v>
      </c>
    </row>
    <row r="125" customFormat="false" ht="46.25" hidden="false" customHeight="false" outlineLevel="0" collapsed="false">
      <c r="A125" s="6" t="n">
        <v>124</v>
      </c>
      <c r="B125" s="7" t="n">
        <v>46319</v>
      </c>
      <c r="C125" s="6" t="s">
        <v>51</v>
      </c>
      <c r="D125" s="6" t="s">
        <v>621</v>
      </c>
      <c r="E125" s="6" t="s">
        <v>53</v>
      </c>
      <c r="F125" s="6" t="s">
        <v>622</v>
      </c>
      <c r="G125" s="6"/>
      <c r="H125" s="6" t="s">
        <v>55</v>
      </c>
      <c r="I125" s="8" t="s">
        <v>56</v>
      </c>
      <c r="J125" s="6" t="s">
        <v>623</v>
      </c>
      <c r="K125" s="8" t="s">
        <v>58</v>
      </c>
      <c r="L125" s="6"/>
      <c r="M125" s="6" t="s">
        <v>59</v>
      </c>
      <c r="N125" s="6" t="n">
        <v>3</v>
      </c>
      <c r="O125" s="6" t="n">
        <v>2</v>
      </c>
      <c r="P125" s="9" t="n">
        <v>0.96</v>
      </c>
      <c r="Q125" s="8" t="s">
        <v>60</v>
      </c>
      <c r="R125" s="6" t="s">
        <v>462</v>
      </c>
      <c r="S125" s="6"/>
      <c r="T125" s="6" t="s">
        <v>272</v>
      </c>
    </row>
    <row r="126" customFormat="false" ht="46.25" hidden="false" customHeight="false" outlineLevel="0" collapsed="false">
      <c r="A126" s="6" t="n">
        <v>125</v>
      </c>
      <c r="B126" s="7" t="n">
        <v>46319</v>
      </c>
      <c r="C126" s="6" t="s">
        <v>53</v>
      </c>
      <c r="D126" s="6" t="s">
        <v>491</v>
      </c>
      <c r="E126" s="6" t="s">
        <v>51</v>
      </c>
      <c r="F126" s="6" t="s">
        <v>624</v>
      </c>
      <c r="G126" s="6"/>
      <c r="H126" s="6" t="s">
        <v>55</v>
      </c>
      <c r="I126" s="8" t="s">
        <v>56</v>
      </c>
      <c r="J126" s="6" t="s">
        <v>617</v>
      </c>
      <c r="K126" s="8" t="s">
        <v>58</v>
      </c>
      <c r="L126" s="6"/>
      <c r="M126" s="6" t="s">
        <v>59</v>
      </c>
      <c r="N126" s="6" t="n">
        <v>2</v>
      </c>
      <c r="O126" s="6" t="n">
        <v>2</v>
      </c>
      <c r="P126" s="9" t="n">
        <v>0.96</v>
      </c>
      <c r="Q126" s="8" t="s">
        <v>60</v>
      </c>
      <c r="R126" s="6" t="s">
        <v>462</v>
      </c>
      <c r="S126" s="6"/>
      <c r="T126" s="6" t="s">
        <v>272</v>
      </c>
    </row>
    <row r="127" customFormat="false" ht="23.85" hidden="false" customHeight="false" outlineLevel="0" collapsed="false">
      <c r="A127" s="6" t="n">
        <v>126</v>
      </c>
      <c r="B127" s="7" t="n">
        <v>46320</v>
      </c>
      <c r="C127" s="6" t="s">
        <v>51</v>
      </c>
      <c r="D127" s="6" t="s">
        <v>491</v>
      </c>
      <c r="E127" s="6" t="s">
        <v>53</v>
      </c>
      <c r="F127" s="6" t="s">
        <v>625</v>
      </c>
      <c r="G127" s="6" t="n">
        <v>97</v>
      </c>
      <c r="H127" s="6" t="s">
        <v>55</v>
      </c>
      <c r="I127" s="8" t="s">
        <v>56</v>
      </c>
      <c r="J127" s="6" t="s">
        <v>626</v>
      </c>
      <c r="K127" s="8" t="s">
        <v>58</v>
      </c>
      <c r="L127" s="6"/>
      <c r="M127" s="6" t="s">
        <v>59</v>
      </c>
      <c r="N127" s="6" t="n">
        <v>1</v>
      </c>
      <c r="O127" s="6" t="n">
        <v>1</v>
      </c>
      <c r="P127" s="9" t="n">
        <v>0.8</v>
      </c>
      <c r="Q127" s="8" t="s">
        <v>60</v>
      </c>
      <c r="R127" s="6" t="s">
        <v>462</v>
      </c>
      <c r="S127" s="6" t="s">
        <v>527</v>
      </c>
      <c r="T127" s="6" t="s">
        <v>192</v>
      </c>
    </row>
    <row r="128" customFormat="false" ht="35.05" hidden="false" customHeight="false" outlineLevel="0" collapsed="false">
      <c r="A128" s="6" t="n">
        <v>127</v>
      </c>
      <c r="B128" s="7" t="n">
        <v>46320</v>
      </c>
      <c r="C128" s="6" t="s">
        <v>53</v>
      </c>
      <c r="D128" s="6" t="s">
        <v>627</v>
      </c>
      <c r="E128" s="6" t="s">
        <v>51</v>
      </c>
      <c r="F128" s="6" t="s">
        <v>628</v>
      </c>
      <c r="G128" s="6" t="n">
        <v>86</v>
      </c>
      <c r="H128" s="6" t="s">
        <v>55</v>
      </c>
      <c r="I128" s="8" t="s">
        <v>56</v>
      </c>
      <c r="J128" s="6" t="s">
        <v>626</v>
      </c>
      <c r="K128" s="8" t="s">
        <v>58</v>
      </c>
      <c r="L128" s="6"/>
      <c r="M128" s="6" t="s">
        <v>59</v>
      </c>
      <c r="N128" s="6" t="n">
        <v>1</v>
      </c>
      <c r="O128" s="6" t="n">
        <v>1</v>
      </c>
      <c r="P128" s="9" t="n">
        <v>0.8</v>
      </c>
      <c r="Q128" s="8" t="s">
        <v>60</v>
      </c>
      <c r="R128" s="6" t="s">
        <v>462</v>
      </c>
      <c r="S128" s="6" t="s">
        <v>463</v>
      </c>
      <c r="T128" s="6" t="s">
        <v>192</v>
      </c>
    </row>
    <row r="129" customFormat="false" ht="57.45" hidden="false" customHeight="false" outlineLevel="0" collapsed="false">
      <c r="A129" s="6" t="n">
        <v>128</v>
      </c>
      <c r="B129" s="7" t="n">
        <v>46321</v>
      </c>
      <c r="C129" s="6" t="s">
        <v>629</v>
      </c>
      <c r="D129" s="6" t="s">
        <v>630</v>
      </c>
      <c r="E129" s="6" t="s">
        <v>53</v>
      </c>
      <c r="F129" s="6" t="s">
        <v>631</v>
      </c>
      <c r="G129" s="6"/>
      <c r="H129" s="6" t="s">
        <v>55</v>
      </c>
      <c r="I129" s="8" t="s">
        <v>56</v>
      </c>
      <c r="J129" s="6" t="s">
        <v>632</v>
      </c>
      <c r="K129" s="8" t="s">
        <v>58</v>
      </c>
      <c r="L129" s="6"/>
      <c r="M129" s="6" t="s">
        <v>59</v>
      </c>
      <c r="N129" s="6" t="n">
        <v>2</v>
      </c>
      <c r="O129" s="6" t="n">
        <v>1</v>
      </c>
      <c r="P129" s="9" t="n">
        <v>0.8</v>
      </c>
      <c r="Q129" s="8" t="s">
        <v>60</v>
      </c>
      <c r="R129" s="6" t="s">
        <v>462</v>
      </c>
      <c r="S129" s="6"/>
      <c r="T129" s="6" t="s">
        <v>180</v>
      </c>
    </row>
    <row r="130" customFormat="false" ht="23.85" hidden="false" customHeight="false" outlineLevel="0" collapsed="false">
      <c r="A130" s="6" t="n">
        <v>201</v>
      </c>
      <c r="B130" s="7" t="n">
        <v>43590</v>
      </c>
      <c r="C130" s="6" t="s">
        <v>51</v>
      </c>
      <c r="D130" s="6" t="s">
        <v>633</v>
      </c>
      <c r="E130" s="6" t="s">
        <v>634</v>
      </c>
      <c r="F130" s="6" t="s">
        <v>635</v>
      </c>
      <c r="G130" s="6"/>
      <c r="H130" s="6" t="s">
        <v>55</v>
      </c>
      <c r="I130" s="10" t="s">
        <v>89</v>
      </c>
      <c r="J130" s="6" t="s">
        <v>636</v>
      </c>
      <c r="K130" s="8" t="s">
        <v>58</v>
      </c>
      <c r="L130" s="6"/>
      <c r="M130" s="6" t="s">
        <v>500</v>
      </c>
      <c r="N130" s="6" t="n">
        <v>1</v>
      </c>
      <c r="O130" s="6" t="n">
        <v>1</v>
      </c>
      <c r="P130" s="9" t="n">
        <v>0.64</v>
      </c>
      <c r="Q130" s="10" t="s">
        <v>119</v>
      </c>
      <c r="R130" s="6" t="s">
        <v>637</v>
      </c>
      <c r="S130" s="6"/>
      <c r="T130" s="6" t="s">
        <v>62</v>
      </c>
    </row>
    <row r="131" customFormat="false" ht="46.25" hidden="false" customHeight="false" outlineLevel="0" collapsed="false">
      <c r="A131" s="6" t="n">
        <v>202</v>
      </c>
      <c r="B131" s="7" t="n">
        <v>43597</v>
      </c>
      <c r="C131" s="6" t="s">
        <v>638</v>
      </c>
      <c r="D131" s="6" t="s">
        <v>639</v>
      </c>
      <c r="E131" s="6" t="s">
        <v>640</v>
      </c>
      <c r="F131" s="6" t="s">
        <v>641</v>
      </c>
      <c r="G131" s="6"/>
      <c r="H131" s="6" t="s">
        <v>642</v>
      </c>
      <c r="I131" s="8" t="s">
        <v>56</v>
      </c>
      <c r="J131" s="6" t="s">
        <v>643</v>
      </c>
      <c r="K131" s="8" t="s">
        <v>58</v>
      </c>
      <c r="L131" s="6"/>
      <c r="M131" s="6" t="s">
        <v>84</v>
      </c>
      <c r="N131" s="6" t="n">
        <v>2</v>
      </c>
      <c r="O131" s="6" t="n">
        <v>2</v>
      </c>
      <c r="P131" s="9" t="n">
        <v>0.87</v>
      </c>
      <c r="Q131" s="8" t="s">
        <v>60</v>
      </c>
      <c r="R131" s="6" t="s">
        <v>637</v>
      </c>
      <c r="S131" s="6"/>
      <c r="T131" s="6" t="s">
        <v>62</v>
      </c>
    </row>
    <row r="132" customFormat="false" ht="23.85" hidden="false" customHeight="false" outlineLevel="0" collapsed="false">
      <c r="A132" s="6" t="n">
        <v>203</v>
      </c>
      <c r="B132" s="7" t="n">
        <v>43629</v>
      </c>
      <c r="C132" s="6" t="s">
        <v>644</v>
      </c>
      <c r="D132" s="6" t="s">
        <v>476</v>
      </c>
      <c r="E132" s="6" t="s">
        <v>645</v>
      </c>
      <c r="F132" s="6" t="s">
        <v>646</v>
      </c>
      <c r="G132" s="6"/>
      <c r="H132" s="6" t="s">
        <v>647</v>
      </c>
      <c r="I132" s="8" t="s">
        <v>56</v>
      </c>
      <c r="J132" s="6" t="s">
        <v>648</v>
      </c>
      <c r="K132" s="8" t="s">
        <v>58</v>
      </c>
      <c r="L132" s="6"/>
      <c r="M132" s="6" t="s">
        <v>84</v>
      </c>
      <c r="N132" s="6" t="n">
        <v>2</v>
      </c>
      <c r="O132" s="6" t="n">
        <v>2</v>
      </c>
      <c r="P132" s="9" t="n">
        <v>0.87</v>
      </c>
      <c r="Q132" s="8" t="s">
        <v>60</v>
      </c>
      <c r="R132" s="6" t="s">
        <v>637</v>
      </c>
      <c r="S132" s="6" t="s">
        <v>649</v>
      </c>
      <c r="T132" s="6" t="s">
        <v>62</v>
      </c>
    </row>
    <row r="133" customFormat="false" ht="23.85" hidden="false" customHeight="false" outlineLevel="0" collapsed="false">
      <c r="A133" s="6" t="n">
        <v>204</v>
      </c>
      <c r="B133" s="7" t="n">
        <v>43633</v>
      </c>
      <c r="C133" s="6" t="s">
        <v>51</v>
      </c>
      <c r="D133" s="6" t="s">
        <v>633</v>
      </c>
      <c r="E133" s="6" t="s">
        <v>634</v>
      </c>
      <c r="F133" s="6" t="s">
        <v>650</v>
      </c>
      <c r="G133" s="6" t="n">
        <v>203</v>
      </c>
      <c r="H133" s="6" t="s">
        <v>55</v>
      </c>
      <c r="I133" s="8" t="s">
        <v>56</v>
      </c>
      <c r="J133" s="6" t="s">
        <v>651</v>
      </c>
      <c r="K133" s="8" t="s">
        <v>58</v>
      </c>
      <c r="L133" s="6"/>
      <c r="M133" s="6" t="s">
        <v>500</v>
      </c>
      <c r="N133" s="6" t="n">
        <v>2</v>
      </c>
      <c r="O133" s="6" t="n">
        <v>2</v>
      </c>
      <c r="P133" s="9" t="n">
        <v>0.87</v>
      </c>
      <c r="Q133" s="8" t="s">
        <v>60</v>
      </c>
      <c r="R133" s="6" t="s">
        <v>637</v>
      </c>
      <c r="S133" s="6" t="s">
        <v>649</v>
      </c>
      <c r="T133" s="6" t="s">
        <v>147</v>
      </c>
    </row>
    <row r="134" customFormat="false" ht="23.85" hidden="false" customHeight="false" outlineLevel="0" collapsed="false">
      <c r="A134" s="6" t="n">
        <v>205</v>
      </c>
      <c r="B134" s="7" t="n">
        <v>43636</v>
      </c>
      <c r="C134" s="6" t="s">
        <v>53</v>
      </c>
      <c r="D134" s="6" t="s">
        <v>652</v>
      </c>
      <c r="E134" s="6" t="s">
        <v>653</v>
      </c>
      <c r="F134" s="6" t="s">
        <v>654</v>
      </c>
      <c r="G134" s="6"/>
      <c r="H134" s="6" t="s">
        <v>655</v>
      </c>
      <c r="I134" s="8" t="s">
        <v>56</v>
      </c>
      <c r="J134" s="6" t="s">
        <v>656</v>
      </c>
      <c r="K134" s="8" t="s">
        <v>58</v>
      </c>
      <c r="L134" s="6"/>
      <c r="M134" s="6" t="s">
        <v>70</v>
      </c>
      <c r="N134" s="6" t="n">
        <v>2</v>
      </c>
      <c r="O134" s="6" t="n">
        <v>2</v>
      </c>
      <c r="P134" s="9" t="n">
        <v>0.87</v>
      </c>
      <c r="Q134" s="8" t="s">
        <v>60</v>
      </c>
      <c r="R134" s="6" t="s">
        <v>637</v>
      </c>
      <c r="S134" s="6" t="s">
        <v>657</v>
      </c>
      <c r="T134" s="6" t="s">
        <v>147</v>
      </c>
    </row>
    <row r="135" customFormat="false" ht="23.85" hidden="false" customHeight="false" outlineLevel="0" collapsed="false">
      <c r="A135" s="6" t="n">
        <v>206</v>
      </c>
      <c r="B135" s="7" t="n">
        <v>43640</v>
      </c>
      <c r="C135" s="6" t="s">
        <v>51</v>
      </c>
      <c r="D135" s="6" t="s">
        <v>361</v>
      </c>
      <c r="E135" s="6" t="s">
        <v>53</v>
      </c>
      <c r="F135" s="6" t="s">
        <v>658</v>
      </c>
      <c r="G135" s="6" t="n">
        <v>205</v>
      </c>
      <c r="H135" s="6" t="s">
        <v>55</v>
      </c>
      <c r="I135" s="10" t="s">
        <v>89</v>
      </c>
      <c r="J135" s="6" t="s">
        <v>659</v>
      </c>
      <c r="K135" s="8" t="s">
        <v>58</v>
      </c>
      <c r="L135" s="6"/>
      <c r="M135" s="6" t="s">
        <v>365</v>
      </c>
      <c r="N135" s="6" t="n">
        <v>1</v>
      </c>
      <c r="O135" s="6" t="n">
        <v>1</v>
      </c>
      <c r="P135" s="9" t="n">
        <v>0.64</v>
      </c>
      <c r="Q135" s="10" t="s">
        <v>119</v>
      </c>
      <c r="R135" s="6" t="s">
        <v>637</v>
      </c>
      <c r="S135" s="6" t="s">
        <v>657</v>
      </c>
      <c r="T135" s="6" t="s">
        <v>278</v>
      </c>
    </row>
    <row r="136" customFormat="false" ht="23.85" hidden="false" customHeight="false" outlineLevel="0" collapsed="false">
      <c r="A136" s="6" t="n">
        <v>207</v>
      </c>
      <c r="B136" s="7" t="n">
        <v>43664</v>
      </c>
      <c r="C136" s="6" t="s">
        <v>51</v>
      </c>
      <c r="D136" s="6" t="s">
        <v>660</v>
      </c>
      <c r="E136" s="6" t="s">
        <v>661</v>
      </c>
      <c r="F136" s="6" t="s">
        <v>662</v>
      </c>
      <c r="G136" s="6"/>
      <c r="H136" s="6" t="s">
        <v>663</v>
      </c>
      <c r="I136" s="8" t="s">
        <v>56</v>
      </c>
      <c r="J136" s="6" t="s">
        <v>664</v>
      </c>
      <c r="K136" s="8" t="s">
        <v>58</v>
      </c>
      <c r="L136" s="6"/>
      <c r="M136" s="6" t="s">
        <v>70</v>
      </c>
      <c r="N136" s="6" t="n">
        <v>2</v>
      </c>
      <c r="O136" s="6" t="n">
        <v>2</v>
      </c>
      <c r="P136" s="9" t="n">
        <v>0.87</v>
      </c>
      <c r="Q136" s="8" t="s">
        <v>60</v>
      </c>
      <c r="R136" s="6" t="s">
        <v>637</v>
      </c>
      <c r="S136" s="6"/>
      <c r="T136" s="6" t="s">
        <v>62</v>
      </c>
    </row>
    <row r="137" customFormat="false" ht="23.85" hidden="false" customHeight="false" outlineLevel="0" collapsed="false">
      <c r="A137" s="6" t="n">
        <v>208</v>
      </c>
      <c r="B137" s="7" t="n">
        <v>43677</v>
      </c>
      <c r="C137" s="6" t="s">
        <v>51</v>
      </c>
      <c r="D137" s="6" t="s">
        <v>361</v>
      </c>
      <c r="E137" s="6" t="s">
        <v>53</v>
      </c>
      <c r="F137" s="6" t="s">
        <v>665</v>
      </c>
      <c r="G137" s="6"/>
      <c r="H137" s="6" t="s">
        <v>55</v>
      </c>
      <c r="I137" s="8" t="s">
        <v>56</v>
      </c>
      <c r="J137" s="6" t="s">
        <v>666</v>
      </c>
      <c r="K137" s="8" t="s">
        <v>58</v>
      </c>
      <c r="L137" s="6"/>
      <c r="M137" s="6" t="s">
        <v>365</v>
      </c>
      <c r="N137" s="6" t="n">
        <v>2</v>
      </c>
      <c r="O137" s="6" t="n">
        <v>2</v>
      </c>
      <c r="P137" s="9" t="n">
        <v>0.87</v>
      </c>
      <c r="Q137" s="8" t="s">
        <v>60</v>
      </c>
      <c r="R137" s="6" t="s">
        <v>637</v>
      </c>
      <c r="S137" s="6"/>
      <c r="T137" s="6" t="s">
        <v>297</v>
      </c>
    </row>
    <row r="138" customFormat="false" ht="23.85" hidden="false" customHeight="false" outlineLevel="0" collapsed="false">
      <c r="A138" s="6" t="n">
        <v>209</v>
      </c>
      <c r="B138" s="7" t="n">
        <v>43722</v>
      </c>
      <c r="C138" s="6" t="s">
        <v>667</v>
      </c>
      <c r="D138" s="6" t="s">
        <v>668</v>
      </c>
      <c r="E138" s="6" t="s">
        <v>669</v>
      </c>
      <c r="F138" s="6" t="s">
        <v>670</v>
      </c>
      <c r="G138" s="6"/>
      <c r="H138" s="6" t="s">
        <v>671</v>
      </c>
      <c r="I138" s="8" t="s">
        <v>56</v>
      </c>
      <c r="J138" s="6" t="s">
        <v>672</v>
      </c>
      <c r="K138" s="8" t="s">
        <v>58</v>
      </c>
      <c r="L138" s="6"/>
      <c r="M138" s="6" t="s">
        <v>70</v>
      </c>
      <c r="N138" s="6" t="n">
        <v>2</v>
      </c>
      <c r="O138" s="6" t="n">
        <v>2</v>
      </c>
      <c r="P138" s="9" t="n">
        <v>0.87</v>
      </c>
      <c r="Q138" s="8" t="s">
        <v>60</v>
      </c>
      <c r="R138" s="6" t="s">
        <v>637</v>
      </c>
      <c r="S138" s="6" t="s">
        <v>673</v>
      </c>
      <c r="T138" s="6" t="s">
        <v>62</v>
      </c>
    </row>
    <row r="139" customFormat="false" ht="23.85" hidden="false" customHeight="false" outlineLevel="0" collapsed="false">
      <c r="A139" s="6" t="n">
        <v>210</v>
      </c>
      <c r="B139" s="7" t="n">
        <v>43728</v>
      </c>
      <c r="C139" s="6" t="s">
        <v>51</v>
      </c>
      <c r="D139" s="6" t="s">
        <v>361</v>
      </c>
      <c r="E139" s="6" t="s">
        <v>53</v>
      </c>
      <c r="F139" s="6" t="s">
        <v>674</v>
      </c>
      <c r="G139" s="6" t="n">
        <v>209</v>
      </c>
      <c r="H139" s="6" t="s">
        <v>55</v>
      </c>
      <c r="I139" s="10" t="s">
        <v>89</v>
      </c>
      <c r="J139" s="6" t="s">
        <v>675</v>
      </c>
      <c r="K139" s="8" t="s">
        <v>58</v>
      </c>
      <c r="L139" s="6"/>
      <c r="M139" s="6" t="s">
        <v>365</v>
      </c>
      <c r="N139" s="6" t="n">
        <v>1</v>
      </c>
      <c r="O139" s="6" t="n">
        <v>1</v>
      </c>
      <c r="P139" s="9" t="n">
        <v>0.64</v>
      </c>
      <c r="Q139" s="10" t="s">
        <v>119</v>
      </c>
      <c r="R139" s="6" t="s">
        <v>637</v>
      </c>
      <c r="S139" s="6" t="s">
        <v>673</v>
      </c>
      <c r="T139" s="6" t="s">
        <v>297</v>
      </c>
    </row>
    <row r="140" customFormat="false" ht="23.85" hidden="false" customHeight="false" outlineLevel="0" collapsed="false">
      <c r="A140" s="6" t="n">
        <v>211</v>
      </c>
      <c r="B140" s="7" t="n">
        <v>43728</v>
      </c>
      <c r="C140" s="6" t="s">
        <v>51</v>
      </c>
      <c r="D140" s="6" t="s">
        <v>633</v>
      </c>
      <c r="E140" s="6" t="s">
        <v>676</v>
      </c>
      <c r="F140" s="6" t="s">
        <v>677</v>
      </c>
      <c r="G140" s="6" t="n">
        <v>209</v>
      </c>
      <c r="H140" s="6" t="s">
        <v>55</v>
      </c>
      <c r="I140" s="8" t="s">
        <v>56</v>
      </c>
      <c r="J140" s="6" t="s">
        <v>678</v>
      </c>
      <c r="K140" s="8" t="s">
        <v>58</v>
      </c>
      <c r="L140" s="6"/>
      <c r="M140" s="6" t="s">
        <v>500</v>
      </c>
      <c r="N140" s="6" t="n">
        <v>2</v>
      </c>
      <c r="O140" s="6" t="n">
        <v>2</v>
      </c>
      <c r="P140" s="9" t="n">
        <v>0.87</v>
      </c>
      <c r="Q140" s="8" t="s">
        <v>60</v>
      </c>
      <c r="R140" s="6" t="s">
        <v>637</v>
      </c>
      <c r="S140" s="6" t="s">
        <v>673</v>
      </c>
      <c r="T140" s="6" t="s">
        <v>297</v>
      </c>
    </row>
    <row r="141" customFormat="false" ht="35.05" hidden="false" customHeight="false" outlineLevel="0" collapsed="false">
      <c r="A141" s="6" t="n">
        <v>212</v>
      </c>
      <c r="B141" s="7" t="n">
        <v>43826</v>
      </c>
      <c r="C141" s="6" t="s">
        <v>679</v>
      </c>
      <c r="D141" s="6" t="s">
        <v>680</v>
      </c>
      <c r="E141" s="6" t="s">
        <v>681</v>
      </c>
      <c r="F141" s="6" t="s">
        <v>682</v>
      </c>
      <c r="G141" s="6"/>
      <c r="H141" s="6" t="s">
        <v>683</v>
      </c>
      <c r="I141" s="8" t="s">
        <v>56</v>
      </c>
      <c r="J141" s="6" t="s">
        <v>684</v>
      </c>
      <c r="K141" s="8" t="s">
        <v>58</v>
      </c>
      <c r="L141" s="6"/>
      <c r="M141" s="6" t="s">
        <v>70</v>
      </c>
      <c r="N141" s="6" t="n">
        <v>2</v>
      </c>
      <c r="O141" s="6" t="n">
        <v>2</v>
      </c>
      <c r="P141" s="9" t="n">
        <v>0.87</v>
      </c>
      <c r="Q141" s="8" t="s">
        <v>60</v>
      </c>
      <c r="R141" s="6" t="s">
        <v>637</v>
      </c>
      <c r="S141" s="6" t="s">
        <v>685</v>
      </c>
      <c r="T141" s="6" t="s">
        <v>62</v>
      </c>
    </row>
    <row r="142" customFormat="false" ht="23.85" hidden="false" customHeight="false" outlineLevel="0" collapsed="false">
      <c r="A142" s="6" t="n">
        <v>213</v>
      </c>
      <c r="B142" s="7" t="n">
        <v>43828</v>
      </c>
      <c r="C142" s="6" t="s">
        <v>51</v>
      </c>
      <c r="D142" s="6" t="s">
        <v>686</v>
      </c>
      <c r="E142" s="6" t="s">
        <v>687</v>
      </c>
      <c r="F142" s="6" t="s">
        <v>688</v>
      </c>
      <c r="G142" s="6" t="n">
        <v>212</v>
      </c>
      <c r="H142" s="6" t="s">
        <v>689</v>
      </c>
      <c r="I142" s="8" t="s">
        <v>56</v>
      </c>
      <c r="J142" s="6" t="s">
        <v>684</v>
      </c>
      <c r="K142" s="8" t="s">
        <v>58</v>
      </c>
      <c r="L142" s="6"/>
      <c r="M142" s="6" t="s">
        <v>70</v>
      </c>
      <c r="N142" s="6" t="n">
        <v>2</v>
      </c>
      <c r="O142" s="6" t="n">
        <v>2</v>
      </c>
      <c r="P142" s="9" t="n">
        <v>0.87</v>
      </c>
      <c r="Q142" s="8" t="s">
        <v>60</v>
      </c>
      <c r="R142" s="6" t="s">
        <v>637</v>
      </c>
      <c r="S142" s="6" t="s">
        <v>685</v>
      </c>
      <c r="T142" s="6" t="s">
        <v>289</v>
      </c>
    </row>
    <row r="143" customFormat="false" ht="35.05" hidden="false" customHeight="false" outlineLevel="0" collapsed="false">
      <c r="A143" s="6" t="n">
        <v>214</v>
      </c>
      <c r="B143" s="7" t="n">
        <v>43830</v>
      </c>
      <c r="C143" s="6" t="s">
        <v>690</v>
      </c>
      <c r="D143" s="6" t="s">
        <v>691</v>
      </c>
      <c r="E143" s="6" t="s">
        <v>692</v>
      </c>
      <c r="F143" s="6" t="s">
        <v>693</v>
      </c>
      <c r="G143" s="6" t="n">
        <v>213</v>
      </c>
      <c r="H143" s="6" t="s">
        <v>694</v>
      </c>
      <c r="I143" s="10" t="s">
        <v>89</v>
      </c>
      <c r="J143" s="6" t="s">
        <v>695</v>
      </c>
      <c r="K143" s="8" t="s">
        <v>58</v>
      </c>
      <c r="L143" s="6"/>
      <c r="M143" s="6" t="s">
        <v>70</v>
      </c>
      <c r="N143" s="6" t="n">
        <v>1</v>
      </c>
      <c r="O143" s="6" t="n">
        <v>1</v>
      </c>
      <c r="P143" s="9" t="n">
        <v>0.64</v>
      </c>
      <c r="Q143" s="10" t="s">
        <v>119</v>
      </c>
      <c r="R143" s="6" t="s">
        <v>637</v>
      </c>
      <c r="S143" s="6" t="s">
        <v>685</v>
      </c>
      <c r="T143" s="6" t="s">
        <v>180</v>
      </c>
    </row>
    <row r="144" customFormat="false" ht="35.05" hidden="false" customHeight="false" outlineLevel="0" collapsed="false">
      <c r="A144" s="6" t="n">
        <v>215</v>
      </c>
      <c r="B144" s="7" t="n">
        <v>43833</v>
      </c>
      <c r="C144" s="6" t="s">
        <v>51</v>
      </c>
      <c r="D144" s="6" t="s">
        <v>169</v>
      </c>
      <c r="E144" s="6" t="s">
        <v>696</v>
      </c>
      <c r="F144" s="6" t="s">
        <v>697</v>
      </c>
      <c r="G144" s="6" t="n">
        <v>214</v>
      </c>
      <c r="H144" s="6" t="s">
        <v>698</v>
      </c>
      <c r="I144" s="8" t="s">
        <v>56</v>
      </c>
      <c r="J144" s="6" t="s">
        <v>699</v>
      </c>
      <c r="K144" s="8" t="s">
        <v>58</v>
      </c>
      <c r="L144" s="6"/>
      <c r="M144" s="6" t="s">
        <v>70</v>
      </c>
      <c r="N144" s="6" t="n">
        <v>2</v>
      </c>
      <c r="O144" s="6" t="n">
        <v>2</v>
      </c>
      <c r="P144" s="9" t="n">
        <v>0.87</v>
      </c>
      <c r="Q144" s="8" t="s">
        <v>60</v>
      </c>
      <c r="R144" s="6" t="s">
        <v>637</v>
      </c>
      <c r="S144" s="6" t="s">
        <v>685</v>
      </c>
      <c r="T144" s="6" t="s">
        <v>192</v>
      </c>
    </row>
    <row r="145" customFormat="false" ht="23.85" hidden="false" customHeight="false" outlineLevel="0" collapsed="false">
      <c r="A145" s="6" t="n">
        <v>216</v>
      </c>
      <c r="B145" s="7" t="n">
        <v>43838</v>
      </c>
      <c r="C145" s="6" t="s">
        <v>53</v>
      </c>
      <c r="D145" s="6" t="s">
        <v>85</v>
      </c>
      <c r="E145" s="6" t="s">
        <v>700</v>
      </c>
      <c r="F145" s="6" t="s">
        <v>701</v>
      </c>
      <c r="G145" s="6" t="n">
        <v>215</v>
      </c>
      <c r="H145" s="6" t="s">
        <v>702</v>
      </c>
      <c r="I145" s="8" t="s">
        <v>56</v>
      </c>
      <c r="J145" s="6" t="s">
        <v>703</v>
      </c>
      <c r="K145" s="8" t="s">
        <v>58</v>
      </c>
      <c r="L145" s="6"/>
      <c r="M145" s="6" t="s">
        <v>70</v>
      </c>
      <c r="N145" s="6" t="n">
        <v>2</v>
      </c>
      <c r="O145" s="6" t="n">
        <v>2</v>
      </c>
      <c r="P145" s="9" t="n">
        <v>0.87</v>
      </c>
      <c r="Q145" s="8" t="s">
        <v>60</v>
      </c>
      <c r="R145" s="6" t="s">
        <v>637</v>
      </c>
      <c r="S145" s="6" t="s">
        <v>685</v>
      </c>
      <c r="T145" s="6" t="s">
        <v>326</v>
      </c>
    </row>
    <row r="146" customFormat="false" ht="23.85" hidden="false" customHeight="false" outlineLevel="0" collapsed="false">
      <c r="A146" s="6" t="n">
        <v>217</v>
      </c>
      <c r="B146" s="7" t="n">
        <v>43840</v>
      </c>
      <c r="C146" s="6" t="s">
        <v>51</v>
      </c>
      <c r="D146" s="6" t="s">
        <v>361</v>
      </c>
      <c r="E146" s="6" t="s">
        <v>53</v>
      </c>
      <c r="F146" s="6" t="s">
        <v>704</v>
      </c>
      <c r="G146" s="6" t="n">
        <v>216</v>
      </c>
      <c r="H146" s="6" t="s">
        <v>55</v>
      </c>
      <c r="I146" s="10" t="s">
        <v>89</v>
      </c>
      <c r="J146" s="6" t="s">
        <v>705</v>
      </c>
      <c r="K146" s="8" t="s">
        <v>58</v>
      </c>
      <c r="L146" s="6"/>
      <c r="M146" s="6" t="s">
        <v>365</v>
      </c>
      <c r="N146" s="6" t="n">
        <v>1</v>
      </c>
      <c r="O146" s="6" t="n">
        <v>1</v>
      </c>
      <c r="P146" s="9" t="n">
        <v>0.64</v>
      </c>
      <c r="Q146" s="10" t="s">
        <v>119</v>
      </c>
      <c r="R146" s="6" t="s">
        <v>637</v>
      </c>
      <c r="S146" s="6" t="s">
        <v>685</v>
      </c>
      <c r="T146" s="6" t="s">
        <v>207</v>
      </c>
    </row>
    <row r="147" customFormat="false" ht="35.05" hidden="false" customHeight="false" outlineLevel="0" collapsed="false">
      <c r="A147" s="6" t="n">
        <v>218</v>
      </c>
      <c r="B147" s="7" t="n">
        <v>43901</v>
      </c>
      <c r="C147" s="6" t="s">
        <v>679</v>
      </c>
      <c r="D147" s="6" t="s">
        <v>680</v>
      </c>
      <c r="E147" s="6" t="s">
        <v>706</v>
      </c>
      <c r="F147" s="6" t="s">
        <v>707</v>
      </c>
      <c r="G147" s="6"/>
      <c r="H147" s="6" t="s">
        <v>708</v>
      </c>
      <c r="I147" s="10" t="s">
        <v>89</v>
      </c>
      <c r="J147" s="6" t="s">
        <v>709</v>
      </c>
      <c r="K147" s="8" t="s">
        <v>58</v>
      </c>
      <c r="L147" s="6"/>
      <c r="M147" s="6" t="s">
        <v>70</v>
      </c>
      <c r="N147" s="6" t="n">
        <v>1</v>
      </c>
      <c r="O147" s="6" t="n">
        <v>1</v>
      </c>
      <c r="P147" s="9" t="n">
        <v>0.64</v>
      </c>
      <c r="Q147" s="10" t="s">
        <v>119</v>
      </c>
      <c r="R147" s="6" t="s">
        <v>637</v>
      </c>
      <c r="S147" s="6" t="s">
        <v>710</v>
      </c>
      <c r="T147" s="6" t="s">
        <v>62</v>
      </c>
    </row>
    <row r="148" customFormat="false" ht="23.85" hidden="false" customHeight="false" outlineLevel="0" collapsed="false">
      <c r="A148" s="6" t="n">
        <v>219</v>
      </c>
      <c r="B148" s="7" t="n">
        <v>43902</v>
      </c>
      <c r="C148" s="6" t="s">
        <v>51</v>
      </c>
      <c r="D148" s="6" t="s">
        <v>711</v>
      </c>
      <c r="E148" s="6" t="s">
        <v>712</v>
      </c>
      <c r="F148" s="6" t="s">
        <v>713</v>
      </c>
      <c r="G148" s="6" t="n">
        <v>218</v>
      </c>
      <c r="H148" s="6" t="s">
        <v>714</v>
      </c>
      <c r="I148" s="10" t="s">
        <v>89</v>
      </c>
      <c r="J148" s="6" t="s">
        <v>709</v>
      </c>
      <c r="K148" s="8" t="s">
        <v>58</v>
      </c>
      <c r="L148" s="6"/>
      <c r="M148" s="6" t="s">
        <v>70</v>
      </c>
      <c r="N148" s="6" t="n">
        <v>1</v>
      </c>
      <c r="O148" s="6" t="n">
        <v>1</v>
      </c>
      <c r="P148" s="9" t="n">
        <v>0.64</v>
      </c>
      <c r="Q148" s="10" t="s">
        <v>119</v>
      </c>
      <c r="R148" s="6" t="s">
        <v>637</v>
      </c>
      <c r="S148" s="6" t="s">
        <v>710</v>
      </c>
      <c r="T148" s="6" t="s">
        <v>289</v>
      </c>
    </row>
    <row r="149" customFormat="false" ht="35.05" hidden="false" customHeight="false" outlineLevel="0" collapsed="false">
      <c r="A149" s="6" t="n">
        <v>220</v>
      </c>
      <c r="B149" s="7" t="n">
        <v>43904</v>
      </c>
      <c r="C149" s="6" t="s">
        <v>715</v>
      </c>
      <c r="D149" s="6" t="s">
        <v>680</v>
      </c>
      <c r="E149" s="6" t="s">
        <v>706</v>
      </c>
      <c r="F149" s="6" t="s">
        <v>716</v>
      </c>
      <c r="G149" s="6" t="n">
        <v>219</v>
      </c>
      <c r="H149" s="6" t="s">
        <v>717</v>
      </c>
      <c r="I149" s="8" t="s">
        <v>56</v>
      </c>
      <c r="J149" s="6" t="s">
        <v>718</v>
      </c>
      <c r="K149" s="8" t="s">
        <v>58</v>
      </c>
      <c r="L149" s="6"/>
      <c r="M149" s="6" t="s">
        <v>70</v>
      </c>
      <c r="N149" s="6" t="n">
        <v>1</v>
      </c>
      <c r="O149" s="6" t="n">
        <v>1</v>
      </c>
      <c r="P149" s="9" t="n">
        <v>0.8</v>
      </c>
      <c r="Q149" s="8" t="s">
        <v>60</v>
      </c>
      <c r="R149" s="6" t="s">
        <v>637</v>
      </c>
      <c r="S149" s="6" t="s">
        <v>710</v>
      </c>
      <c r="T149" s="6" t="s">
        <v>175</v>
      </c>
    </row>
    <row r="150" customFormat="false" ht="23.85" hidden="false" customHeight="false" outlineLevel="0" collapsed="false">
      <c r="A150" s="6" t="n">
        <v>221</v>
      </c>
      <c r="B150" s="7" t="n">
        <v>44057</v>
      </c>
      <c r="C150" s="6" t="s">
        <v>51</v>
      </c>
      <c r="D150" s="6" t="s">
        <v>719</v>
      </c>
      <c r="E150" s="6" t="s">
        <v>260</v>
      </c>
      <c r="F150" s="6" t="s">
        <v>720</v>
      </c>
      <c r="G150" s="6"/>
      <c r="H150" s="6" t="s">
        <v>55</v>
      </c>
      <c r="I150" s="8" t="s">
        <v>56</v>
      </c>
      <c r="J150" s="6" t="s">
        <v>721</v>
      </c>
      <c r="K150" s="8" t="s">
        <v>58</v>
      </c>
      <c r="L150" s="6"/>
      <c r="M150" s="6" t="s">
        <v>84</v>
      </c>
      <c r="N150" s="6" t="n">
        <v>2</v>
      </c>
      <c r="O150" s="6" t="n">
        <v>2</v>
      </c>
      <c r="P150" s="9" t="n">
        <v>0.87</v>
      </c>
      <c r="Q150" s="8" t="s">
        <v>60</v>
      </c>
      <c r="R150" s="6" t="s">
        <v>722</v>
      </c>
      <c r="S150" s="6"/>
      <c r="T150" s="6" t="s">
        <v>62</v>
      </c>
    </row>
    <row r="151" customFormat="false" ht="23.85" hidden="false" customHeight="false" outlineLevel="0" collapsed="false">
      <c r="A151" s="6" t="n">
        <v>222</v>
      </c>
      <c r="B151" s="7" t="n">
        <v>44252</v>
      </c>
      <c r="C151" s="6" t="s">
        <v>51</v>
      </c>
      <c r="D151" s="6" t="s">
        <v>723</v>
      </c>
      <c r="E151" s="6" t="s">
        <v>724</v>
      </c>
      <c r="F151" s="6" t="s">
        <v>725</v>
      </c>
      <c r="G151" s="6"/>
      <c r="H151" s="6" t="s">
        <v>714</v>
      </c>
      <c r="I151" s="10" t="s">
        <v>89</v>
      </c>
      <c r="J151" s="6" t="s">
        <v>726</v>
      </c>
      <c r="K151" s="8" t="s">
        <v>58</v>
      </c>
      <c r="L151" s="6"/>
      <c r="M151" s="6" t="s">
        <v>70</v>
      </c>
      <c r="N151" s="6" t="n">
        <v>1</v>
      </c>
      <c r="O151" s="6" t="n">
        <v>1</v>
      </c>
      <c r="P151" s="9" t="n">
        <v>0.64</v>
      </c>
      <c r="Q151" s="10" t="s">
        <v>119</v>
      </c>
      <c r="R151" s="6" t="s">
        <v>722</v>
      </c>
      <c r="S151" s="6"/>
      <c r="T151" s="6" t="s">
        <v>62</v>
      </c>
    </row>
    <row r="152" customFormat="false" ht="23.85" hidden="false" customHeight="false" outlineLevel="0" collapsed="false">
      <c r="A152" s="6" t="n">
        <v>223</v>
      </c>
      <c r="B152" s="7" t="n">
        <v>44374</v>
      </c>
      <c r="C152" s="6" t="s">
        <v>51</v>
      </c>
      <c r="D152" s="6" t="s">
        <v>723</v>
      </c>
      <c r="E152" s="6" t="s">
        <v>727</v>
      </c>
      <c r="F152" s="6" t="s">
        <v>728</v>
      </c>
      <c r="G152" s="6"/>
      <c r="H152" s="6" t="s">
        <v>55</v>
      </c>
      <c r="I152" s="8" t="s">
        <v>56</v>
      </c>
      <c r="J152" s="6" t="s">
        <v>729</v>
      </c>
      <c r="K152" s="8" t="s">
        <v>58</v>
      </c>
      <c r="L152" s="6"/>
      <c r="M152" s="6" t="s">
        <v>70</v>
      </c>
      <c r="N152" s="6" t="n">
        <v>1</v>
      </c>
      <c r="O152" s="6" t="n">
        <v>1</v>
      </c>
      <c r="P152" s="9" t="n">
        <v>0.8</v>
      </c>
      <c r="Q152" s="8" t="s">
        <v>60</v>
      </c>
      <c r="R152" s="6" t="s">
        <v>722</v>
      </c>
      <c r="S152" s="6" t="s">
        <v>730</v>
      </c>
      <c r="T152" s="6" t="s">
        <v>62</v>
      </c>
    </row>
    <row r="153" customFormat="false" ht="35.05" hidden="false" customHeight="false" outlineLevel="0" collapsed="false">
      <c r="A153" s="6" t="n">
        <v>224</v>
      </c>
      <c r="B153" s="7" t="n">
        <v>44375</v>
      </c>
      <c r="C153" s="6" t="s">
        <v>715</v>
      </c>
      <c r="D153" s="6" t="s">
        <v>680</v>
      </c>
      <c r="E153" s="6" t="s">
        <v>731</v>
      </c>
      <c r="F153" s="6" t="s">
        <v>732</v>
      </c>
      <c r="G153" s="6" t="n">
        <v>223</v>
      </c>
      <c r="H153" s="6" t="s">
        <v>733</v>
      </c>
      <c r="I153" s="8" t="s">
        <v>56</v>
      </c>
      <c r="J153" s="6" t="s">
        <v>734</v>
      </c>
      <c r="K153" s="8" t="s">
        <v>58</v>
      </c>
      <c r="L153" s="6"/>
      <c r="M153" s="6" t="s">
        <v>70</v>
      </c>
      <c r="N153" s="6" t="n">
        <v>2</v>
      </c>
      <c r="O153" s="6" t="n">
        <v>2</v>
      </c>
      <c r="P153" s="9" t="n">
        <v>0.93</v>
      </c>
      <c r="Q153" s="8" t="s">
        <v>60</v>
      </c>
      <c r="R153" s="6" t="s">
        <v>722</v>
      </c>
      <c r="S153" s="6" t="s">
        <v>730</v>
      </c>
      <c r="T153" s="6" t="s">
        <v>297</v>
      </c>
    </row>
    <row r="154" customFormat="false" ht="23.85" hidden="false" customHeight="false" outlineLevel="0" collapsed="false">
      <c r="A154" s="6" t="n">
        <v>225</v>
      </c>
      <c r="B154" s="7" t="n">
        <v>44797</v>
      </c>
      <c r="C154" s="6" t="s">
        <v>51</v>
      </c>
      <c r="D154" s="6" t="s">
        <v>735</v>
      </c>
      <c r="E154" s="6" t="s">
        <v>736</v>
      </c>
      <c r="F154" s="6" t="s">
        <v>737</v>
      </c>
      <c r="G154" s="6"/>
      <c r="H154" s="6" t="s">
        <v>738</v>
      </c>
      <c r="I154" s="8" t="s">
        <v>56</v>
      </c>
      <c r="J154" s="6" t="s">
        <v>739</v>
      </c>
      <c r="K154" s="8" t="s">
        <v>58</v>
      </c>
      <c r="L154" s="6"/>
      <c r="M154" s="6" t="s">
        <v>70</v>
      </c>
      <c r="N154" s="6" t="n">
        <v>2</v>
      </c>
      <c r="O154" s="6" t="n">
        <v>2</v>
      </c>
      <c r="P154" s="9" t="n">
        <v>0.93</v>
      </c>
      <c r="Q154" s="8" t="s">
        <v>60</v>
      </c>
      <c r="R154" s="6" t="s">
        <v>722</v>
      </c>
      <c r="S154" s="6" t="s">
        <v>740</v>
      </c>
      <c r="T154" s="6" t="s">
        <v>62</v>
      </c>
    </row>
    <row r="155" customFormat="false" ht="23.85" hidden="false" customHeight="false" outlineLevel="0" collapsed="false">
      <c r="A155" s="6" t="n">
        <v>226</v>
      </c>
      <c r="B155" s="7" t="n">
        <v>44797</v>
      </c>
      <c r="C155" s="6" t="s">
        <v>741</v>
      </c>
      <c r="D155" s="6" t="s">
        <v>680</v>
      </c>
      <c r="E155" s="6" t="s">
        <v>742</v>
      </c>
      <c r="F155" s="6" t="s">
        <v>743</v>
      </c>
      <c r="G155" s="6" t="n">
        <v>225</v>
      </c>
      <c r="H155" s="6" t="s">
        <v>744</v>
      </c>
      <c r="I155" s="8" t="s">
        <v>56</v>
      </c>
      <c r="J155" s="6" t="s">
        <v>745</v>
      </c>
      <c r="K155" s="8" t="s">
        <v>58</v>
      </c>
      <c r="L155" s="6"/>
      <c r="M155" s="6" t="s">
        <v>70</v>
      </c>
      <c r="N155" s="6" t="n">
        <v>1</v>
      </c>
      <c r="O155" s="6" t="n">
        <v>1</v>
      </c>
      <c r="P155" s="9" t="n">
        <v>0.8</v>
      </c>
      <c r="Q155" s="8" t="s">
        <v>60</v>
      </c>
      <c r="R155" s="6" t="s">
        <v>722</v>
      </c>
      <c r="S155" s="6" t="s">
        <v>740</v>
      </c>
      <c r="T155" s="6" t="s">
        <v>62</v>
      </c>
    </row>
    <row r="156" customFormat="false" ht="35.05" hidden="false" customHeight="false" outlineLevel="0" collapsed="false">
      <c r="A156" s="6" t="n">
        <v>227</v>
      </c>
      <c r="B156" s="7" t="n">
        <v>45008</v>
      </c>
      <c r="C156" s="6" t="s">
        <v>746</v>
      </c>
      <c r="D156" s="6" t="s">
        <v>747</v>
      </c>
      <c r="E156" s="6" t="s">
        <v>748</v>
      </c>
      <c r="F156" s="6" t="s">
        <v>749</v>
      </c>
      <c r="G156" s="6"/>
      <c r="H156" s="6" t="s">
        <v>750</v>
      </c>
      <c r="I156" s="8" t="s">
        <v>56</v>
      </c>
      <c r="J156" s="6" t="s">
        <v>751</v>
      </c>
      <c r="K156" s="8" t="s">
        <v>58</v>
      </c>
      <c r="L156" s="6"/>
      <c r="M156" s="6" t="s">
        <v>70</v>
      </c>
      <c r="N156" s="6" t="n">
        <v>2</v>
      </c>
      <c r="O156" s="6" t="n">
        <v>1</v>
      </c>
      <c r="P156" s="9" t="n">
        <v>0.8</v>
      </c>
      <c r="Q156" s="8" t="s">
        <v>60</v>
      </c>
      <c r="R156" s="6" t="s">
        <v>722</v>
      </c>
      <c r="S156" s="6" t="s">
        <v>752</v>
      </c>
      <c r="T156" s="6" t="s">
        <v>62</v>
      </c>
    </row>
    <row r="157" customFormat="false" ht="23.85" hidden="false" customHeight="false" outlineLevel="0" collapsed="false">
      <c r="A157" s="6" t="n">
        <v>228</v>
      </c>
      <c r="B157" s="7" t="n">
        <v>45008</v>
      </c>
      <c r="C157" s="6" t="s">
        <v>51</v>
      </c>
      <c r="D157" s="6" t="s">
        <v>753</v>
      </c>
      <c r="E157" s="6" t="s">
        <v>754</v>
      </c>
      <c r="F157" s="6" t="s">
        <v>755</v>
      </c>
      <c r="G157" s="6" t="n">
        <v>227</v>
      </c>
      <c r="H157" s="6" t="s">
        <v>756</v>
      </c>
      <c r="I157" s="8" t="s">
        <v>56</v>
      </c>
      <c r="J157" s="6" t="s">
        <v>757</v>
      </c>
      <c r="K157" s="8" t="s">
        <v>58</v>
      </c>
      <c r="L157" s="6"/>
      <c r="M157" s="6" t="s">
        <v>70</v>
      </c>
      <c r="N157" s="6" t="n">
        <v>1</v>
      </c>
      <c r="O157" s="6" t="n">
        <v>1</v>
      </c>
      <c r="P157" s="9" t="n">
        <v>0.8</v>
      </c>
      <c r="Q157" s="8" t="s">
        <v>60</v>
      </c>
      <c r="R157" s="6" t="s">
        <v>722</v>
      </c>
      <c r="S157" s="6" t="s">
        <v>752</v>
      </c>
      <c r="T157" s="6" t="s">
        <v>62</v>
      </c>
    </row>
    <row r="158" customFormat="false" ht="35.05" hidden="false" customHeight="false" outlineLevel="0" collapsed="false">
      <c r="A158" s="6" t="n">
        <v>229</v>
      </c>
      <c r="B158" s="7" t="n">
        <v>45009</v>
      </c>
      <c r="C158" s="6" t="s">
        <v>758</v>
      </c>
      <c r="D158" s="6" t="s">
        <v>759</v>
      </c>
      <c r="E158" s="6" t="s">
        <v>742</v>
      </c>
      <c r="F158" s="6" t="s">
        <v>760</v>
      </c>
      <c r="G158" s="6" t="n">
        <v>228</v>
      </c>
      <c r="H158" s="6" t="s">
        <v>761</v>
      </c>
      <c r="I158" s="8" t="s">
        <v>56</v>
      </c>
      <c r="J158" s="6" t="s">
        <v>757</v>
      </c>
      <c r="K158" s="8" t="s">
        <v>58</v>
      </c>
      <c r="L158" s="6"/>
      <c r="M158" s="6" t="s">
        <v>70</v>
      </c>
      <c r="N158" s="6" t="n">
        <v>1</v>
      </c>
      <c r="O158" s="6" t="n">
        <v>1</v>
      </c>
      <c r="P158" s="9" t="n">
        <v>0.8</v>
      </c>
      <c r="Q158" s="8" t="s">
        <v>60</v>
      </c>
      <c r="R158" s="6" t="s">
        <v>722</v>
      </c>
      <c r="S158" s="6" t="s">
        <v>752</v>
      </c>
      <c r="T158" s="6" t="s">
        <v>175</v>
      </c>
    </row>
    <row r="159" customFormat="false" ht="23.85" hidden="false" customHeight="false" outlineLevel="0" collapsed="false">
      <c r="A159" s="6" t="n">
        <v>230</v>
      </c>
      <c r="B159" s="7" t="n">
        <v>45043</v>
      </c>
      <c r="C159" s="6" t="s">
        <v>53</v>
      </c>
      <c r="D159" s="6" t="s">
        <v>762</v>
      </c>
      <c r="E159" s="6" t="s">
        <v>763</v>
      </c>
      <c r="F159" s="6" t="s">
        <v>764</v>
      </c>
      <c r="G159" s="6"/>
      <c r="H159" s="6" t="s">
        <v>765</v>
      </c>
      <c r="I159" s="10" t="s">
        <v>89</v>
      </c>
      <c r="J159" s="6" t="s">
        <v>766</v>
      </c>
      <c r="K159" s="8" t="s">
        <v>58</v>
      </c>
      <c r="L159" s="6"/>
      <c r="M159" s="6" t="s">
        <v>84</v>
      </c>
      <c r="N159" s="6" t="n">
        <v>2</v>
      </c>
      <c r="O159" s="6" t="n">
        <v>1</v>
      </c>
      <c r="P159" s="9" t="n">
        <v>0.64</v>
      </c>
      <c r="Q159" s="10" t="s">
        <v>119</v>
      </c>
      <c r="R159" s="6" t="s">
        <v>722</v>
      </c>
      <c r="S159" s="6"/>
      <c r="T159" s="6" t="s">
        <v>62</v>
      </c>
    </row>
    <row r="160" customFormat="false" ht="23.85" hidden="false" customHeight="false" outlineLevel="0" collapsed="false">
      <c r="A160" s="6" t="n">
        <v>231</v>
      </c>
      <c r="B160" s="7" t="n">
        <v>45124</v>
      </c>
      <c r="C160" s="6" t="s">
        <v>51</v>
      </c>
      <c r="D160" s="6" t="s">
        <v>633</v>
      </c>
      <c r="E160" s="6" t="s">
        <v>767</v>
      </c>
      <c r="F160" s="6" t="s">
        <v>768</v>
      </c>
      <c r="G160" s="6"/>
      <c r="H160" s="6" t="s">
        <v>55</v>
      </c>
      <c r="I160" s="8" t="s">
        <v>56</v>
      </c>
      <c r="J160" s="6" t="s">
        <v>769</v>
      </c>
      <c r="K160" s="8" t="s">
        <v>58</v>
      </c>
      <c r="L160" s="6"/>
      <c r="M160" s="6" t="s">
        <v>500</v>
      </c>
      <c r="N160" s="6" t="n">
        <v>2</v>
      </c>
      <c r="O160" s="6" t="n">
        <v>2</v>
      </c>
      <c r="P160" s="9" t="n">
        <v>0.87</v>
      </c>
      <c r="Q160" s="8" t="s">
        <v>60</v>
      </c>
      <c r="R160" s="6" t="s">
        <v>722</v>
      </c>
      <c r="S160" s="6"/>
      <c r="T160" s="6" t="s">
        <v>62</v>
      </c>
    </row>
    <row r="161" customFormat="false" ht="23.85" hidden="false" customHeight="false" outlineLevel="0" collapsed="false">
      <c r="A161" s="6" t="n">
        <v>232</v>
      </c>
      <c r="B161" s="7" t="n">
        <v>45148</v>
      </c>
      <c r="C161" s="6" t="s">
        <v>213</v>
      </c>
      <c r="D161" s="6" t="s">
        <v>770</v>
      </c>
      <c r="E161" s="6" t="s">
        <v>53</v>
      </c>
      <c r="F161" s="6" t="s">
        <v>771</v>
      </c>
      <c r="G161" s="6"/>
      <c r="H161" s="6" t="s">
        <v>55</v>
      </c>
      <c r="I161" s="8" t="s">
        <v>56</v>
      </c>
      <c r="J161" s="6" t="s">
        <v>772</v>
      </c>
      <c r="K161" s="8" t="s">
        <v>58</v>
      </c>
      <c r="L161" s="6"/>
      <c r="M161" s="6" t="s">
        <v>59</v>
      </c>
      <c r="N161" s="6" t="n">
        <v>2</v>
      </c>
      <c r="O161" s="6" t="n">
        <v>2</v>
      </c>
      <c r="P161" s="9" t="n">
        <v>0.87</v>
      </c>
      <c r="Q161" s="8" t="s">
        <v>60</v>
      </c>
      <c r="R161" s="6" t="s">
        <v>722</v>
      </c>
      <c r="S161" s="6"/>
      <c r="T161" s="6" t="s">
        <v>62</v>
      </c>
    </row>
    <row r="162" customFormat="false" ht="23.85" hidden="false" customHeight="false" outlineLevel="0" collapsed="false">
      <c r="A162" s="6" t="n">
        <v>233</v>
      </c>
      <c r="B162" s="7" t="n">
        <v>45225</v>
      </c>
      <c r="C162" s="6" t="s">
        <v>51</v>
      </c>
      <c r="D162" s="6" t="s">
        <v>773</v>
      </c>
      <c r="E162" s="6" t="s">
        <v>774</v>
      </c>
      <c r="F162" s="6" t="s">
        <v>775</v>
      </c>
      <c r="G162" s="6"/>
      <c r="H162" s="6" t="s">
        <v>55</v>
      </c>
      <c r="I162" s="10" t="s">
        <v>89</v>
      </c>
      <c r="J162" s="6" t="s">
        <v>776</v>
      </c>
      <c r="K162" s="8" t="s">
        <v>58</v>
      </c>
      <c r="L162" s="6"/>
      <c r="M162" s="6" t="s">
        <v>70</v>
      </c>
      <c r="N162" s="6" t="n">
        <v>1</v>
      </c>
      <c r="O162" s="6" t="n">
        <v>1</v>
      </c>
      <c r="P162" s="9" t="n">
        <v>0.64</v>
      </c>
      <c r="Q162" s="10" t="s">
        <v>119</v>
      </c>
      <c r="R162" s="6" t="s">
        <v>722</v>
      </c>
      <c r="S162" s="6"/>
      <c r="T162" s="6" t="s">
        <v>62</v>
      </c>
    </row>
    <row r="163" customFormat="false" ht="23.85" hidden="false" customHeight="false" outlineLevel="0" collapsed="false">
      <c r="A163" s="6" t="n">
        <v>234</v>
      </c>
      <c r="B163" s="7" t="n">
        <v>45238</v>
      </c>
      <c r="C163" s="6" t="s">
        <v>51</v>
      </c>
      <c r="D163" s="6" t="s">
        <v>777</v>
      </c>
      <c r="E163" s="6" t="s">
        <v>774</v>
      </c>
      <c r="F163" s="6" t="s">
        <v>778</v>
      </c>
      <c r="G163" s="6"/>
      <c r="H163" s="6" t="s">
        <v>55</v>
      </c>
      <c r="I163" s="10" t="s">
        <v>89</v>
      </c>
      <c r="J163" s="6" t="s">
        <v>779</v>
      </c>
      <c r="K163" s="8" t="s">
        <v>58</v>
      </c>
      <c r="L163" s="6"/>
      <c r="M163" s="6" t="s">
        <v>70</v>
      </c>
      <c r="N163" s="6" t="n">
        <v>1</v>
      </c>
      <c r="O163" s="6" t="n">
        <v>1</v>
      </c>
      <c r="P163" s="9" t="n">
        <v>0.64</v>
      </c>
      <c r="Q163" s="10" t="s">
        <v>119</v>
      </c>
      <c r="R163" s="6" t="s">
        <v>722</v>
      </c>
      <c r="S163" s="6"/>
      <c r="T163" s="6" t="s">
        <v>297</v>
      </c>
    </row>
    <row r="164" customFormat="false" ht="35.05" hidden="false" customHeight="false" outlineLevel="0" collapsed="false">
      <c r="A164" s="6" t="n">
        <v>235</v>
      </c>
      <c r="B164" s="7" t="n">
        <v>45285</v>
      </c>
      <c r="C164" s="6" t="s">
        <v>679</v>
      </c>
      <c r="D164" s="6" t="s">
        <v>747</v>
      </c>
      <c r="E164" s="6" t="s">
        <v>780</v>
      </c>
      <c r="F164" s="6" t="s">
        <v>781</v>
      </c>
      <c r="G164" s="6"/>
      <c r="H164" s="6" t="s">
        <v>782</v>
      </c>
      <c r="I164" s="10" t="s">
        <v>89</v>
      </c>
      <c r="J164" s="6" t="s">
        <v>783</v>
      </c>
      <c r="K164" s="8" t="s">
        <v>58</v>
      </c>
      <c r="L164" s="6"/>
      <c r="M164" s="6" t="s">
        <v>70</v>
      </c>
      <c r="N164" s="6" t="n">
        <v>1</v>
      </c>
      <c r="O164" s="6" t="n">
        <v>1</v>
      </c>
      <c r="P164" s="9" t="n">
        <v>0.64</v>
      </c>
      <c r="Q164" s="10" t="s">
        <v>119</v>
      </c>
      <c r="R164" s="6" t="s">
        <v>722</v>
      </c>
      <c r="S164" s="6" t="s">
        <v>784</v>
      </c>
      <c r="T164" s="6" t="s">
        <v>62</v>
      </c>
    </row>
    <row r="165" customFormat="false" ht="23.85" hidden="false" customHeight="false" outlineLevel="0" collapsed="false">
      <c r="A165" s="6" t="n">
        <v>236</v>
      </c>
      <c r="B165" s="7" t="n">
        <v>45286</v>
      </c>
      <c r="C165" s="6" t="s">
        <v>51</v>
      </c>
      <c r="D165" s="6" t="s">
        <v>686</v>
      </c>
      <c r="E165" s="6" t="s">
        <v>712</v>
      </c>
      <c r="F165" s="6" t="s">
        <v>785</v>
      </c>
      <c r="G165" s="6" t="n">
        <v>235</v>
      </c>
      <c r="H165" s="6" t="s">
        <v>55</v>
      </c>
      <c r="I165" s="8" t="s">
        <v>56</v>
      </c>
      <c r="J165" s="6" t="s">
        <v>786</v>
      </c>
      <c r="K165" s="8" t="s">
        <v>58</v>
      </c>
      <c r="L165" s="6"/>
      <c r="M165" s="6" t="s">
        <v>70</v>
      </c>
      <c r="N165" s="6" t="n">
        <v>2</v>
      </c>
      <c r="O165" s="6" t="n">
        <v>2</v>
      </c>
      <c r="P165" s="9" t="n">
        <v>0.87</v>
      </c>
      <c r="Q165" s="8" t="s">
        <v>60</v>
      </c>
      <c r="R165" s="6" t="s">
        <v>722</v>
      </c>
      <c r="S165" s="6" t="s">
        <v>784</v>
      </c>
      <c r="T165" s="6" t="s">
        <v>297</v>
      </c>
    </row>
    <row r="166" customFormat="false" ht="23.85" hidden="false" customHeight="false" outlineLevel="0" collapsed="false">
      <c r="A166" s="6" t="n">
        <v>237</v>
      </c>
      <c r="B166" s="7" t="n">
        <v>45295</v>
      </c>
      <c r="C166" s="6" t="s">
        <v>51</v>
      </c>
      <c r="D166" s="6" t="s">
        <v>787</v>
      </c>
      <c r="E166" s="6" t="s">
        <v>788</v>
      </c>
      <c r="F166" s="6" t="s">
        <v>789</v>
      </c>
      <c r="G166" s="6"/>
      <c r="H166" s="6" t="s">
        <v>790</v>
      </c>
      <c r="I166" s="10" t="s">
        <v>89</v>
      </c>
      <c r="J166" s="6" t="s">
        <v>791</v>
      </c>
      <c r="K166" s="8" t="s">
        <v>58</v>
      </c>
      <c r="L166" s="6"/>
      <c r="M166" s="6" t="s">
        <v>70</v>
      </c>
      <c r="N166" s="6" t="n">
        <v>1</v>
      </c>
      <c r="O166" s="6" t="n">
        <v>1</v>
      </c>
      <c r="P166" s="9" t="n">
        <v>0.64</v>
      </c>
      <c r="Q166" s="10" t="s">
        <v>119</v>
      </c>
      <c r="R166" s="6" t="s">
        <v>722</v>
      </c>
      <c r="S166" s="6"/>
      <c r="T166" s="6" t="s">
        <v>289</v>
      </c>
    </row>
    <row r="167" customFormat="false" ht="35.05" hidden="false" customHeight="false" outlineLevel="0" collapsed="false">
      <c r="A167" s="6" t="n">
        <v>238</v>
      </c>
      <c r="B167" s="7" t="n">
        <v>45319</v>
      </c>
      <c r="C167" s="6" t="s">
        <v>792</v>
      </c>
      <c r="D167" s="6" t="s">
        <v>747</v>
      </c>
      <c r="E167" s="6" t="s">
        <v>793</v>
      </c>
      <c r="F167" s="6" t="s">
        <v>794</v>
      </c>
      <c r="G167" s="6"/>
      <c r="H167" s="6" t="s">
        <v>795</v>
      </c>
      <c r="I167" s="10" t="s">
        <v>89</v>
      </c>
      <c r="J167" s="6" t="s">
        <v>796</v>
      </c>
      <c r="K167" s="8" t="s">
        <v>58</v>
      </c>
      <c r="L167" s="6"/>
      <c r="M167" s="6" t="s">
        <v>70</v>
      </c>
      <c r="N167" s="6" t="n">
        <v>1</v>
      </c>
      <c r="O167" s="6" t="n">
        <v>1</v>
      </c>
      <c r="P167" s="9" t="n">
        <v>0.64</v>
      </c>
      <c r="Q167" s="10" t="s">
        <v>119</v>
      </c>
      <c r="R167" s="6" t="s">
        <v>722</v>
      </c>
      <c r="S167" s="6" t="s">
        <v>797</v>
      </c>
      <c r="T167" s="6" t="s">
        <v>62</v>
      </c>
    </row>
    <row r="168" customFormat="false" ht="23.85" hidden="false" customHeight="false" outlineLevel="0" collapsed="false">
      <c r="A168" s="6" t="n">
        <v>239</v>
      </c>
      <c r="B168" s="7" t="n">
        <v>45321</v>
      </c>
      <c r="C168" s="6" t="s">
        <v>798</v>
      </c>
      <c r="D168" s="6" t="s">
        <v>799</v>
      </c>
      <c r="E168" s="6" t="s">
        <v>800</v>
      </c>
      <c r="F168" s="6" t="s">
        <v>801</v>
      </c>
      <c r="G168" s="6" t="n">
        <v>238</v>
      </c>
      <c r="H168" s="6" t="s">
        <v>55</v>
      </c>
      <c r="I168" s="8" t="s">
        <v>56</v>
      </c>
      <c r="J168" s="6" t="s">
        <v>802</v>
      </c>
      <c r="K168" s="8" t="s">
        <v>58</v>
      </c>
      <c r="L168" s="6"/>
      <c r="M168" s="6" t="s">
        <v>407</v>
      </c>
      <c r="N168" s="6" t="n">
        <v>2</v>
      </c>
      <c r="O168" s="6" t="n">
        <v>2</v>
      </c>
      <c r="P168" s="9" t="n">
        <v>0.87</v>
      </c>
      <c r="Q168" s="8" t="s">
        <v>60</v>
      </c>
      <c r="R168" s="6" t="s">
        <v>722</v>
      </c>
      <c r="S168" s="6" t="s">
        <v>797</v>
      </c>
      <c r="T168" s="6" t="s">
        <v>289</v>
      </c>
    </row>
    <row r="169" customFormat="false" ht="23.85" hidden="false" customHeight="false" outlineLevel="0" collapsed="false">
      <c r="A169" s="6" t="n">
        <v>240</v>
      </c>
      <c r="B169" s="7" t="n">
        <v>45324</v>
      </c>
      <c r="C169" s="6" t="s">
        <v>51</v>
      </c>
      <c r="D169" s="6" t="s">
        <v>803</v>
      </c>
      <c r="E169" s="6" t="s">
        <v>804</v>
      </c>
      <c r="F169" s="6" t="s">
        <v>805</v>
      </c>
      <c r="G169" s="6" t="n">
        <v>238</v>
      </c>
      <c r="H169" s="6" t="s">
        <v>806</v>
      </c>
      <c r="I169" s="8" t="s">
        <v>56</v>
      </c>
      <c r="J169" s="6" t="s">
        <v>807</v>
      </c>
      <c r="K169" s="8" t="s">
        <v>58</v>
      </c>
      <c r="L169" s="6"/>
      <c r="M169" s="6" t="s">
        <v>70</v>
      </c>
      <c r="N169" s="6" t="n">
        <v>2</v>
      </c>
      <c r="O169" s="6" t="n">
        <v>2</v>
      </c>
      <c r="P169" s="9" t="n">
        <v>0.87</v>
      </c>
      <c r="Q169" s="8" t="s">
        <v>60</v>
      </c>
      <c r="R169" s="6" t="s">
        <v>722</v>
      </c>
      <c r="S169" s="6" t="s">
        <v>797</v>
      </c>
      <c r="T169" s="6" t="s">
        <v>289</v>
      </c>
    </row>
    <row r="170" customFormat="false" ht="35.05" hidden="false" customHeight="false" outlineLevel="0" collapsed="false">
      <c r="A170" s="6" t="n">
        <v>241</v>
      </c>
      <c r="B170" s="7" t="n">
        <v>45326</v>
      </c>
      <c r="C170" s="6" t="s">
        <v>792</v>
      </c>
      <c r="D170" s="6" t="s">
        <v>747</v>
      </c>
      <c r="E170" s="6" t="s">
        <v>808</v>
      </c>
      <c r="F170" s="6" t="s">
        <v>809</v>
      </c>
      <c r="G170" s="6" t="n">
        <v>240</v>
      </c>
      <c r="H170" s="6" t="s">
        <v>810</v>
      </c>
      <c r="I170" s="8" t="s">
        <v>56</v>
      </c>
      <c r="J170" s="6" t="s">
        <v>811</v>
      </c>
      <c r="K170" s="8" t="s">
        <v>58</v>
      </c>
      <c r="L170" s="6"/>
      <c r="M170" s="6" t="s">
        <v>70</v>
      </c>
      <c r="N170" s="6" t="n">
        <v>1</v>
      </c>
      <c r="O170" s="6" t="n">
        <v>1</v>
      </c>
      <c r="P170" s="9" t="n">
        <v>0.8</v>
      </c>
      <c r="Q170" s="8" t="s">
        <v>60</v>
      </c>
      <c r="R170" s="6" t="s">
        <v>722</v>
      </c>
      <c r="S170" s="6" t="s">
        <v>797</v>
      </c>
      <c r="T170" s="6" t="s">
        <v>180</v>
      </c>
    </row>
    <row r="171" customFormat="false" ht="23.85" hidden="false" customHeight="false" outlineLevel="0" collapsed="false">
      <c r="A171" s="6" t="n">
        <v>242</v>
      </c>
      <c r="B171" s="7" t="n">
        <v>45329</v>
      </c>
      <c r="C171" s="6" t="s">
        <v>51</v>
      </c>
      <c r="D171" s="6" t="s">
        <v>169</v>
      </c>
      <c r="E171" s="6" t="s">
        <v>812</v>
      </c>
      <c r="F171" s="6" t="s">
        <v>813</v>
      </c>
      <c r="G171" s="6"/>
      <c r="H171" s="6" t="s">
        <v>814</v>
      </c>
      <c r="I171" s="10" t="s">
        <v>89</v>
      </c>
      <c r="J171" s="6" t="s">
        <v>815</v>
      </c>
      <c r="K171" s="8" t="s">
        <v>58</v>
      </c>
      <c r="L171" s="6"/>
      <c r="M171" s="6" t="s">
        <v>70</v>
      </c>
      <c r="N171" s="6" t="n">
        <v>1</v>
      </c>
      <c r="O171" s="6" t="n">
        <v>1</v>
      </c>
      <c r="P171" s="9" t="n">
        <v>0.64</v>
      </c>
      <c r="Q171" s="10" t="s">
        <v>119</v>
      </c>
      <c r="R171" s="6" t="s">
        <v>722</v>
      </c>
      <c r="S171" s="6"/>
      <c r="T171" s="6" t="s">
        <v>201</v>
      </c>
    </row>
    <row r="172" customFormat="false" ht="23.85" hidden="false" customHeight="false" outlineLevel="0" collapsed="false">
      <c r="A172" s="6" t="n">
        <v>243</v>
      </c>
      <c r="B172" s="7" t="n">
        <v>45395</v>
      </c>
      <c r="C172" s="6" t="s">
        <v>53</v>
      </c>
      <c r="D172" s="6" t="s">
        <v>816</v>
      </c>
      <c r="E172" s="6" t="s">
        <v>155</v>
      </c>
      <c r="F172" s="6" t="s">
        <v>817</v>
      </c>
      <c r="G172" s="6"/>
      <c r="H172" s="6" t="s">
        <v>818</v>
      </c>
      <c r="I172" s="10" t="s">
        <v>89</v>
      </c>
      <c r="J172" s="6" t="s">
        <v>819</v>
      </c>
      <c r="K172" s="8" t="s">
        <v>58</v>
      </c>
      <c r="L172" s="6"/>
      <c r="M172" s="6" t="s">
        <v>70</v>
      </c>
      <c r="N172" s="6" t="n">
        <v>1</v>
      </c>
      <c r="O172" s="6" t="n">
        <v>1</v>
      </c>
      <c r="P172" s="9" t="n">
        <v>0.64</v>
      </c>
      <c r="Q172" s="10" t="s">
        <v>119</v>
      </c>
      <c r="R172" s="6" t="s">
        <v>722</v>
      </c>
      <c r="S172" s="6" t="s">
        <v>820</v>
      </c>
      <c r="T172" s="6" t="s">
        <v>62</v>
      </c>
    </row>
    <row r="173" customFormat="false" ht="15" hidden="false" customHeight="false" outlineLevel="0" collapsed="false">
      <c r="A173" s="6" t="n">
        <v>244</v>
      </c>
      <c r="B173" s="7" t="n">
        <v>45400</v>
      </c>
      <c r="C173" s="6" t="s">
        <v>51</v>
      </c>
      <c r="D173" s="6" t="s">
        <v>361</v>
      </c>
      <c r="E173" s="6" t="s">
        <v>53</v>
      </c>
      <c r="F173" s="6" t="s">
        <v>821</v>
      </c>
      <c r="G173" s="6" t="n">
        <v>243</v>
      </c>
      <c r="H173" s="6" t="s">
        <v>55</v>
      </c>
      <c r="I173" s="10" t="s">
        <v>89</v>
      </c>
      <c r="J173" s="6" t="s">
        <v>822</v>
      </c>
      <c r="K173" s="8" t="s">
        <v>58</v>
      </c>
      <c r="L173" s="6"/>
      <c r="M173" s="6" t="s">
        <v>365</v>
      </c>
      <c r="N173" s="6" t="n">
        <v>1</v>
      </c>
      <c r="O173" s="6" t="n">
        <v>1</v>
      </c>
      <c r="P173" s="9" t="n">
        <v>0.64</v>
      </c>
      <c r="Q173" s="10" t="s">
        <v>119</v>
      </c>
      <c r="R173" s="6" t="s">
        <v>722</v>
      </c>
      <c r="S173" s="6" t="s">
        <v>820</v>
      </c>
      <c r="T173" s="6" t="s">
        <v>297</v>
      </c>
    </row>
    <row r="174" customFormat="false" ht="15" hidden="false" customHeight="false" outlineLevel="0" collapsed="false">
      <c r="A174" s="6" t="n">
        <v>245</v>
      </c>
      <c r="B174" s="7" t="n">
        <v>45566</v>
      </c>
      <c r="C174" s="6" t="s">
        <v>53</v>
      </c>
      <c r="D174" s="6" t="s">
        <v>823</v>
      </c>
      <c r="E174" s="6" t="s">
        <v>155</v>
      </c>
      <c r="F174" s="6" t="s">
        <v>824</v>
      </c>
      <c r="G174" s="6"/>
      <c r="H174" s="6" t="s">
        <v>714</v>
      </c>
      <c r="I174" s="10" t="s">
        <v>89</v>
      </c>
      <c r="J174" s="6" t="s">
        <v>825</v>
      </c>
      <c r="K174" s="8" t="s">
        <v>58</v>
      </c>
      <c r="L174" s="6"/>
      <c r="M174" s="6" t="s">
        <v>70</v>
      </c>
      <c r="N174" s="6" t="n">
        <v>1</v>
      </c>
      <c r="O174" s="6" t="n">
        <v>1</v>
      </c>
      <c r="P174" s="9" t="n">
        <v>0.64</v>
      </c>
      <c r="Q174" s="10" t="s">
        <v>119</v>
      </c>
      <c r="R174" s="6" t="s">
        <v>722</v>
      </c>
      <c r="S174" s="6" t="s">
        <v>826</v>
      </c>
      <c r="T174" s="6" t="s">
        <v>62</v>
      </c>
    </row>
    <row r="175" customFormat="false" ht="23.85" hidden="false" customHeight="false" outlineLevel="0" collapsed="false">
      <c r="A175" s="6" t="n">
        <v>246</v>
      </c>
      <c r="B175" s="7" t="n">
        <v>45578</v>
      </c>
      <c r="C175" s="6" t="s">
        <v>51</v>
      </c>
      <c r="D175" s="6" t="s">
        <v>633</v>
      </c>
      <c r="E175" s="6" t="s">
        <v>155</v>
      </c>
      <c r="F175" s="6" t="s">
        <v>827</v>
      </c>
      <c r="G175" s="6" t="n">
        <v>245</v>
      </c>
      <c r="H175" s="6" t="s">
        <v>55</v>
      </c>
      <c r="I175" s="8" t="s">
        <v>56</v>
      </c>
      <c r="J175" s="6" t="s">
        <v>828</v>
      </c>
      <c r="K175" s="8" t="s">
        <v>58</v>
      </c>
      <c r="L175" s="6"/>
      <c r="M175" s="6" t="s">
        <v>500</v>
      </c>
      <c r="N175" s="6" t="n">
        <v>2</v>
      </c>
      <c r="O175" s="6" t="n">
        <v>2</v>
      </c>
      <c r="P175" s="9" t="n">
        <v>0.87</v>
      </c>
      <c r="Q175" s="8" t="s">
        <v>60</v>
      </c>
      <c r="R175" s="6" t="s">
        <v>722</v>
      </c>
      <c r="S175" s="6" t="s">
        <v>826</v>
      </c>
      <c r="T175" s="6" t="s">
        <v>297</v>
      </c>
    </row>
    <row r="176" customFormat="false" ht="23.85" hidden="false" customHeight="false" outlineLevel="0" collapsed="false">
      <c r="A176" s="6" t="n">
        <v>247</v>
      </c>
      <c r="B176" s="7" t="n">
        <v>45692</v>
      </c>
      <c r="C176" s="6" t="s">
        <v>51</v>
      </c>
      <c r="D176" s="6" t="s">
        <v>829</v>
      </c>
      <c r="E176" s="6" t="s">
        <v>53</v>
      </c>
      <c r="F176" s="6" t="s">
        <v>830</v>
      </c>
      <c r="G176" s="6"/>
      <c r="H176" s="6" t="s">
        <v>55</v>
      </c>
      <c r="I176" s="10" t="s">
        <v>89</v>
      </c>
      <c r="J176" s="6" t="s">
        <v>831</v>
      </c>
      <c r="K176" s="8" t="s">
        <v>58</v>
      </c>
      <c r="L176" s="6"/>
      <c r="M176" s="6" t="s">
        <v>365</v>
      </c>
      <c r="N176" s="6" t="n">
        <v>1</v>
      </c>
      <c r="O176" s="6" t="n">
        <v>1</v>
      </c>
      <c r="P176" s="9" t="n">
        <v>0.64</v>
      </c>
      <c r="Q176" s="10" t="s">
        <v>119</v>
      </c>
      <c r="R176" s="6" t="s">
        <v>722</v>
      </c>
      <c r="S176" s="6"/>
      <c r="T176" s="6" t="s">
        <v>62</v>
      </c>
    </row>
    <row r="177" customFormat="false" ht="23.85" hidden="false" customHeight="false" outlineLevel="0" collapsed="false">
      <c r="A177" s="6" t="n">
        <v>248</v>
      </c>
      <c r="B177" s="7" t="n">
        <v>45759</v>
      </c>
      <c r="C177" s="6" t="s">
        <v>213</v>
      </c>
      <c r="D177" s="6" t="s">
        <v>248</v>
      </c>
      <c r="E177" s="6" t="s">
        <v>215</v>
      </c>
      <c r="F177" s="6" t="s">
        <v>832</v>
      </c>
      <c r="G177" s="6"/>
      <c r="H177" s="6" t="s">
        <v>55</v>
      </c>
      <c r="I177" s="8" t="s">
        <v>56</v>
      </c>
      <c r="J177" s="6" t="s">
        <v>833</v>
      </c>
      <c r="K177" s="8" t="s">
        <v>58</v>
      </c>
      <c r="L177" s="6"/>
      <c r="M177" s="6" t="s">
        <v>59</v>
      </c>
      <c r="N177" s="6" t="n">
        <v>2</v>
      </c>
      <c r="O177" s="6" t="n">
        <v>2</v>
      </c>
      <c r="P177" s="9" t="n">
        <v>0.87</v>
      </c>
      <c r="Q177" s="8" t="s">
        <v>60</v>
      </c>
      <c r="R177" s="6" t="s">
        <v>722</v>
      </c>
      <c r="S177" s="6"/>
      <c r="T177" s="6" t="s">
        <v>62</v>
      </c>
    </row>
    <row r="178" customFormat="false" ht="15" hidden="false" customHeight="false" outlineLevel="0" collapsed="false">
      <c r="A178" s="6" t="n">
        <v>249</v>
      </c>
      <c r="B178" s="7" t="n">
        <v>45766</v>
      </c>
      <c r="C178" s="6" t="s">
        <v>213</v>
      </c>
      <c r="D178" s="6" t="s">
        <v>248</v>
      </c>
      <c r="E178" s="6" t="s">
        <v>215</v>
      </c>
      <c r="F178" s="6" t="s">
        <v>834</v>
      </c>
      <c r="G178" s="6"/>
      <c r="H178" s="6" t="s">
        <v>55</v>
      </c>
      <c r="I178" s="10" t="s">
        <v>89</v>
      </c>
      <c r="J178" s="6" t="s">
        <v>835</v>
      </c>
      <c r="K178" s="8" t="s">
        <v>58</v>
      </c>
      <c r="L178" s="6"/>
      <c r="M178" s="6" t="s">
        <v>59</v>
      </c>
      <c r="N178" s="6" t="n">
        <v>1</v>
      </c>
      <c r="O178" s="6" t="n">
        <v>1</v>
      </c>
      <c r="P178" s="9" t="n">
        <v>0.64</v>
      </c>
      <c r="Q178" s="10" t="s">
        <v>119</v>
      </c>
      <c r="R178" s="6" t="s">
        <v>722</v>
      </c>
      <c r="S178" s="6"/>
      <c r="T178" s="6" t="s">
        <v>62</v>
      </c>
    </row>
    <row r="179" customFormat="false" ht="15" hidden="false" customHeight="false" outlineLevel="0" collapsed="false">
      <c r="A179" s="6" t="n">
        <v>250</v>
      </c>
      <c r="B179" s="7" t="n">
        <v>45773</v>
      </c>
      <c r="C179" s="6" t="s">
        <v>213</v>
      </c>
      <c r="D179" s="6" t="s">
        <v>248</v>
      </c>
      <c r="E179" s="6" t="s">
        <v>215</v>
      </c>
      <c r="F179" s="6" t="s">
        <v>836</v>
      </c>
      <c r="G179" s="6"/>
      <c r="H179" s="6" t="s">
        <v>55</v>
      </c>
      <c r="I179" s="10" t="s">
        <v>89</v>
      </c>
      <c r="J179" s="6" t="s">
        <v>835</v>
      </c>
      <c r="K179" s="8" t="s">
        <v>58</v>
      </c>
      <c r="L179" s="6"/>
      <c r="M179" s="6" t="s">
        <v>59</v>
      </c>
      <c r="N179" s="6" t="n">
        <v>1</v>
      </c>
      <c r="O179" s="6" t="n">
        <v>1</v>
      </c>
      <c r="P179" s="9" t="n">
        <v>0.64</v>
      </c>
      <c r="Q179" s="10" t="s">
        <v>119</v>
      </c>
      <c r="R179" s="6" t="s">
        <v>722</v>
      </c>
      <c r="S179" s="6"/>
      <c r="T179" s="6" t="s">
        <v>62</v>
      </c>
    </row>
    <row r="180" customFormat="false" ht="15" hidden="false" customHeight="false" outlineLevel="0" collapsed="false">
      <c r="A180" s="6" t="n">
        <v>251</v>
      </c>
      <c r="B180" s="7" t="n">
        <v>45788</v>
      </c>
      <c r="C180" s="6" t="s">
        <v>213</v>
      </c>
      <c r="D180" s="6" t="s">
        <v>248</v>
      </c>
      <c r="E180" s="6" t="s">
        <v>215</v>
      </c>
      <c r="F180" s="6" t="s">
        <v>837</v>
      </c>
      <c r="G180" s="6"/>
      <c r="H180" s="6" t="s">
        <v>55</v>
      </c>
      <c r="I180" s="10" t="s">
        <v>89</v>
      </c>
      <c r="J180" s="6" t="s">
        <v>838</v>
      </c>
      <c r="K180" s="8" t="s">
        <v>58</v>
      </c>
      <c r="L180" s="6"/>
      <c r="M180" s="6" t="s">
        <v>59</v>
      </c>
      <c r="N180" s="6" t="n">
        <v>1</v>
      </c>
      <c r="O180" s="6" t="n">
        <v>1</v>
      </c>
      <c r="P180" s="9" t="n">
        <v>0.64</v>
      </c>
      <c r="Q180" s="10" t="s">
        <v>119</v>
      </c>
      <c r="R180" s="6" t="s">
        <v>722</v>
      </c>
      <c r="S180" s="6"/>
      <c r="T180" s="6" t="s">
        <v>62</v>
      </c>
    </row>
    <row r="181" customFormat="false" ht="15" hidden="false" customHeight="false" outlineLevel="0" collapsed="false">
      <c r="A181" s="6" t="n">
        <v>252</v>
      </c>
      <c r="B181" s="7" t="n">
        <v>45800</v>
      </c>
      <c r="C181" s="6" t="s">
        <v>213</v>
      </c>
      <c r="D181" s="6" t="s">
        <v>248</v>
      </c>
      <c r="E181" s="6" t="s">
        <v>215</v>
      </c>
      <c r="F181" s="6" t="s">
        <v>839</v>
      </c>
      <c r="G181" s="6"/>
      <c r="H181" s="6" t="s">
        <v>55</v>
      </c>
      <c r="I181" s="10" t="s">
        <v>89</v>
      </c>
      <c r="J181" s="6" t="s">
        <v>840</v>
      </c>
      <c r="K181" s="8" t="s">
        <v>58</v>
      </c>
      <c r="L181" s="6"/>
      <c r="M181" s="6" t="s">
        <v>59</v>
      </c>
      <c r="N181" s="6" t="n">
        <v>1</v>
      </c>
      <c r="O181" s="6" t="n">
        <v>1</v>
      </c>
      <c r="P181" s="9" t="n">
        <v>0.64</v>
      </c>
      <c r="Q181" s="10" t="s">
        <v>119</v>
      </c>
      <c r="R181" s="6" t="s">
        <v>722</v>
      </c>
      <c r="S181" s="6"/>
      <c r="T181" s="6" t="s">
        <v>62</v>
      </c>
    </row>
    <row r="182" customFormat="false" ht="23.85" hidden="false" customHeight="false" outlineLevel="0" collapsed="false">
      <c r="A182" s="6" t="n">
        <v>253</v>
      </c>
      <c r="B182" s="7" t="n">
        <v>45821</v>
      </c>
      <c r="C182" s="6" t="s">
        <v>155</v>
      </c>
      <c r="D182" s="6" t="s">
        <v>64</v>
      </c>
      <c r="E182" s="6" t="s">
        <v>53</v>
      </c>
      <c r="F182" s="6" t="s">
        <v>841</v>
      </c>
      <c r="G182" s="6"/>
      <c r="H182" s="6" t="s">
        <v>842</v>
      </c>
      <c r="I182" s="10" t="s">
        <v>89</v>
      </c>
      <c r="J182" s="6" t="s">
        <v>843</v>
      </c>
      <c r="K182" s="8" t="s">
        <v>58</v>
      </c>
      <c r="L182" s="6"/>
      <c r="M182" s="6" t="s">
        <v>70</v>
      </c>
      <c r="N182" s="6" t="n">
        <v>1</v>
      </c>
      <c r="O182" s="6" t="n">
        <v>1</v>
      </c>
      <c r="P182" s="9" t="n">
        <v>0.64</v>
      </c>
      <c r="Q182" s="10" t="s">
        <v>119</v>
      </c>
      <c r="R182" s="6" t="s">
        <v>844</v>
      </c>
      <c r="S182" s="6" t="s">
        <v>845</v>
      </c>
      <c r="T182" s="6" t="s">
        <v>62</v>
      </c>
    </row>
    <row r="183" customFormat="false" ht="23.85" hidden="false" customHeight="false" outlineLevel="0" collapsed="false">
      <c r="A183" s="6" t="n">
        <v>254</v>
      </c>
      <c r="B183" s="7" t="n">
        <v>45821</v>
      </c>
      <c r="C183" s="6" t="s">
        <v>53</v>
      </c>
      <c r="D183" s="6" t="s">
        <v>85</v>
      </c>
      <c r="E183" s="6" t="s">
        <v>155</v>
      </c>
      <c r="F183" s="6" t="s">
        <v>846</v>
      </c>
      <c r="G183" s="6" t="n">
        <v>253</v>
      </c>
      <c r="H183" s="6" t="s">
        <v>847</v>
      </c>
      <c r="I183" s="10" t="s">
        <v>89</v>
      </c>
      <c r="J183" s="6" t="s">
        <v>843</v>
      </c>
      <c r="K183" s="8" t="s">
        <v>58</v>
      </c>
      <c r="L183" s="6"/>
      <c r="M183" s="6" t="s">
        <v>70</v>
      </c>
      <c r="N183" s="6" t="n">
        <v>1</v>
      </c>
      <c r="O183" s="6" t="n">
        <v>1</v>
      </c>
      <c r="P183" s="9" t="n">
        <v>0.64</v>
      </c>
      <c r="Q183" s="10" t="s">
        <v>119</v>
      </c>
      <c r="R183" s="6" t="s">
        <v>844</v>
      </c>
      <c r="S183" s="6" t="s">
        <v>845</v>
      </c>
      <c r="T183" s="6" t="s">
        <v>62</v>
      </c>
    </row>
    <row r="184" customFormat="false" ht="23.85" hidden="false" customHeight="false" outlineLevel="0" collapsed="false">
      <c r="A184" s="6" t="n">
        <v>255</v>
      </c>
      <c r="B184" s="7" t="n">
        <v>45830</v>
      </c>
      <c r="C184" s="6" t="s">
        <v>51</v>
      </c>
      <c r="D184" s="6" t="s">
        <v>848</v>
      </c>
      <c r="E184" s="6" t="s">
        <v>849</v>
      </c>
      <c r="F184" s="6" t="s">
        <v>850</v>
      </c>
      <c r="G184" s="6" t="n">
        <v>253</v>
      </c>
      <c r="H184" s="6" t="s">
        <v>851</v>
      </c>
      <c r="I184" s="10" t="s">
        <v>89</v>
      </c>
      <c r="J184" s="6" t="s">
        <v>852</v>
      </c>
      <c r="K184" s="8" t="s">
        <v>58</v>
      </c>
      <c r="L184" s="6"/>
      <c r="M184" s="6" t="s">
        <v>70</v>
      </c>
      <c r="N184" s="6" t="n">
        <v>2</v>
      </c>
      <c r="O184" s="6" t="n">
        <v>1</v>
      </c>
      <c r="P184" s="9" t="n">
        <v>0.64</v>
      </c>
      <c r="Q184" s="10" t="s">
        <v>119</v>
      </c>
      <c r="R184" s="6" t="s">
        <v>844</v>
      </c>
      <c r="S184" s="6" t="s">
        <v>845</v>
      </c>
      <c r="T184" s="6" t="s">
        <v>175</v>
      </c>
    </row>
    <row r="185" customFormat="false" ht="23.85" hidden="false" customHeight="false" outlineLevel="0" collapsed="false">
      <c r="A185" s="6" t="n">
        <v>256</v>
      </c>
      <c r="B185" s="7" t="n">
        <v>45831</v>
      </c>
      <c r="C185" s="6" t="s">
        <v>53</v>
      </c>
      <c r="D185" s="6" t="s">
        <v>85</v>
      </c>
      <c r="E185" s="6" t="s">
        <v>853</v>
      </c>
      <c r="F185" s="6" t="s">
        <v>854</v>
      </c>
      <c r="G185" s="6" t="n">
        <v>255</v>
      </c>
      <c r="H185" s="6" t="s">
        <v>855</v>
      </c>
      <c r="I185" s="8" t="s">
        <v>56</v>
      </c>
      <c r="J185" s="6" t="s">
        <v>856</v>
      </c>
      <c r="K185" s="8" t="s">
        <v>58</v>
      </c>
      <c r="L185" s="6"/>
      <c r="M185" s="6" t="s">
        <v>70</v>
      </c>
      <c r="N185" s="6" t="n">
        <v>1</v>
      </c>
      <c r="O185" s="6" t="n">
        <v>1</v>
      </c>
      <c r="P185" s="9" t="n">
        <v>0.8</v>
      </c>
      <c r="Q185" s="8" t="s">
        <v>60</v>
      </c>
      <c r="R185" s="6" t="s">
        <v>844</v>
      </c>
      <c r="S185" s="6" t="s">
        <v>845</v>
      </c>
      <c r="T185" s="6" t="s">
        <v>180</v>
      </c>
    </row>
    <row r="186" customFormat="false" ht="23.85" hidden="false" customHeight="false" outlineLevel="0" collapsed="false">
      <c r="A186" s="6" t="n">
        <v>257</v>
      </c>
      <c r="B186" s="7" t="n">
        <v>45832</v>
      </c>
      <c r="C186" s="6" t="s">
        <v>51</v>
      </c>
      <c r="D186" s="6" t="s">
        <v>214</v>
      </c>
      <c r="E186" s="6" t="s">
        <v>857</v>
      </c>
      <c r="F186" s="6" t="s">
        <v>858</v>
      </c>
      <c r="G186" s="6" t="n">
        <v>256</v>
      </c>
      <c r="H186" s="6" t="s">
        <v>55</v>
      </c>
      <c r="I186" s="8" t="s">
        <v>56</v>
      </c>
      <c r="J186" s="6" t="s">
        <v>856</v>
      </c>
      <c r="K186" s="8" t="s">
        <v>58</v>
      </c>
      <c r="L186" s="6"/>
      <c r="M186" s="6" t="s">
        <v>59</v>
      </c>
      <c r="N186" s="6" t="n">
        <v>2</v>
      </c>
      <c r="O186" s="6" t="n">
        <v>1</v>
      </c>
      <c r="P186" s="9" t="n">
        <v>0.8</v>
      </c>
      <c r="Q186" s="8" t="s">
        <v>60</v>
      </c>
      <c r="R186" s="6" t="s">
        <v>844</v>
      </c>
      <c r="S186" s="6" t="s">
        <v>845</v>
      </c>
      <c r="T186" s="6" t="s">
        <v>192</v>
      </c>
    </row>
    <row r="187" customFormat="false" ht="23.85" hidden="false" customHeight="false" outlineLevel="0" collapsed="false">
      <c r="A187" s="6" t="n">
        <v>258</v>
      </c>
      <c r="B187" s="7" t="n">
        <v>45868</v>
      </c>
      <c r="C187" s="6" t="s">
        <v>51</v>
      </c>
      <c r="D187" s="6" t="s">
        <v>361</v>
      </c>
      <c r="E187" s="6" t="s">
        <v>53</v>
      </c>
      <c r="F187" s="6" t="s">
        <v>859</v>
      </c>
      <c r="G187" s="6"/>
      <c r="H187" s="6" t="s">
        <v>55</v>
      </c>
      <c r="I187" s="10" t="s">
        <v>89</v>
      </c>
      <c r="J187" s="6" t="s">
        <v>860</v>
      </c>
      <c r="K187" s="8" t="s">
        <v>58</v>
      </c>
      <c r="L187" s="6"/>
      <c r="M187" s="6" t="s">
        <v>365</v>
      </c>
      <c r="N187" s="6" t="n">
        <v>1</v>
      </c>
      <c r="O187" s="6" t="n">
        <v>1</v>
      </c>
      <c r="P187" s="9" t="n">
        <v>0.64</v>
      </c>
      <c r="Q187" s="10" t="s">
        <v>119</v>
      </c>
      <c r="R187" s="6" t="s">
        <v>61</v>
      </c>
      <c r="S187" s="6"/>
      <c r="T187" s="6" t="s">
        <v>62</v>
      </c>
    </row>
    <row r="188" customFormat="false" ht="23.85" hidden="false" customHeight="false" outlineLevel="0" collapsed="false">
      <c r="A188" s="6" t="n">
        <v>259</v>
      </c>
      <c r="B188" s="7" t="n">
        <v>46049</v>
      </c>
      <c r="C188" s="6" t="s">
        <v>51</v>
      </c>
      <c r="D188" s="6" t="s">
        <v>633</v>
      </c>
      <c r="E188" s="6" t="s">
        <v>634</v>
      </c>
      <c r="F188" s="6" t="s">
        <v>861</v>
      </c>
      <c r="G188" s="6"/>
      <c r="H188" s="6" t="s">
        <v>55</v>
      </c>
      <c r="I188" s="10" t="s">
        <v>89</v>
      </c>
      <c r="J188" s="6" t="s">
        <v>862</v>
      </c>
      <c r="K188" s="8" t="s">
        <v>58</v>
      </c>
      <c r="L188" s="6"/>
      <c r="M188" s="6" t="s">
        <v>500</v>
      </c>
      <c r="N188" s="6" t="n">
        <v>1</v>
      </c>
      <c r="O188" s="6" t="n">
        <v>1</v>
      </c>
      <c r="P188" s="9" t="n">
        <v>0.64</v>
      </c>
      <c r="Q188" s="10" t="s">
        <v>119</v>
      </c>
      <c r="R188" s="6" t="s">
        <v>61</v>
      </c>
      <c r="S188" s="6"/>
      <c r="T188" s="6" t="s">
        <v>62</v>
      </c>
    </row>
    <row r="189" customFormat="false" ht="15" hidden="false" customHeight="false" outlineLevel="0" collapsed="false">
      <c r="A189" s="6" t="n">
        <v>260</v>
      </c>
      <c r="B189" s="7" t="n">
        <v>46059</v>
      </c>
      <c r="C189" s="6" t="s">
        <v>213</v>
      </c>
      <c r="D189" s="6" t="s">
        <v>248</v>
      </c>
      <c r="E189" s="6" t="s">
        <v>215</v>
      </c>
      <c r="F189" s="6" t="s">
        <v>863</v>
      </c>
      <c r="G189" s="6"/>
      <c r="H189" s="6" t="s">
        <v>55</v>
      </c>
      <c r="I189" s="10" t="s">
        <v>89</v>
      </c>
      <c r="J189" s="6" t="s">
        <v>864</v>
      </c>
      <c r="K189" s="8" t="s">
        <v>58</v>
      </c>
      <c r="L189" s="6"/>
      <c r="M189" s="6" t="s">
        <v>59</v>
      </c>
      <c r="N189" s="6" t="n">
        <v>1</v>
      </c>
      <c r="O189" s="6" t="n">
        <v>1</v>
      </c>
      <c r="P189" s="9" t="n">
        <v>0.64</v>
      </c>
      <c r="Q189" s="10" t="s">
        <v>119</v>
      </c>
      <c r="R189" s="6" t="s">
        <v>61</v>
      </c>
      <c r="S189" s="6"/>
      <c r="T189" s="6" t="s">
        <v>62</v>
      </c>
    </row>
    <row r="190" customFormat="false" ht="15" hidden="false" customHeight="false" outlineLevel="0" collapsed="false">
      <c r="A190" s="6" t="n">
        <v>261</v>
      </c>
      <c r="B190" s="7" t="n">
        <v>46066</v>
      </c>
      <c r="C190" s="6" t="s">
        <v>51</v>
      </c>
      <c r="D190" s="6" t="s">
        <v>633</v>
      </c>
      <c r="E190" s="6" t="s">
        <v>634</v>
      </c>
      <c r="F190" s="6" t="s">
        <v>865</v>
      </c>
      <c r="G190" s="6"/>
      <c r="H190" s="6" t="s">
        <v>55</v>
      </c>
      <c r="I190" s="10" t="s">
        <v>89</v>
      </c>
      <c r="J190" s="6" t="s">
        <v>866</v>
      </c>
      <c r="K190" s="8" t="s">
        <v>58</v>
      </c>
      <c r="L190" s="6"/>
      <c r="M190" s="6" t="s">
        <v>500</v>
      </c>
      <c r="N190" s="6" t="n">
        <v>1</v>
      </c>
      <c r="O190" s="6" t="n">
        <v>1</v>
      </c>
      <c r="P190" s="9" t="n">
        <v>0.64</v>
      </c>
      <c r="Q190" s="10" t="s">
        <v>119</v>
      </c>
      <c r="R190" s="6" t="s">
        <v>61</v>
      </c>
      <c r="S190" s="6"/>
      <c r="T190" s="6" t="s">
        <v>62</v>
      </c>
    </row>
    <row r="191" customFormat="false" ht="15" hidden="false" customHeight="false" outlineLevel="0" collapsed="false">
      <c r="A191" s="6" t="n">
        <v>262</v>
      </c>
      <c r="B191" s="7" t="n">
        <v>46079</v>
      </c>
      <c r="C191" s="6" t="s">
        <v>213</v>
      </c>
      <c r="D191" s="6" t="s">
        <v>248</v>
      </c>
      <c r="E191" s="6" t="s">
        <v>215</v>
      </c>
      <c r="F191" s="6" t="s">
        <v>867</v>
      </c>
      <c r="G191" s="6"/>
      <c r="H191" s="6" t="s">
        <v>55</v>
      </c>
      <c r="I191" s="10" t="s">
        <v>89</v>
      </c>
      <c r="J191" s="6" t="s">
        <v>868</v>
      </c>
      <c r="K191" s="8" t="s">
        <v>58</v>
      </c>
      <c r="L191" s="6"/>
      <c r="M191" s="6" t="s">
        <v>59</v>
      </c>
      <c r="N191" s="6" t="n">
        <v>1</v>
      </c>
      <c r="O191" s="6" t="n">
        <v>1</v>
      </c>
      <c r="P191" s="9" t="n">
        <v>0.64</v>
      </c>
      <c r="Q191" s="10" t="s">
        <v>119</v>
      </c>
      <c r="R191" s="6" t="s">
        <v>61</v>
      </c>
      <c r="S191" s="6"/>
      <c r="T191" s="6" t="s">
        <v>62</v>
      </c>
    </row>
    <row r="192" customFormat="false" ht="35.05" hidden="false" customHeight="false" outlineLevel="0" collapsed="false">
      <c r="A192" s="6" t="n">
        <v>263</v>
      </c>
      <c r="B192" s="7" t="n">
        <v>44258</v>
      </c>
      <c r="C192" s="6" t="s">
        <v>715</v>
      </c>
      <c r="D192" s="6" t="s">
        <v>680</v>
      </c>
      <c r="E192" s="6" t="s">
        <v>869</v>
      </c>
      <c r="F192" s="6" t="s">
        <v>870</v>
      </c>
      <c r="G192" s="6"/>
      <c r="H192" s="6" t="s">
        <v>871</v>
      </c>
      <c r="I192" s="8" t="s">
        <v>56</v>
      </c>
      <c r="J192" s="6" t="s">
        <v>872</v>
      </c>
      <c r="K192" s="8" t="s">
        <v>58</v>
      </c>
      <c r="L192" s="6"/>
      <c r="M192" s="6" t="s">
        <v>70</v>
      </c>
      <c r="N192" s="6" t="n">
        <v>2</v>
      </c>
      <c r="O192" s="6" t="n">
        <v>2</v>
      </c>
      <c r="P192" s="9" t="n">
        <v>0.87</v>
      </c>
      <c r="Q192" s="8" t="s">
        <v>60</v>
      </c>
      <c r="R192" s="6" t="s">
        <v>722</v>
      </c>
      <c r="S192" s="6"/>
      <c r="T192" s="6" t="s">
        <v>297</v>
      </c>
    </row>
    <row r="193" customFormat="false" ht="46.25" hidden="false" customHeight="false" outlineLevel="0" collapsed="false">
      <c r="A193" s="6" t="n">
        <v>264</v>
      </c>
      <c r="B193" s="7" t="n">
        <v>43874</v>
      </c>
      <c r="C193" s="6" t="s">
        <v>51</v>
      </c>
      <c r="D193" s="6" t="s">
        <v>873</v>
      </c>
      <c r="E193" s="6" t="s">
        <v>874</v>
      </c>
      <c r="F193" s="6" t="s">
        <v>875</v>
      </c>
      <c r="G193" s="6"/>
      <c r="H193" s="6" t="s">
        <v>55</v>
      </c>
      <c r="I193" s="8" t="s">
        <v>56</v>
      </c>
      <c r="J193" s="6" t="s">
        <v>876</v>
      </c>
      <c r="K193" s="8" t="s">
        <v>58</v>
      </c>
      <c r="L193" s="6"/>
      <c r="M193" s="6" t="s">
        <v>84</v>
      </c>
      <c r="N193" s="6" t="n">
        <v>2</v>
      </c>
      <c r="O193" s="6" t="n">
        <v>2</v>
      </c>
      <c r="P193" s="9" t="n">
        <v>0.93</v>
      </c>
      <c r="Q193" s="8" t="s">
        <v>60</v>
      </c>
      <c r="R193" s="6" t="s">
        <v>637</v>
      </c>
      <c r="S193" s="6"/>
      <c r="T193" s="6" t="s">
        <v>62</v>
      </c>
    </row>
    <row r="194" customFormat="false" ht="35.05" hidden="false" customHeight="false" outlineLevel="0" collapsed="false">
      <c r="A194" s="6" t="n">
        <v>265</v>
      </c>
      <c r="B194" s="7" t="n">
        <v>44936</v>
      </c>
      <c r="C194" s="6" t="s">
        <v>51</v>
      </c>
      <c r="D194" s="6" t="s">
        <v>873</v>
      </c>
      <c r="E194" s="6" t="s">
        <v>877</v>
      </c>
      <c r="F194" s="6" t="s">
        <v>878</v>
      </c>
      <c r="G194" s="6"/>
      <c r="H194" s="6" t="s">
        <v>55</v>
      </c>
      <c r="I194" s="8" t="s">
        <v>56</v>
      </c>
      <c r="J194" s="6" t="s">
        <v>879</v>
      </c>
      <c r="K194" s="8" t="s">
        <v>58</v>
      </c>
      <c r="L194" s="6"/>
      <c r="M194" s="6" t="s">
        <v>84</v>
      </c>
      <c r="N194" s="6" t="n">
        <v>2</v>
      </c>
      <c r="O194" s="6" t="n">
        <v>2</v>
      </c>
      <c r="P194" s="9" t="n">
        <v>0.96</v>
      </c>
      <c r="Q194" s="8" t="s">
        <v>60</v>
      </c>
      <c r="R194" s="6" t="s">
        <v>722</v>
      </c>
      <c r="S194" s="6"/>
      <c r="T194" s="6" t="s">
        <v>62</v>
      </c>
    </row>
  </sheetData>
  <autoFilter ref="A1:T19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2"/>
    <col collapsed="false" customWidth="true" hidden="false" outlineLevel="0" max="4" min="4" style="0" width="14"/>
    <col collapsed="false" customWidth="true" hidden="false" outlineLevel="0" max="5" min="5" style="0" width="40"/>
    <col collapsed="false" customWidth="true" hidden="false" outlineLevel="0" max="6" min="6" style="0" width="10"/>
    <col collapsed="false" customWidth="true" hidden="false" outlineLevel="0" max="7" min="7" style="0" width="12"/>
    <col collapsed="false" customWidth="true" hidden="false" outlineLevel="0" max="8" min="8" style="0" width="14"/>
    <col collapsed="false" customWidth="true" hidden="false" outlineLevel="0" max="9" min="9" style="0" width="40"/>
    <col collapsed="false" customWidth="true" hidden="false" outlineLevel="0" max="10" min="10" style="0" width="12"/>
    <col collapsed="false" customWidth="true" hidden="false" outlineLevel="0" max="11" min="11" style="0" width="18"/>
    <col collapsed="false" customWidth="true" hidden="false" outlineLevel="0" max="12" min="12" style="0" width="16"/>
    <col collapsed="false" customWidth="true" hidden="false" outlineLevel="0" max="13" min="13" style="0" width="45"/>
  </cols>
  <sheetData>
    <row r="1" customFormat="false" ht="15" hidden="false" customHeight="false" outlineLevel="0" collapsed="false">
      <c r="A1" s="13" t="s">
        <v>880</v>
      </c>
      <c r="B1" s="13" t="s">
        <v>37</v>
      </c>
      <c r="C1" s="13" t="s">
        <v>881</v>
      </c>
      <c r="D1" s="13" t="s">
        <v>882</v>
      </c>
      <c r="E1" s="13" t="s">
        <v>883</v>
      </c>
      <c r="F1" s="13" t="s">
        <v>884</v>
      </c>
      <c r="G1" s="13" t="s">
        <v>885</v>
      </c>
      <c r="H1" s="13" t="s">
        <v>886</v>
      </c>
      <c r="I1" s="13" t="s">
        <v>887</v>
      </c>
      <c r="J1" s="13" t="s">
        <v>888</v>
      </c>
      <c r="K1" s="13" t="s">
        <v>889</v>
      </c>
      <c r="L1" s="13" t="s">
        <v>890</v>
      </c>
      <c r="M1" s="13" t="s">
        <v>891</v>
      </c>
    </row>
    <row r="2" customFormat="false" ht="46.25" hidden="false" customHeight="false" outlineLevel="0" collapsed="false">
      <c r="A2" s="6" t="n">
        <v>1</v>
      </c>
      <c r="B2" s="6" t="n">
        <v>2</v>
      </c>
      <c r="C2" s="7" t="n">
        <f aca="false">INDEX('Event Log'!$B$2:$B$194,MATCH(B2,'Event Log'!$A$2:$A$194,0))</f>
        <v>46081</v>
      </c>
      <c r="D2" s="6" t="str">
        <f aca="false">INDEX('Event Log'!$C$2:$C$194,MATCH(B2,'Event Log'!$A$2:$A$194,0))</f>
        <v>US/Israel</v>
      </c>
      <c r="E2" s="6" t="str">
        <f aca="false">INDEX('Event Log'!$F$2:$F$194,MATCH(B2,'Event Log'!$A$2:$A$194,0))</f>
        <v>Operation Epic Fury opens: Pentagon says 1,000+ targets hit in the first 24 hours; Khamenei and ~40 senior officials killed; a strike near Minab hits a girls' school</v>
      </c>
      <c r="F2" s="6" t="n">
        <v>5</v>
      </c>
      <c r="G2" s="7" t="n">
        <f aca="false">INDEX('Event Log'!$B$2:$B$194,MATCH(F2,'Event Log'!$A$2:$A$194,0))</f>
        <v>46081</v>
      </c>
      <c r="H2" s="6" t="str">
        <f aca="false">INDEX('Event Log'!$C$2:$C$194,MATCH(F2,'Event Log'!$A$2:$A$194,0))</f>
        <v>Iran</v>
      </c>
      <c r="I2" s="6" t="str">
        <f aca="false">INDEX('Event Log'!$F$2:$F$194,MATCH(F2,'Event Log'!$A$2:$A$194,0))</f>
        <v>Iran fires missiles at Israel, Kuwait and other Gulf targets; a missile hits a residential block in Tel Aviv; Kuwait International Airport is hit by a drone</v>
      </c>
      <c r="J2" s="6" t="n">
        <f aca="false">G2-C2</f>
        <v>0</v>
      </c>
      <c r="K2" s="6" t="s">
        <v>892</v>
      </c>
      <c r="L2" s="6" t="s">
        <v>893</v>
      </c>
      <c r="M2" s="6" t="s">
        <v>894</v>
      </c>
    </row>
    <row r="3" customFormat="false" ht="57.45" hidden="false" customHeight="false" outlineLevel="0" collapsed="false">
      <c r="A3" s="6" t="n">
        <v>2</v>
      </c>
      <c r="B3" s="6" t="n">
        <v>10</v>
      </c>
      <c r="C3" s="7" t="n">
        <f aca="false">INDEX('Event Log'!$B$2:$B$194,MATCH(B3,'Event Log'!$A$2:$A$194,0))</f>
        <v>46084</v>
      </c>
      <c r="D3" s="6" t="str">
        <f aca="false">INDEX('Event Log'!$C$2:$C$194,MATCH(B3,'Event Log'!$A$2:$A$194,0))</f>
        <v>Israel (IDF)</v>
      </c>
      <c r="E3" s="6" t="str">
        <f aca="false">INDEX('Event Log'!$F$2:$F$194,MATCH(B3,'Event Log'!$A$2:$A$194,0))</f>
        <v>IDF says it struck Iran's Supreme National Security Council complex in Tehran (Mar 2-3) and destroyed a secret underground site on Tehran's outskirts where Iran moved its nuclear work (IDF claim)</v>
      </c>
      <c r="F3" s="6" t="n">
        <v>11</v>
      </c>
      <c r="G3" s="7" t="n">
        <f aca="false">INDEX('Event Log'!$B$2:$B$194,MATCH(F3,'Event Log'!$A$2:$A$194,0))</f>
        <v>46084</v>
      </c>
      <c r="H3" s="6" t="str">
        <f aca="false">INDEX('Event Log'!$C$2:$C$194,MATCH(F3,'Event Log'!$A$2:$A$194,0))</f>
        <v>Iran</v>
      </c>
      <c r="I3" s="6" t="str">
        <f aca="false">INDEX('Event Log'!$F$2:$F$194,MATCH(F3,'Event Log'!$A$2:$A$194,0))</f>
        <v>Two Iranian drones hit the US embassy in Riyadh; limited fire and minor damage per Saudi Defense Ministry (AP)</v>
      </c>
      <c r="J3" s="6" t="n">
        <f aca="false">G3-C3</f>
        <v>0</v>
      </c>
      <c r="K3" s="6" t="s">
        <v>895</v>
      </c>
      <c r="L3" s="6" t="s">
        <v>896</v>
      </c>
      <c r="M3" s="6" t="s">
        <v>897</v>
      </c>
    </row>
    <row r="4" customFormat="false" ht="46.25" hidden="false" customHeight="false" outlineLevel="0" collapsed="false">
      <c r="A4" s="6" t="n">
        <v>3</v>
      </c>
      <c r="B4" s="6" t="n">
        <v>16</v>
      </c>
      <c r="C4" s="7" t="n">
        <f aca="false">INDEX('Event Log'!$B$2:$B$194,MATCH(B4,'Event Log'!$A$2:$A$194,0))</f>
        <v>46102</v>
      </c>
      <c r="D4" s="6" t="str">
        <f aca="false">INDEX('Event Log'!$C$2:$C$194,MATCH(B4,'Event Log'!$A$2:$A$194,0))</f>
        <v>US/Israel (alleged)</v>
      </c>
      <c r="E4" s="6" t="str">
        <f aca="false">INDEX('Event Log'!$F$2:$F$194,MATCH(B4,'Event Log'!$A$2:$A$194,0))</f>
        <v>Iran reports an attack on Natanz and blames the US and Israel; the Israeli military denied involvement and the IAEA saw no rise in off-site radiation</v>
      </c>
      <c r="F4" s="6" t="n">
        <v>17</v>
      </c>
      <c r="G4" s="7" t="n">
        <f aca="false">INDEX('Event Log'!$B$2:$B$194,MATCH(F4,'Event Log'!$A$2:$A$194,0))</f>
        <v>46102</v>
      </c>
      <c r="H4" s="6" t="str">
        <f aca="false">INDEX('Event Log'!$C$2:$C$194,MATCH(F4,'Event Log'!$A$2:$A$194,0))</f>
        <v>Iran</v>
      </c>
      <c r="I4" s="6" t="str">
        <f aca="false">INDEX('Event Log'!$F$2:$F$194,MATCH(F4,'Event Log'!$A$2:$A$194,0))</f>
        <v>Iran strikes toward Dimona and Arad and calls it a 'response' to Natanz; Iran did not claim to target the Negev research center</v>
      </c>
      <c r="J4" s="6" t="n">
        <f aca="false">G4-C4</f>
        <v>0</v>
      </c>
      <c r="K4" s="6" t="s">
        <v>895</v>
      </c>
      <c r="L4" s="6" t="s">
        <v>893</v>
      </c>
      <c r="M4" s="6" t="s">
        <v>898</v>
      </c>
    </row>
    <row r="5" customFormat="false" ht="46.25" hidden="false" customHeight="false" outlineLevel="0" collapsed="false">
      <c r="A5" s="6" t="n">
        <v>4</v>
      </c>
      <c r="B5" s="6" t="n">
        <v>20</v>
      </c>
      <c r="C5" s="7" t="n">
        <f aca="false">INDEX('Event Log'!$B$2:$B$194,MATCH(B5,'Event Log'!$A$2:$A$194,0))</f>
        <v>46107</v>
      </c>
      <c r="D5" s="6" t="str">
        <f aca="false">INDEX('Event Log'!$C$2:$C$194,MATCH(B5,'Event Log'!$A$2:$A$194,0))</f>
        <v>Israel</v>
      </c>
      <c r="E5" s="6" t="str">
        <f aca="false">INDEX('Event Log'!$F$2:$F$194,MATCH(B5,'Event Log'!$A$2:$A$194,0))</f>
        <v>Israel says it killed IRGC Navy commander Tangsiri and the IRGC Navy's intelligence chief Rezaei in Bandar Abbas (Israeli claim, Mar 26); Iran confirmed Tangsiri's death on Mar 30</v>
      </c>
      <c r="F5" s="6" t="n">
        <v>21</v>
      </c>
      <c r="G5" s="7" t="n">
        <f aca="false">INDEX('Event Log'!$B$2:$B$194,MATCH(F5,'Event Log'!$A$2:$A$194,0))</f>
        <v>46108</v>
      </c>
      <c r="H5" s="6" t="str">
        <f aca="false">INDEX('Event Log'!$C$2:$C$194,MATCH(F5,'Event Log'!$A$2:$A$194,0))</f>
        <v>Iran</v>
      </c>
      <c r="I5" s="6" t="str">
        <f aca="false">INDEX('Event Log'!$F$2:$F$194,MATCH(F5,'Event Log'!$A$2:$A$194,0))</f>
        <v>Strikes Prince Sultan Air Base</v>
      </c>
      <c r="J5" s="6" t="n">
        <f aca="false">G5-C5</f>
        <v>1</v>
      </c>
      <c r="K5" s="6" t="s">
        <v>892</v>
      </c>
      <c r="L5" s="6" t="s">
        <v>893</v>
      </c>
      <c r="M5" s="6" t="s">
        <v>899</v>
      </c>
    </row>
    <row r="6" customFormat="false" ht="35.05" hidden="false" customHeight="false" outlineLevel="0" collapsed="false">
      <c r="A6" s="6" t="n">
        <v>5</v>
      </c>
      <c r="B6" s="6" t="n">
        <v>30</v>
      </c>
      <c r="C6" s="7" t="n">
        <f aca="false">INDEX('Event Log'!$B$2:$B$194,MATCH(B6,'Event Log'!$A$2:$A$194,0))</f>
        <v>46120</v>
      </c>
      <c r="D6" s="6" t="str">
        <f aca="false">INDEX('Event Log'!$C$2:$C$194,MATCH(B6,'Event Log'!$A$2:$A$194,0))</f>
        <v>Israel</v>
      </c>
      <c r="E6" s="6" t="str">
        <f aca="false">INDEX('Event Log'!$F$2:$F$194,MATCH(B6,'Event Log'!$A$2:$A$194,0))</f>
        <v>Israel strikes 100+ targets across Beirut, southern Lebanon and the Bekaa in about 10 minutes, within hours of the ceasefire (AP)</v>
      </c>
      <c r="F6" s="6" t="n">
        <v>31</v>
      </c>
      <c r="G6" s="7" t="n">
        <f aca="false">INDEX('Event Log'!$B$2:$B$194,MATCH(F6,'Event Log'!$A$2:$A$194,0))</f>
        <v>46120</v>
      </c>
      <c r="H6" s="6" t="str">
        <f aca="false">INDEX('Event Log'!$C$2:$C$194,MATCH(F6,'Event Log'!$A$2:$A$194,0))</f>
        <v>Iran</v>
      </c>
      <c r="I6" s="6" t="str">
        <f aca="false">INDEX('Event Log'!$F$2:$F$194,MATCH(F6,'Event Log'!$A$2:$A$194,0))</f>
        <v>Iran restricts/resumes blockade, citing the Lebanon strikes as a ceasefire violation</v>
      </c>
      <c r="J6" s="6" t="n">
        <f aca="false">G6-C6</f>
        <v>0</v>
      </c>
      <c r="K6" s="6" t="s">
        <v>900</v>
      </c>
      <c r="L6" s="6" t="s">
        <v>896</v>
      </c>
      <c r="M6" s="6" t="s">
        <v>901</v>
      </c>
    </row>
    <row r="7" customFormat="false" ht="23.85" hidden="false" customHeight="false" outlineLevel="0" collapsed="false">
      <c r="A7" s="6" t="n">
        <v>6</v>
      </c>
      <c r="B7" s="6" t="n">
        <v>34</v>
      </c>
      <c r="C7" s="7" t="n">
        <f aca="false">INDEX('Event Log'!$B$2:$B$194,MATCH(B7,'Event Log'!$A$2:$A$194,0))</f>
        <v>46123</v>
      </c>
      <c r="D7" s="6" t="str">
        <f aca="false">INDEX('Event Log'!$C$2:$C$194,MATCH(B7,'Event Log'!$A$2:$A$194,0))</f>
        <v>US/Iran/Pakistan</v>
      </c>
      <c r="E7" s="6" t="str">
        <f aca="false">INDEX('Event Log'!$F$2:$F$194,MATCH(B7,'Event Log'!$A$2:$A$194,0))</f>
        <v>Islamabad Talks: 21 hours of negotiation, collapse without agreement</v>
      </c>
      <c r="F7" s="6" t="n">
        <v>35</v>
      </c>
      <c r="G7" s="7" t="n">
        <f aca="false">INDEX('Event Log'!$B$2:$B$194,MATCH(F7,'Event Log'!$A$2:$A$194,0))</f>
        <v>46125</v>
      </c>
      <c r="H7" s="6" t="str">
        <f aca="false">INDEX('Event Log'!$C$2:$C$194,MATCH(F7,'Event Log'!$A$2:$A$194,0))</f>
        <v>US</v>
      </c>
      <c r="I7" s="6" t="str">
        <f aca="false">INDEX('Event Log'!$F$2:$F$194,MATCH(F7,'Event Log'!$A$2:$A$194,0))</f>
        <v>US naval blockade of Iran begins</v>
      </c>
      <c r="J7" s="6" t="n">
        <f aca="false">G7-C7</f>
        <v>2</v>
      </c>
      <c r="K7" s="6" t="s">
        <v>900</v>
      </c>
      <c r="L7" s="6" t="s">
        <v>896</v>
      </c>
      <c r="M7" s="6" t="s">
        <v>902</v>
      </c>
    </row>
    <row r="8" customFormat="false" ht="23.85" hidden="false" customHeight="false" outlineLevel="0" collapsed="false">
      <c r="A8" s="6" t="n">
        <v>7</v>
      </c>
      <c r="B8" s="6" t="n">
        <v>35</v>
      </c>
      <c r="C8" s="7" t="n">
        <f aca="false">INDEX('Event Log'!$B$2:$B$194,MATCH(B8,'Event Log'!$A$2:$A$194,0))</f>
        <v>46125</v>
      </c>
      <c r="D8" s="6" t="str">
        <f aca="false">INDEX('Event Log'!$C$2:$C$194,MATCH(B8,'Event Log'!$A$2:$A$194,0))</f>
        <v>US</v>
      </c>
      <c r="E8" s="6" t="str">
        <f aca="false">INDEX('Event Log'!$F$2:$F$194,MATCH(B8,'Event Log'!$A$2:$A$194,0))</f>
        <v>US naval blockade of Iran begins</v>
      </c>
      <c r="F8" s="6" t="n">
        <v>36</v>
      </c>
      <c r="G8" s="7" t="n">
        <f aca="false">INDEX('Event Log'!$B$2:$B$194,MATCH(F8,'Event Log'!$A$2:$A$194,0))</f>
        <v>46130</v>
      </c>
      <c r="H8" s="6" t="str">
        <f aca="false">INDEX('Event Log'!$C$2:$C$194,MATCH(F8,'Event Log'!$A$2:$A$194,0))</f>
        <v>Iran</v>
      </c>
      <c r="I8" s="6" t="str">
        <f aca="false">INDEX('Event Log'!$F$2:$F$194,MATCH(F8,'Event Log'!$A$2:$A$194,0))</f>
        <v>Iran announces the Strait closed again, citing continuation of the US blockade</v>
      </c>
      <c r="J8" s="6" t="n">
        <f aca="false">G8-C8</f>
        <v>5</v>
      </c>
      <c r="K8" s="6" t="s">
        <v>903</v>
      </c>
      <c r="L8" s="6" t="s">
        <v>896</v>
      </c>
      <c r="M8" s="6" t="s">
        <v>904</v>
      </c>
    </row>
    <row r="9" customFormat="false" ht="57.45" hidden="false" customHeight="false" outlineLevel="0" collapsed="false">
      <c r="A9" s="6" t="n">
        <v>8</v>
      </c>
      <c r="B9" s="6" t="n">
        <v>37</v>
      </c>
      <c r="C9" s="7" t="n">
        <f aca="false">INDEX('Event Log'!$B$2:$B$194,MATCH(B9,'Event Log'!$A$2:$A$194,0))</f>
        <v>46131</v>
      </c>
      <c r="D9" s="6" t="str">
        <f aca="false">INDEX('Event Log'!$C$2:$C$194,MATCH(B9,'Event Log'!$A$2:$A$194,0))</f>
        <v>US</v>
      </c>
      <c r="E9" s="6" t="str">
        <f aca="false">INDEX('Event Log'!$F$2:$F$194,MATCH(B9,'Event Log'!$A$2:$A$194,0))</f>
        <v>US disables the Iranian container ship Touska with gunfire from USS Spruance (Apr 19, USNI); tankers Tifani and Majestic X interdicted in the Indian Ocean around Apr 22-24 (dates not confirmed by an allowed outlet)</v>
      </c>
      <c r="F9" s="6" t="n">
        <v>38</v>
      </c>
      <c r="G9" s="7" t="n">
        <f aca="false">INDEX('Event Log'!$B$2:$B$194,MATCH(F9,'Event Log'!$A$2:$A$194,0))</f>
        <v>46134</v>
      </c>
      <c r="H9" s="6" t="str">
        <f aca="false">INDEX('Event Log'!$C$2:$C$194,MATCH(F9,'Event Log'!$A$2:$A$194,0))</f>
        <v>Iran</v>
      </c>
      <c r="I9" s="6" t="str">
        <f aca="false">INDEX('Event Log'!$F$2:$F$194,MATCH(F9,'Event Log'!$A$2:$A$194,0))</f>
        <v>IRGC seizes container ships MSC Epaminondas and MSC Francesca</v>
      </c>
      <c r="J9" s="6" t="n">
        <f aca="false">G9-C9</f>
        <v>3</v>
      </c>
      <c r="K9" s="6" t="s">
        <v>903</v>
      </c>
      <c r="L9" s="6" t="s">
        <v>896</v>
      </c>
      <c r="M9" s="6" t="s">
        <v>905</v>
      </c>
    </row>
    <row r="10" customFormat="false" ht="23.85" hidden="false" customHeight="false" outlineLevel="0" collapsed="false">
      <c r="A10" s="6" t="n">
        <v>9</v>
      </c>
      <c r="B10" s="6" t="n">
        <v>41</v>
      </c>
      <c r="C10" s="7" t="n">
        <f aca="false">INDEX('Event Log'!$B$2:$B$194,MATCH(B10,'Event Log'!$A$2:$A$194,0))</f>
        <v>46149</v>
      </c>
      <c r="D10" s="6" t="str">
        <f aca="false">INDEX('Event Log'!$C$2:$C$194,MATCH(B10,'Event Log'!$A$2:$A$194,0))</f>
        <v>Iran</v>
      </c>
      <c r="E10" s="6" t="str">
        <f aca="false">INDEX('Event Log'!$F$2:$F$194,MATCH(B10,'Event Log'!$A$2:$A$194,0))</f>
        <v>Missiles, drones and small boats attack 3 US destroyers transiting the Strait</v>
      </c>
      <c r="F10" s="6" t="n">
        <v>42</v>
      </c>
      <c r="G10" s="7" t="n">
        <f aca="false">INDEX('Event Log'!$B$2:$B$194,MATCH(F10,'Event Log'!$A$2:$A$194,0))</f>
        <v>46149</v>
      </c>
      <c r="H10" s="6" t="str">
        <f aca="false">INDEX('Event Log'!$C$2:$C$194,MATCH(F10,'Event Log'!$A$2:$A$194,0))</f>
        <v>US</v>
      </c>
      <c r="I10" s="6" t="str">
        <f aca="false">INDEX('Event Log'!$F$2:$F$194,MATCH(F10,'Event Log'!$A$2:$A$194,0))</f>
        <v>US strikes sites near Bandar Abbas and Qeshm Island (CENTCOM did not name the IRGC)</v>
      </c>
      <c r="J10" s="6" t="n">
        <f aca="false">G10-C10</f>
        <v>0</v>
      </c>
      <c r="K10" s="6" t="s">
        <v>895</v>
      </c>
      <c r="L10" s="6" t="s">
        <v>896</v>
      </c>
      <c r="M10" s="6" t="s">
        <v>906</v>
      </c>
    </row>
    <row r="11" customFormat="false" ht="35.05" hidden="false" customHeight="false" outlineLevel="0" collapsed="false">
      <c r="A11" s="6" t="n">
        <v>10</v>
      </c>
      <c r="B11" s="6" t="n">
        <v>44</v>
      </c>
      <c r="C11" s="7" t="n">
        <f aca="false">INDEX('Event Log'!$B$2:$B$194,MATCH(B11,'Event Log'!$A$2:$A$194,0))</f>
        <v>46181</v>
      </c>
      <c r="D11" s="6" t="str">
        <f aca="false">INDEX('Event Log'!$C$2:$C$194,MATCH(B11,'Event Log'!$A$2:$A$194,0))</f>
        <v>Israel</v>
      </c>
      <c r="E11" s="6" t="str">
        <f aca="false">INDEX('Event Log'!$F$2:$F$194,MATCH(B11,'Event Log'!$A$2:$A$194,0))</f>
        <v>Strikes kill members of Iran's air-defense units</v>
      </c>
      <c r="F11" s="6" t="n">
        <v>45</v>
      </c>
      <c r="G11" s="7" t="n">
        <f aca="false">INDEX('Event Log'!$B$2:$B$194,MATCH(F11,'Event Log'!$A$2:$A$194,0))</f>
        <v>46181</v>
      </c>
      <c r="H11" s="6" t="str">
        <f aca="false">INDEX('Event Log'!$C$2:$C$194,MATCH(F11,'Event Log'!$A$2:$A$194,0))</f>
        <v>Iran</v>
      </c>
      <c r="I11" s="6" t="str">
        <f aca="false">INDEX('Event Log'!$F$2:$F$194,MATCH(F11,'Event Log'!$A$2:$A$194,0))</f>
        <v>Downs a US Apache helicopter over the Strait (US says a Shahed drone did it)</v>
      </c>
      <c r="J11" s="6" t="n">
        <f aca="false">G11-C11</f>
        <v>0</v>
      </c>
      <c r="K11" s="6" t="s">
        <v>892</v>
      </c>
      <c r="L11" s="6" t="s">
        <v>896</v>
      </c>
      <c r="M11" s="6" t="s">
        <v>907</v>
      </c>
    </row>
    <row r="12" customFormat="false" ht="46.25" hidden="false" customHeight="false" outlineLevel="0" collapsed="false">
      <c r="A12" s="6" t="n">
        <v>11</v>
      </c>
      <c r="B12" s="6" t="n">
        <v>45</v>
      </c>
      <c r="C12" s="7" t="n">
        <f aca="false">INDEX('Event Log'!$B$2:$B$194,MATCH(B12,'Event Log'!$A$2:$A$194,0))</f>
        <v>46181</v>
      </c>
      <c r="D12" s="6" t="str">
        <f aca="false">INDEX('Event Log'!$C$2:$C$194,MATCH(B12,'Event Log'!$A$2:$A$194,0))</f>
        <v>Iran</v>
      </c>
      <c r="E12" s="6" t="str">
        <f aca="false">INDEX('Event Log'!$F$2:$F$194,MATCH(B12,'Event Log'!$A$2:$A$194,0))</f>
        <v>Downs a US Apache helicopter over the Strait (US says a Shahed drone did it)</v>
      </c>
      <c r="F12" s="6" t="n">
        <v>46</v>
      </c>
      <c r="G12" s="7" t="n">
        <f aca="false">INDEX('Event Log'!$B$2:$B$194,MATCH(F12,'Event Log'!$A$2:$A$194,0))</f>
        <v>46182</v>
      </c>
      <c r="H12" s="6" t="str">
        <f aca="false">INDEX('Event Log'!$C$2:$C$194,MATCH(F12,'Event Log'!$A$2:$A$194,0))</f>
        <v>US</v>
      </c>
      <c r="I12" s="6" t="str">
        <f aca="false">INDEX('Event Log'!$F$2:$F$194,MATCH(F12,'Event Log'!$A$2:$A$194,0))</f>
        <v>US strikes Iranian air-defense, ground-control and surveillance radar sites near the Strait after Iran downs a US Apache (CENTCOM: 'proportional response')</v>
      </c>
      <c r="J12" s="6" t="n">
        <f aca="false">G12-C12</f>
        <v>1</v>
      </c>
      <c r="K12" s="6" t="s">
        <v>895</v>
      </c>
      <c r="L12" s="6" t="s">
        <v>896</v>
      </c>
      <c r="M12" s="6" t="s">
        <v>908</v>
      </c>
    </row>
    <row r="13" customFormat="false" ht="46.25" hidden="false" customHeight="false" outlineLevel="0" collapsed="false">
      <c r="A13" s="6" t="n">
        <v>12</v>
      </c>
      <c r="B13" s="6" t="n">
        <v>46</v>
      </c>
      <c r="C13" s="7" t="n">
        <f aca="false">INDEX('Event Log'!$B$2:$B$194,MATCH(B13,'Event Log'!$A$2:$A$194,0))</f>
        <v>46182</v>
      </c>
      <c r="D13" s="6" t="str">
        <f aca="false">INDEX('Event Log'!$C$2:$C$194,MATCH(B13,'Event Log'!$A$2:$A$194,0))</f>
        <v>US</v>
      </c>
      <c r="E13" s="6" t="str">
        <f aca="false">INDEX('Event Log'!$F$2:$F$194,MATCH(B13,'Event Log'!$A$2:$A$194,0))</f>
        <v>US strikes Iranian air-defense, ground-control and surveillance radar sites near the Strait after Iran downs a US Apache (CENTCOM: 'proportional response')</v>
      </c>
      <c r="F13" s="6" t="n">
        <v>47</v>
      </c>
      <c r="G13" s="7" t="n">
        <f aca="false">INDEX('Event Log'!$B$2:$B$194,MATCH(F13,'Event Log'!$A$2:$A$194,0))</f>
        <v>46183</v>
      </c>
      <c r="H13" s="6" t="str">
        <f aca="false">INDEX('Event Log'!$C$2:$C$194,MATCH(F13,'Event Log'!$A$2:$A$194,0))</f>
        <v>Iran</v>
      </c>
      <c r="I13" s="6" t="str">
        <f aca="false">INDEX('Event Log'!$F$2:$F$194,MATCH(F13,'Event Log'!$A$2:$A$194,0))</f>
        <v>Strikes Muwaffaq Salti AB plus bases in Kuwait and Bahrain</v>
      </c>
      <c r="J13" s="6" t="n">
        <f aca="false">G13-C13</f>
        <v>1</v>
      </c>
      <c r="K13" s="6" t="s">
        <v>895</v>
      </c>
      <c r="L13" s="6" t="s">
        <v>896</v>
      </c>
      <c r="M13" s="6" t="s">
        <v>909</v>
      </c>
    </row>
    <row r="14" customFormat="false" ht="35.05" hidden="false" customHeight="false" outlineLevel="0" collapsed="false">
      <c r="A14" s="6" t="n">
        <v>13</v>
      </c>
      <c r="B14" s="6" t="n">
        <v>54</v>
      </c>
      <c r="C14" s="7" t="n">
        <f aca="false">INDEX('Event Log'!$B$2:$B$194,MATCH(B14,'Event Log'!$A$2:$A$194,0))</f>
        <v>46198</v>
      </c>
      <c r="D14" s="6" t="str">
        <f aca="false">INDEX('Event Log'!$C$2:$C$194,MATCH(B14,'Event Log'!$A$2:$A$194,0))</f>
        <v>Iran</v>
      </c>
      <c r="E14" s="6" t="str">
        <f aca="false">INDEX('Event Log'!$F$2:$F$194,MATCH(B14,'Event Log'!$A$2:$A$194,0))</f>
        <v>Iranian drones attack the container ship Ever Lovely near Oman in the Strait; Trump calls it a 'foolish violation' of the Jun 17 memorandum</v>
      </c>
      <c r="F14" s="6" t="n">
        <v>55</v>
      </c>
      <c r="G14" s="7" t="n">
        <f aca="false">INDEX('Event Log'!$B$2:$B$194,MATCH(F14,'Event Log'!$A$2:$A$194,0))</f>
        <v>46199</v>
      </c>
      <c r="H14" s="6" t="str">
        <f aca="false">INDEX('Event Log'!$C$2:$C$194,MATCH(F14,'Event Log'!$A$2:$A$194,0))</f>
        <v>US</v>
      </c>
      <c r="I14" s="6" t="str">
        <f aca="false">INDEX('Event Log'!$F$2:$F$194,MATCH(F14,'Event Log'!$A$2:$A$194,0))</f>
        <v>~1 hour of retaliatory strikes on missile/drone sites and coastal radar</v>
      </c>
      <c r="J14" s="6" t="n">
        <f aca="false">G14-C14</f>
        <v>1</v>
      </c>
      <c r="K14" s="6" t="s">
        <v>903</v>
      </c>
      <c r="L14" s="6" t="s">
        <v>896</v>
      </c>
      <c r="M14" s="6" t="s">
        <v>910</v>
      </c>
    </row>
    <row r="15" customFormat="false" ht="46.25" hidden="false" customHeight="false" outlineLevel="0" collapsed="false">
      <c r="A15" s="6" t="n">
        <v>14</v>
      </c>
      <c r="B15" s="6" t="n">
        <v>55</v>
      </c>
      <c r="C15" s="7" t="n">
        <f aca="false">INDEX('Event Log'!$B$2:$B$194,MATCH(B15,'Event Log'!$A$2:$A$194,0))</f>
        <v>46199</v>
      </c>
      <c r="D15" s="6" t="str">
        <f aca="false">INDEX('Event Log'!$C$2:$C$194,MATCH(B15,'Event Log'!$A$2:$A$194,0))</f>
        <v>US</v>
      </c>
      <c r="E15" s="6" t="str">
        <f aca="false">INDEX('Event Log'!$F$2:$F$194,MATCH(B15,'Event Log'!$A$2:$A$194,0))</f>
        <v>~1 hour of retaliatory strikes on missile/drone sites and coastal radar</v>
      </c>
      <c r="F15" s="6" t="n">
        <v>56</v>
      </c>
      <c r="G15" s="7" t="n">
        <f aca="false">INDEX('Event Log'!$B$2:$B$194,MATCH(F15,'Event Log'!$A$2:$A$194,0))</f>
        <v>46200</v>
      </c>
      <c r="H15" s="6" t="str">
        <f aca="false">INDEX('Event Log'!$C$2:$C$194,MATCH(F15,'Event Log'!$A$2:$A$194,0))</f>
        <v>Iran</v>
      </c>
      <c r="I15" s="6" t="str">
        <f aca="false">INDEX('Event Log'!$F$2:$F$194,MATCH(F15,'Event Log'!$A$2:$A$194,0))</f>
        <v>Tanker Kiku hit by a one-way drone near Hormuz (Jun 27, per CENTCOM; Iran has not confirmed); overnight Jun 27-28 the IRGC fires drones and missiles at Kuwait (intercepted) and Bahrain</v>
      </c>
      <c r="J15" s="6" t="n">
        <f aca="false">G15-C15</f>
        <v>1</v>
      </c>
      <c r="K15" s="6" t="s">
        <v>895</v>
      </c>
      <c r="L15" s="6" t="s">
        <v>896</v>
      </c>
      <c r="M15" s="6" t="s">
        <v>911</v>
      </c>
    </row>
    <row r="16" customFormat="false" ht="35.05" hidden="false" customHeight="false" outlineLevel="0" collapsed="false">
      <c r="A16" s="6" t="n">
        <v>15</v>
      </c>
      <c r="B16" s="6" t="n">
        <v>57</v>
      </c>
      <c r="C16" s="7" t="n">
        <f aca="false">INDEX('Event Log'!$B$2:$B$194,MATCH(B16,'Event Log'!$A$2:$A$194,0))</f>
        <v>46210</v>
      </c>
      <c r="D16" s="6" t="str">
        <f aca="false">INDEX('Event Log'!$C$2:$C$194,MATCH(B16,'Event Log'!$A$2:$A$194,0))</f>
        <v>Iran</v>
      </c>
      <c r="E16" s="6" t="str">
        <f aca="false">INDEX('Event Log'!$F$2:$F$194,MATCH(B16,'Event Log'!$A$2:$A$194,0))</f>
        <v>Strikes three vessels in the Strait - second, larger MOU violation</v>
      </c>
      <c r="F16" s="6" t="n">
        <v>58</v>
      </c>
      <c r="G16" s="7" t="n">
        <f aca="false">INDEX('Event Log'!$B$2:$B$194,MATCH(F16,'Event Log'!$A$2:$A$194,0))</f>
        <v>46210</v>
      </c>
      <c r="H16" s="6" t="str">
        <f aca="false">INDEX('Event Log'!$C$2:$C$194,MATCH(F16,'Event Log'!$A$2:$A$194,0))</f>
        <v>US</v>
      </c>
      <c r="I16" s="6" t="str">
        <f aca="false">INDEX('Event Log'!$F$2:$F$194,MATCH(F16,'Event Log'!$A$2:$A$194,0))</f>
        <v>Treasury withdraws the general license allowing Iranian oil sales (wind-down to Jul 17) after the tanker attacks</v>
      </c>
      <c r="J16" s="6" t="n">
        <f aca="false">G16-C16</f>
        <v>0</v>
      </c>
      <c r="K16" s="6" t="s">
        <v>903</v>
      </c>
      <c r="L16" s="6" t="s">
        <v>896</v>
      </c>
      <c r="M16" s="6" t="s">
        <v>912</v>
      </c>
    </row>
    <row r="17" customFormat="false" ht="46.25" hidden="false" customHeight="false" outlineLevel="0" collapsed="false">
      <c r="A17" s="6" t="n">
        <v>16</v>
      </c>
      <c r="B17" s="6" t="n">
        <v>59</v>
      </c>
      <c r="C17" s="7" t="n">
        <f aca="false">INDEX('Event Log'!$B$2:$B$194,MATCH(B17,'Event Log'!$A$2:$A$194,0))</f>
        <v>46210</v>
      </c>
      <c r="D17" s="6" t="str">
        <f aca="false">INDEX('Event Log'!$C$2:$C$194,MATCH(B17,'Event Log'!$A$2:$A$194,0))</f>
        <v>US</v>
      </c>
      <c r="E17" s="6" t="str">
        <f aca="false">INDEX('Event Log'!$F$2:$F$194,MATCH(B17,'Event Log'!$A$2:$A$194,0))</f>
        <v>Trump declares the ceasefire 'over' at the NATO summit</v>
      </c>
      <c r="F17" s="6" t="n">
        <v>60</v>
      </c>
      <c r="G17" s="7" t="n">
        <f aca="false">INDEX('Event Log'!$B$2:$B$194,MATCH(F17,'Event Log'!$A$2:$A$194,0))</f>
        <v>46211</v>
      </c>
      <c r="H17" s="6" t="str">
        <f aca="false">INDEX('Event Log'!$C$2:$C$194,MATCH(F17,'Event Log'!$A$2:$A$194,0))</f>
        <v>US</v>
      </c>
      <c r="I17" s="6" t="str">
        <f aca="false">INDEX('Event Log'!$F$2:$F$194,MATCH(F17,'Event Log'!$A$2:$A$194,0))</f>
        <v>About 90 targets along Iran's coast (air defenses, coastal surveillance, missile and drone storage, naval and logistics sites), the second night in a row after ~80 on Jul 7 (CENTCOM)</v>
      </c>
      <c r="J17" s="6" t="n">
        <f aca="false">G17-C17</f>
        <v>1</v>
      </c>
      <c r="K17" s="6" t="s">
        <v>900</v>
      </c>
      <c r="L17" s="6" t="s">
        <v>896</v>
      </c>
      <c r="M17" s="6" t="s">
        <v>913</v>
      </c>
    </row>
    <row r="18" customFormat="false" ht="46.25" hidden="false" customHeight="false" outlineLevel="0" collapsed="false">
      <c r="A18" s="6" t="n">
        <v>17</v>
      </c>
      <c r="B18" s="6" t="n">
        <v>60</v>
      </c>
      <c r="C18" s="7" t="n">
        <f aca="false">INDEX('Event Log'!$B$2:$B$194,MATCH(B18,'Event Log'!$A$2:$A$194,0))</f>
        <v>46211</v>
      </c>
      <c r="D18" s="6" t="str">
        <f aca="false">INDEX('Event Log'!$C$2:$C$194,MATCH(B18,'Event Log'!$A$2:$A$194,0))</f>
        <v>US</v>
      </c>
      <c r="E18" s="6" t="str">
        <f aca="false">INDEX('Event Log'!$F$2:$F$194,MATCH(B18,'Event Log'!$A$2:$A$194,0))</f>
        <v>About 90 targets along Iran's coast (air defenses, coastal surveillance, missile and drone storage, naval and logistics sites), the second night in a row after ~80 on Jul 7 (CENTCOM)</v>
      </c>
      <c r="F18" s="6" t="n">
        <v>61</v>
      </c>
      <c r="G18" s="7" t="n">
        <f aca="false">INDEX('Event Log'!$B$2:$B$194,MATCH(F18,'Event Log'!$A$2:$A$194,0))</f>
        <v>46212</v>
      </c>
      <c r="H18" s="6" t="str">
        <f aca="false">INDEX('Event Log'!$C$2:$C$194,MATCH(F18,'Event Log'!$A$2:$A$194,0))</f>
        <v>Iran</v>
      </c>
      <c r="I18" s="6" t="str">
        <f aca="false">INDEX('Event Log'!$F$2:$F$194,MATCH(F18,'Event Log'!$A$2:$A$194,0))</f>
        <v>Iran's IRGC says it fired 10 ballistic missiles at the Azraq base in Jordan (Muwaffaq Salti AB is at Azraq); Jordan says it intercepted 8</v>
      </c>
      <c r="J18" s="6" t="n">
        <f aca="false">G18-C18</f>
        <v>1</v>
      </c>
      <c r="K18" s="6" t="s">
        <v>895</v>
      </c>
      <c r="L18" s="6" t="s">
        <v>896</v>
      </c>
      <c r="M18" s="6" t="s">
        <v>914</v>
      </c>
    </row>
    <row r="19" customFormat="false" ht="46.25" hidden="false" customHeight="false" outlineLevel="0" collapsed="false">
      <c r="A19" s="6" t="n">
        <v>18</v>
      </c>
      <c r="B19" s="6" t="n">
        <v>60</v>
      </c>
      <c r="C19" s="7" t="n">
        <f aca="false">INDEX('Event Log'!$B$2:$B$194,MATCH(B19,'Event Log'!$A$2:$A$194,0))</f>
        <v>46211</v>
      </c>
      <c r="D19" s="6" t="str">
        <f aca="false">INDEX('Event Log'!$C$2:$C$194,MATCH(B19,'Event Log'!$A$2:$A$194,0))</f>
        <v>US</v>
      </c>
      <c r="E19" s="6" t="str">
        <f aca="false">INDEX('Event Log'!$F$2:$F$194,MATCH(B19,'Event Log'!$A$2:$A$194,0))</f>
        <v>About 90 targets along Iran's coast (air defenses, coastal surveillance, missile and drone storage, naval and logistics sites), the second night in a row after ~80 on Jul 7 (CENTCOM)</v>
      </c>
      <c r="F19" s="6" t="n">
        <v>62</v>
      </c>
      <c r="G19" s="7" t="n">
        <f aca="false">INDEX('Event Log'!$B$2:$B$194,MATCH(F19,'Event Log'!$A$2:$A$194,0))</f>
        <v>46215</v>
      </c>
      <c r="H19" s="6" t="str">
        <f aca="false">INDEX('Event Log'!$C$2:$C$194,MATCH(F19,'Event Log'!$A$2:$A$194,0))</f>
        <v>Iran</v>
      </c>
      <c r="I19" s="6" t="str">
        <f aca="false">INDEX('Event Log'!$F$2:$F$194,MATCH(F19,'Event Log'!$A$2:$A$194,0))</f>
        <v>Simultaneous strikes framed as retaliation for a '3rd round of US strikes within a week' (~140 sites)</v>
      </c>
      <c r="J19" s="6" t="n">
        <f aca="false">G19-C19</f>
        <v>4</v>
      </c>
      <c r="K19" s="6" t="s">
        <v>895</v>
      </c>
      <c r="L19" s="6" t="s">
        <v>893</v>
      </c>
      <c r="M19" s="6" t="s">
        <v>915</v>
      </c>
    </row>
    <row r="20" customFormat="false" ht="35.05" hidden="false" customHeight="false" outlineLevel="0" collapsed="false">
      <c r="A20" s="6" t="n">
        <v>19</v>
      </c>
      <c r="B20" s="6" t="n">
        <v>70</v>
      </c>
      <c r="C20" s="7" t="n">
        <f aca="false">INDEX('Event Log'!$B$2:$B$194,MATCH(B20,'Event Log'!$A$2:$A$194,0))</f>
        <v>46264</v>
      </c>
      <c r="D20" s="6" t="str">
        <f aca="false">INDEX('Event Log'!$C$2:$C$194,MATCH(B20,'Event Log'!$A$2:$A$194,0))</f>
        <v>US</v>
      </c>
      <c r="E20" s="6" t="str">
        <f aca="false">INDEX('Event Log'!$F$2:$F$194,MATCH(B20,'Event Log'!$A$2:$A$194,0))</f>
        <v>Strikes 2 IRGC rocket launchers on Larak Island, said to be preparing sea mines</v>
      </c>
      <c r="F20" s="6" t="n">
        <v>71</v>
      </c>
      <c r="G20" s="7" t="n">
        <f aca="false">INDEX('Event Log'!$B$2:$B$194,MATCH(F20,'Event Log'!$A$2:$A$194,0))</f>
        <v>46265</v>
      </c>
      <c r="H20" s="6" t="str">
        <f aca="false">INDEX('Event Log'!$C$2:$C$194,MATCH(F20,'Event Log'!$A$2:$A$194,0))</f>
        <v>Iran</v>
      </c>
      <c r="I20" s="6" t="str">
        <f aca="false">INDEX('Event Log'!$F$2:$F$194,MATCH(F20,'Event Log'!$A$2:$A$194,0))</f>
        <v>'Punishment of the Aggressor': strikes King Hussein AB and Al Azraq AB</v>
      </c>
      <c r="J20" s="6" t="n">
        <f aca="false">G20-C20</f>
        <v>1</v>
      </c>
      <c r="K20" s="6" t="s">
        <v>892</v>
      </c>
      <c r="L20" s="6" t="s">
        <v>896</v>
      </c>
      <c r="M20" s="6" t="s">
        <v>916</v>
      </c>
    </row>
    <row r="21" customFormat="false" ht="35.05" hidden="false" customHeight="false" outlineLevel="0" collapsed="false">
      <c r="A21" s="6" t="n">
        <v>20</v>
      </c>
      <c r="B21" s="6" t="n">
        <v>74</v>
      </c>
      <c r="C21" s="7" t="n">
        <f aca="false">INDEX('Event Log'!$B$2:$B$194,MATCH(B21,'Event Log'!$A$2:$A$194,0))</f>
        <v>46266</v>
      </c>
      <c r="D21" s="6" t="str">
        <f aca="false">INDEX('Event Log'!$C$2:$C$194,MATCH(B21,'Event Log'!$A$2:$A$194,0))</f>
        <v>US</v>
      </c>
      <c r="E21" s="6" t="str">
        <f aca="false">INDEX('Event Log'!$F$2:$F$194,MATCH(B21,'Event Log'!$A$2:$A$194,0))</f>
        <v>Kuhestak/Sirik wedding strike, part of the same wave as #73</v>
      </c>
      <c r="F21" s="6" t="n">
        <v>75</v>
      </c>
      <c r="G21" s="7" t="n">
        <f aca="false">INDEX('Event Log'!$B$2:$B$194,MATCH(F21,'Event Log'!$A$2:$A$194,0))</f>
        <v>46266</v>
      </c>
      <c r="H21" s="6" t="str">
        <f aca="false">INDEX('Event Log'!$C$2:$C$194,MATCH(F21,'Event Log'!$A$2:$A$194,0))</f>
        <v>Iran</v>
      </c>
      <c r="I21" s="6" t="str">
        <f aca="false">INDEX('Event Log'!$F$2:$F$194,MATCH(F21,'Event Log'!$A$2:$A$194,0))</f>
        <v>Strikes Camp Titin and Prince Hassan AB</v>
      </c>
      <c r="J21" s="6" t="n">
        <f aca="false">G21-C21</f>
        <v>0</v>
      </c>
      <c r="K21" s="6" t="s">
        <v>892</v>
      </c>
      <c r="L21" s="6" t="s">
        <v>896</v>
      </c>
      <c r="M21" s="6" t="s">
        <v>917</v>
      </c>
    </row>
    <row r="22" customFormat="false" ht="46.25" hidden="false" customHeight="false" outlineLevel="0" collapsed="false">
      <c r="A22" s="6" t="n">
        <v>22</v>
      </c>
      <c r="B22" s="6" t="n">
        <v>78</v>
      </c>
      <c r="C22" s="7" t="n">
        <f aca="false">INDEX('Event Log'!$B$2:$B$194,MATCH(B22,'Event Log'!$A$2:$A$194,0))</f>
        <v>46273</v>
      </c>
      <c r="D22" s="6" t="str">
        <f aca="false">INDEX('Event Log'!$C$2:$C$194,MATCH(B22,'Event Log'!$A$2:$A$194,0))</f>
        <v>Iran</v>
      </c>
      <c r="E22" s="6" t="str">
        <f aca="false">INDEX('Event Log'!$F$2:$F$194,MATCH(B22,'Event Log'!$A$2:$A$194,0))</f>
        <v>IRGC fires ballistic missiles at a US warship for the second time in two days</v>
      </c>
      <c r="F22" s="6" t="n">
        <v>79</v>
      </c>
      <c r="G22" s="7" t="n">
        <f aca="false">INDEX('Event Log'!$B$2:$B$194,MATCH(F22,'Event Log'!$A$2:$A$194,0))</f>
        <v>46273</v>
      </c>
      <c r="H22" s="6" t="str">
        <f aca="false">INDEX('Event Log'!$C$2:$C$194,MATCH(F22,'Event Log'!$A$2:$A$194,0))</f>
        <v>US</v>
      </c>
      <c r="I22" s="6" t="str">
        <f aca="false">INDEX('Event Log'!$F$2:$F$194,MATCH(F22,'Event Log'!$A$2:$A$194,0))</f>
        <v>CENTCOM destroys five IRGC crude oil carriers (four in the Gulf of Oman, one near Kharg Island) after the IRGC's missile attempts on a US warship</v>
      </c>
      <c r="J22" s="6" t="n">
        <f aca="false">G22-C22</f>
        <v>0</v>
      </c>
      <c r="K22" s="6" t="s">
        <v>895</v>
      </c>
      <c r="L22" s="6" t="s">
        <v>896</v>
      </c>
      <c r="M22" s="6" t="s">
        <v>918</v>
      </c>
    </row>
    <row r="23" customFormat="false" ht="46.25" hidden="false" customHeight="false" outlineLevel="0" collapsed="false">
      <c r="A23" s="6" t="n">
        <v>23</v>
      </c>
      <c r="B23" s="6" t="n">
        <v>79</v>
      </c>
      <c r="C23" s="7" t="n">
        <f aca="false">INDEX('Event Log'!$B$2:$B$194,MATCH(B23,'Event Log'!$A$2:$A$194,0))</f>
        <v>46273</v>
      </c>
      <c r="D23" s="6" t="str">
        <f aca="false">INDEX('Event Log'!$C$2:$C$194,MATCH(B23,'Event Log'!$A$2:$A$194,0))</f>
        <v>US</v>
      </c>
      <c r="E23" s="6" t="str">
        <f aca="false">INDEX('Event Log'!$F$2:$F$194,MATCH(B23,'Event Log'!$A$2:$A$194,0))</f>
        <v>CENTCOM destroys five IRGC crude oil carriers (four in the Gulf of Oman, one near Kharg Island) after the IRGC's missile attempts on a US warship</v>
      </c>
      <c r="F23" s="6" t="n">
        <v>80</v>
      </c>
      <c r="G23" s="7" t="n">
        <f aca="false">INDEX('Event Log'!$B$2:$B$194,MATCH(F23,'Event Log'!$A$2:$A$194,0))</f>
        <v>46274</v>
      </c>
      <c r="H23" s="6" t="str">
        <f aca="false">INDEX('Event Log'!$C$2:$C$194,MATCH(F23,'Event Log'!$A$2:$A$194,0))</f>
        <v>Iran</v>
      </c>
      <c r="I23" s="6" t="str">
        <f aca="false">INDEX('Event Log'!$F$2:$F$194,MATCH(F23,'Event Log'!$A$2:$A$194,0))</f>
        <v>Strikes Muwaffaq Salti AB: 1 A-10 loses a wing, ~8 F-15s lightly damaged</v>
      </c>
      <c r="J23" s="6" t="n">
        <f aca="false">G23-C23</f>
        <v>1</v>
      </c>
      <c r="K23" s="6" t="s">
        <v>903</v>
      </c>
      <c r="L23" s="6" t="s">
        <v>896</v>
      </c>
      <c r="M23" s="6" t="s">
        <v>919</v>
      </c>
    </row>
    <row r="24" customFormat="false" ht="35.05" hidden="false" customHeight="false" outlineLevel="0" collapsed="false">
      <c r="A24" s="6" t="n">
        <v>24</v>
      </c>
      <c r="B24" s="6" t="n">
        <v>81</v>
      </c>
      <c r="C24" s="7" t="n">
        <f aca="false">INDEX('Event Log'!$B$2:$B$194,MATCH(B24,'Event Log'!$A$2:$A$194,0))</f>
        <v>46288</v>
      </c>
      <c r="D24" s="6" t="str">
        <f aca="false">INDEX('Event Log'!$C$2:$C$194,MATCH(B24,'Event Log'!$A$2:$A$194,0))</f>
        <v>Iran</v>
      </c>
      <c r="E24" s="6" t="str">
        <f aca="false">INDEX('Event Log'!$F$2:$F$194,MATCH(B24,'Event Log'!$A$2:$A$194,0))</f>
        <v>FM Araghchi's 7-day roadmap at UNGA: ceasefire, blockade lift, Strait reopens on day 7</v>
      </c>
      <c r="F24" s="6" t="n">
        <v>82</v>
      </c>
      <c r="G24" s="7" t="n">
        <f aca="false">INDEX('Event Log'!$B$2:$B$194,MATCH(F24,'Event Log'!$A$2:$A$194,0))</f>
        <v>46291</v>
      </c>
      <c r="H24" s="6" t="str">
        <f aca="false">INDEX('Event Log'!$C$2:$C$194,MATCH(F24,'Event Log'!$A$2:$A$194,0))</f>
        <v>US</v>
      </c>
      <c r="I24" s="6" t="str">
        <f aca="false">INDEX('Event Log'!$F$2:$F$194,MATCH(F24,'Event Log'!$A$2:$A$194,0))</f>
        <v>Trump rejects the proposal; officials say he expects to resume bombing after the November midterms</v>
      </c>
      <c r="J24" s="6" t="n">
        <f aca="false">G24-C24</f>
        <v>3</v>
      </c>
      <c r="K24" s="6" t="s">
        <v>900</v>
      </c>
      <c r="L24" s="6" t="s">
        <v>896</v>
      </c>
      <c r="M24" s="6" t="s">
        <v>920</v>
      </c>
    </row>
    <row r="25" customFormat="false" ht="35.05" hidden="false" customHeight="false" outlineLevel="0" collapsed="false">
      <c r="A25" s="6" t="n">
        <v>25</v>
      </c>
      <c r="B25" s="6" t="n">
        <v>82</v>
      </c>
      <c r="C25" s="7" t="n">
        <f aca="false">INDEX('Event Log'!$B$2:$B$194,MATCH(B25,'Event Log'!$A$2:$A$194,0))</f>
        <v>46291</v>
      </c>
      <c r="D25" s="6" t="str">
        <f aca="false">INDEX('Event Log'!$C$2:$C$194,MATCH(B25,'Event Log'!$A$2:$A$194,0))</f>
        <v>US</v>
      </c>
      <c r="E25" s="6" t="str">
        <f aca="false">INDEX('Event Log'!$F$2:$F$194,MATCH(B25,'Event Log'!$A$2:$A$194,0))</f>
        <v>Trump rejects the proposal; officials say he expects to resume bombing after the November midterms</v>
      </c>
      <c r="F25" s="6" t="n">
        <v>86</v>
      </c>
      <c r="G25" s="7" t="n">
        <f aca="false">INDEX('Event Log'!$B$2:$B$194,MATCH(F25,'Event Log'!$A$2:$A$194,0))</f>
        <v>46294</v>
      </c>
      <c r="H25" s="6" t="str">
        <f aca="false">INDEX('Event Log'!$C$2:$C$194,MATCH(F25,'Event Log'!$A$2:$A$194,0))</f>
        <v>US</v>
      </c>
      <c r="I25" s="6" t="str">
        <f aca="false">INDEX('Event Log'!$F$2:$F$194,MATCH(F25,'Event Log'!$A$2:$A$194,0))</f>
        <v>US sends a formal counter-proposal via Qatari mediators responding to Iran's 7-day roadmap; US insists nuclear talks be included</v>
      </c>
      <c r="J25" s="6" t="n">
        <f aca="false">G25-C25</f>
        <v>3</v>
      </c>
      <c r="K25" s="6" t="s">
        <v>900</v>
      </c>
      <c r="L25" s="6" t="s">
        <v>896</v>
      </c>
      <c r="M25" s="6" t="s">
        <v>921</v>
      </c>
    </row>
    <row r="26" customFormat="false" ht="35.05" hidden="false" customHeight="false" outlineLevel="0" collapsed="false">
      <c r="A26" s="6" t="n">
        <v>26</v>
      </c>
      <c r="B26" s="6" t="n">
        <v>212</v>
      </c>
      <c r="C26" s="7" t="n">
        <f aca="false">INDEX('Event Log'!$B$2:$B$194,MATCH(B26,'Event Log'!$A$2:$A$194,0))</f>
        <v>43826</v>
      </c>
      <c r="D26" s="6" t="str">
        <f aca="false">INDEX('Event Log'!$C$2:$C$194,MATCH(B26,'Event Log'!$A$2:$A$194,0))</f>
        <v>Kataib Hezbollah (Iran-backed, per US)</v>
      </c>
      <c r="E26" s="6" t="str">
        <f aca="false">INDEX('Event Log'!$F$2:$F$194,MATCH(B26,'Event Log'!$A$2:$A$194,0))</f>
        <v>Rocket attack on the K-1 base near Kirkuk kills a US contractor; the US blames Kataib Hezbollah</v>
      </c>
      <c r="F26" s="6" t="n">
        <v>213</v>
      </c>
      <c r="G26" s="7" t="n">
        <f aca="false">INDEX('Event Log'!$B$2:$B$194,MATCH(F26,'Event Log'!$A$2:$A$194,0))</f>
        <v>43828</v>
      </c>
      <c r="H26" s="6" t="str">
        <f aca="false">INDEX('Event Log'!$C$2:$C$194,MATCH(F26,'Event Log'!$A$2:$A$194,0))</f>
        <v>US</v>
      </c>
      <c r="I26" s="6" t="str">
        <f aca="false">INDEX('Event Log'!$F$2:$F$194,MATCH(F26,'Event Log'!$A$2:$A$194,0))</f>
        <v>US strikes five Kataib Hezbollah sites in Iraq and Syria in retaliation for the K-1 attack</v>
      </c>
      <c r="J26" s="6" t="n">
        <f aca="false">G26-C26</f>
        <v>2</v>
      </c>
      <c r="K26" s="6" t="s">
        <v>892</v>
      </c>
      <c r="L26" s="6" t="s">
        <v>893</v>
      </c>
      <c r="M26" s="6" t="s">
        <v>922</v>
      </c>
    </row>
    <row r="27" customFormat="false" ht="46.25" hidden="false" customHeight="false" outlineLevel="0" collapsed="false">
      <c r="A27" s="6" t="n">
        <v>27</v>
      </c>
      <c r="B27" s="6" t="n">
        <v>213</v>
      </c>
      <c r="C27" s="7" t="n">
        <f aca="false">INDEX('Event Log'!$B$2:$B$194,MATCH(B27,'Event Log'!$A$2:$A$194,0))</f>
        <v>43828</v>
      </c>
      <c r="D27" s="6" t="str">
        <f aca="false">INDEX('Event Log'!$C$2:$C$194,MATCH(B27,'Event Log'!$A$2:$A$194,0))</f>
        <v>US</v>
      </c>
      <c r="E27" s="6" t="str">
        <f aca="false">INDEX('Event Log'!$F$2:$F$194,MATCH(B27,'Event Log'!$A$2:$A$194,0))</f>
        <v>US strikes five Kataib Hezbollah sites in Iraq and Syria in retaliation for the K-1 attack</v>
      </c>
      <c r="F27" s="6" t="n">
        <v>214</v>
      </c>
      <c r="G27" s="7" t="n">
        <f aca="false">INDEX('Event Log'!$B$2:$B$194,MATCH(F27,'Event Log'!$A$2:$A$194,0))</f>
        <v>43830</v>
      </c>
      <c r="H27" s="6" t="str">
        <f aca="false">INDEX('Event Log'!$C$2:$C$194,MATCH(F27,'Event Log'!$A$2:$A$194,0))</f>
        <v>Kataib Hezbollah supporters (Iran-backed)</v>
      </c>
      <c r="I27" s="6" t="str">
        <f aca="false">INDEX('Event Log'!$F$2:$F$194,MATCH(F27,'Event Log'!$A$2:$A$194,0))</f>
        <v>Militia supporters storm the outer compound of the US embassy in Baghdad after the US strikes</v>
      </c>
      <c r="J27" s="6" t="n">
        <f aca="false">G27-C27</f>
        <v>2</v>
      </c>
      <c r="K27" s="6" t="s">
        <v>892</v>
      </c>
      <c r="L27" s="6" t="s">
        <v>896</v>
      </c>
      <c r="M27" s="6" t="s">
        <v>923</v>
      </c>
    </row>
    <row r="28" customFormat="false" ht="35.05" hidden="false" customHeight="false" outlineLevel="0" collapsed="false">
      <c r="A28" s="6" t="n">
        <v>28</v>
      </c>
      <c r="B28" s="6" t="n">
        <v>215</v>
      </c>
      <c r="C28" s="7" t="n">
        <f aca="false">INDEX('Event Log'!$B$2:$B$194,MATCH(B28,'Event Log'!$A$2:$A$194,0))</f>
        <v>43833</v>
      </c>
      <c r="D28" s="6" t="str">
        <f aca="false">INDEX('Event Log'!$C$2:$C$194,MATCH(B28,'Event Log'!$A$2:$A$194,0))</f>
        <v>US</v>
      </c>
      <c r="E28" s="6" t="str">
        <f aca="false">INDEX('Event Log'!$F$2:$F$194,MATCH(B28,'Event Log'!$A$2:$A$194,0))</f>
        <v>US drone strike at Baghdad airport kills IRGC Quds Force commander Qassem Soleimani and militia leader Abu Mahdi al-Muhandis</v>
      </c>
      <c r="F28" s="6" t="n">
        <v>216</v>
      </c>
      <c r="G28" s="7" t="n">
        <f aca="false">INDEX('Event Log'!$B$2:$B$194,MATCH(F28,'Event Log'!$A$2:$A$194,0))</f>
        <v>43838</v>
      </c>
      <c r="H28" s="6" t="str">
        <f aca="false">INDEX('Event Log'!$C$2:$C$194,MATCH(F28,'Event Log'!$A$2:$A$194,0))</f>
        <v>Iran</v>
      </c>
      <c r="I28" s="6" t="str">
        <f aca="false">INDEX('Event Log'!$F$2:$F$194,MATCH(F28,'Event Log'!$A$2:$A$194,0))</f>
        <v>Iran fires ballistic missiles at bases housing US troops in Iraq in revenge for Soleimani</v>
      </c>
      <c r="J28" s="6" t="n">
        <f aca="false">G28-C28</f>
        <v>5</v>
      </c>
      <c r="K28" s="6" t="s">
        <v>892</v>
      </c>
      <c r="L28" s="6" t="s">
        <v>893</v>
      </c>
      <c r="M28" s="6" t="s">
        <v>924</v>
      </c>
    </row>
    <row r="29" customFormat="false" ht="35.05" hidden="false" customHeight="false" outlineLevel="0" collapsed="false">
      <c r="A29" s="6" t="n">
        <v>29</v>
      </c>
      <c r="B29" s="6" t="n">
        <v>218</v>
      </c>
      <c r="C29" s="7" t="n">
        <f aca="false">INDEX('Event Log'!$B$2:$B$194,MATCH(B29,'Event Log'!$A$2:$A$194,0))</f>
        <v>43901</v>
      </c>
      <c r="D29" s="6" t="str">
        <f aca="false">INDEX('Event Log'!$C$2:$C$194,MATCH(B29,'Event Log'!$A$2:$A$194,0))</f>
        <v>Kataib Hezbollah (Iran-backed, per US)</v>
      </c>
      <c r="E29" s="6" t="str">
        <f aca="false">INDEX('Event Log'!$F$2:$F$194,MATCH(B29,'Event Log'!$A$2:$A$194,0))</f>
        <v>Rocket attack on Camp Taji kills two US troops and a British soldier</v>
      </c>
      <c r="F29" s="6" t="n">
        <v>219</v>
      </c>
      <c r="G29" s="7" t="n">
        <f aca="false">INDEX('Event Log'!$B$2:$B$194,MATCH(F29,'Event Log'!$A$2:$A$194,0))</f>
        <v>43902</v>
      </c>
      <c r="H29" s="6" t="str">
        <f aca="false">INDEX('Event Log'!$C$2:$C$194,MATCH(F29,'Event Log'!$A$2:$A$194,0))</f>
        <v>US</v>
      </c>
      <c r="I29" s="6" t="str">
        <f aca="false">INDEX('Event Log'!$F$2:$F$194,MATCH(F29,'Event Log'!$A$2:$A$194,0))</f>
        <v>US strikes Kataib Hezbollah weapons storage sites in Iraq after the Taji attack</v>
      </c>
      <c r="J29" s="6" t="n">
        <f aca="false">G29-C29</f>
        <v>1</v>
      </c>
      <c r="K29" s="6" t="s">
        <v>892</v>
      </c>
      <c r="L29" s="6" t="s">
        <v>896</v>
      </c>
      <c r="M29" s="6" t="s">
        <v>925</v>
      </c>
    </row>
    <row r="30" customFormat="false" ht="35.05" hidden="false" customHeight="false" outlineLevel="0" collapsed="false">
      <c r="A30" s="6" t="n">
        <v>30</v>
      </c>
      <c r="B30" s="6" t="n">
        <v>219</v>
      </c>
      <c r="C30" s="7" t="n">
        <f aca="false">INDEX('Event Log'!$B$2:$B$194,MATCH(B30,'Event Log'!$A$2:$A$194,0))</f>
        <v>43902</v>
      </c>
      <c r="D30" s="6" t="str">
        <f aca="false">INDEX('Event Log'!$C$2:$C$194,MATCH(B30,'Event Log'!$A$2:$A$194,0))</f>
        <v>US</v>
      </c>
      <c r="E30" s="6" t="str">
        <f aca="false">INDEX('Event Log'!$F$2:$F$194,MATCH(B30,'Event Log'!$A$2:$A$194,0))</f>
        <v>US strikes Kataib Hezbollah weapons storage sites in Iraq after the Taji attack</v>
      </c>
      <c r="F30" s="6" t="n">
        <v>220</v>
      </c>
      <c r="G30" s="7" t="n">
        <f aca="false">INDEX('Event Log'!$B$2:$B$194,MATCH(F30,'Event Log'!$A$2:$A$194,0))</f>
        <v>43904</v>
      </c>
      <c r="H30" s="6" t="str">
        <f aca="false">INDEX('Event Log'!$C$2:$C$194,MATCH(F30,'Event Log'!$A$2:$A$194,0))</f>
        <v>Unknown (Iran-backed militia suspected)</v>
      </c>
      <c r="I30" s="6" t="str">
        <f aca="false">INDEX('Event Log'!$F$2:$F$194,MATCH(F30,'Event Log'!$A$2:$A$194,0))</f>
        <v>At least 25 rockets hit Camp Taji a day after the US strikes; no group named</v>
      </c>
      <c r="J30" s="6" t="n">
        <f aca="false">G30-C30</f>
        <v>2</v>
      </c>
      <c r="K30" s="6" t="s">
        <v>895</v>
      </c>
      <c r="L30" s="6" t="s">
        <v>893</v>
      </c>
      <c r="M30" s="6" t="s">
        <v>926</v>
      </c>
    </row>
    <row r="31" customFormat="false" ht="35.05" hidden="false" customHeight="false" outlineLevel="0" collapsed="false">
      <c r="A31" s="6" t="n">
        <v>31</v>
      </c>
      <c r="B31" s="6" t="n">
        <v>223</v>
      </c>
      <c r="C31" s="7" t="n">
        <f aca="false">INDEX('Event Log'!$B$2:$B$194,MATCH(B31,'Event Log'!$A$2:$A$194,0))</f>
        <v>44374</v>
      </c>
      <c r="D31" s="6" t="str">
        <f aca="false">INDEX('Event Log'!$C$2:$C$194,MATCH(B31,'Event Log'!$A$2:$A$194,0))</f>
        <v>US</v>
      </c>
      <c r="E31" s="6" t="str">
        <f aca="false">INDEX('Event Log'!$F$2:$F$194,MATCH(B31,'Event Log'!$A$2:$A$194,0))</f>
        <v>US strikes facilities used by Iran-backed militias near the Iraq-Syria border</v>
      </c>
      <c r="F31" s="6" t="n">
        <v>224</v>
      </c>
      <c r="G31" s="7" t="n">
        <f aca="false">INDEX('Event Log'!$B$2:$B$194,MATCH(F31,'Event Log'!$A$2:$A$194,0))</f>
        <v>44375</v>
      </c>
      <c r="H31" s="6" t="str">
        <f aca="false">INDEX('Event Log'!$C$2:$C$194,MATCH(F31,'Event Log'!$A$2:$A$194,0))</f>
        <v>Unknown (Iran-backed militia suspected)</v>
      </c>
      <c r="I31" s="6" t="str">
        <f aca="false">INDEX('Event Log'!$F$2:$F$194,MATCH(F31,'Event Log'!$A$2:$A$194,0))</f>
        <v>Rockets fired at US forces in eastern Syria the day after the US strikes</v>
      </c>
      <c r="J31" s="6" t="n">
        <f aca="false">G31-C31</f>
        <v>1</v>
      </c>
      <c r="K31" s="6" t="s">
        <v>895</v>
      </c>
      <c r="L31" s="6" t="s">
        <v>896</v>
      </c>
      <c r="M31" s="6" t="s">
        <v>927</v>
      </c>
    </row>
    <row r="32" customFormat="false" ht="35.05" hidden="false" customHeight="false" outlineLevel="0" collapsed="false">
      <c r="A32" s="6" t="n">
        <v>32</v>
      </c>
      <c r="B32" s="6" t="n">
        <v>225</v>
      </c>
      <c r="C32" s="7" t="n">
        <f aca="false">INDEX('Event Log'!$B$2:$B$194,MATCH(B32,'Event Log'!$A$2:$A$194,0))</f>
        <v>44797</v>
      </c>
      <c r="D32" s="6" t="str">
        <f aca="false">INDEX('Event Log'!$C$2:$C$194,MATCH(B32,'Event Log'!$A$2:$A$194,0))</f>
        <v>US</v>
      </c>
      <c r="E32" s="6" t="str">
        <f aca="false">INDEX('Event Log'!$F$2:$F$194,MATCH(B32,'Event Log'!$A$2:$A$194,0))</f>
        <v>US strikes bunkers in Deir ez-Zor used by militias backed by the IRGC; the US later says 4 militia members were killed</v>
      </c>
      <c r="F32" s="6" t="n">
        <v>226</v>
      </c>
      <c r="G32" s="7" t="n">
        <f aca="false">INDEX('Event Log'!$B$2:$B$194,MATCH(F32,'Event Log'!$A$2:$A$194,0))</f>
        <v>44797</v>
      </c>
      <c r="H32" s="6" t="str">
        <f aca="false">INDEX('Event Log'!$C$2:$C$194,MATCH(F32,'Event Log'!$A$2:$A$194,0))</f>
        <v>Militias (Iran-backed, per US)</v>
      </c>
      <c r="I32" s="6" t="str">
        <f aca="false">INDEX('Event Log'!$F$2:$F$194,MATCH(F32,'Event Log'!$A$2:$A$194,0))</f>
        <v>Militia rockets hit Green Village and the Conoco gas field within hours of the US strikes</v>
      </c>
      <c r="J32" s="6" t="n">
        <f aca="false">G32-C32</f>
        <v>0</v>
      </c>
      <c r="K32" s="6" t="s">
        <v>895</v>
      </c>
      <c r="L32" s="6" t="s">
        <v>893</v>
      </c>
      <c r="M32" s="6" t="s">
        <v>928</v>
      </c>
    </row>
    <row r="33" customFormat="false" ht="35.05" hidden="false" customHeight="false" outlineLevel="0" collapsed="false">
      <c r="A33" s="6" t="n">
        <v>33</v>
      </c>
      <c r="B33" s="6" t="n">
        <v>227</v>
      </c>
      <c r="C33" s="7" t="n">
        <f aca="false">INDEX('Event Log'!$B$2:$B$194,MATCH(B33,'Event Log'!$A$2:$A$194,0))</f>
        <v>45008</v>
      </c>
      <c r="D33" s="6" t="str">
        <f aca="false">INDEX('Event Log'!$C$2:$C$194,MATCH(B33,'Event Log'!$A$2:$A$194,0))</f>
        <v>Militia (Iranian-made drone, per US)</v>
      </c>
      <c r="E33" s="6" t="str">
        <f aca="false">INDEX('Event Log'!$F$2:$F$194,MATCH(B33,'Event Log'!$A$2:$A$194,0))</f>
        <v>A drone of Iranian origin hits a US maintenance facility near Hasakah, killing a US contractor</v>
      </c>
      <c r="F33" s="6" t="n">
        <v>228</v>
      </c>
      <c r="G33" s="7" t="n">
        <f aca="false">INDEX('Event Log'!$B$2:$B$194,MATCH(F33,'Event Log'!$A$2:$A$194,0))</f>
        <v>45008</v>
      </c>
      <c r="H33" s="6" t="str">
        <f aca="false">INDEX('Event Log'!$C$2:$C$194,MATCH(F33,'Event Log'!$A$2:$A$194,0))</f>
        <v>US</v>
      </c>
      <c r="I33" s="6" t="str">
        <f aca="false">INDEX('Event Log'!$F$2:$F$194,MATCH(F33,'Event Log'!$A$2:$A$194,0))</f>
        <v>US F-15s strike facilities in eastern Syria used by groups affiliated with the IRGC</v>
      </c>
      <c r="J33" s="6" t="n">
        <f aca="false">G33-C33</f>
        <v>0</v>
      </c>
      <c r="K33" s="6" t="s">
        <v>892</v>
      </c>
      <c r="L33" s="6" t="s">
        <v>896</v>
      </c>
      <c r="M33" s="6" t="s">
        <v>929</v>
      </c>
    </row>
    <row r="34" customFormat="false" ht="35.05" hidden="false" customHeight="false" outlineLevel="0" collapsed="false">
      <c r="A34" s="6" t="n">
        <v>34</v>
      </c>
      <c r="B34" s="6" t="n">
        <v>228</v>
      </c>
      <c r="C34" s="7" t="n">
        <f aca="false">INDEX('Event Log'!$B$2:$B$194,MATCH(B34,'Event Log'!$A$2:$A$194,0))</f>
        <v>45008</v>
      </c>
      <c r="D34" s="6" t="str">
        <f aca="false">INDEX('Event Log'!$C$2:$C$194,MATCH(B34,'Event Log'!$A$2:$A$194,0))</f>
        <v>US</v>
      </c>
      <c r="E34" s="6" t="str">
        <f aca="false">INDEX('Event Log'!$F$2:$F$194,MATCH(B34,'Event Log'!$A$2:$A$194,0))</f>
        <v>US F-15s strike facilities in eastern Syria used by groups affiliated with the IRGC</v>
      </c>
      <c r="F34" s="6" t="n">
        <v>229</v>
      </c>
      <c r="G34" s="7" t="n">
        <f aca="false">INDEX('Event Log'!$B$2:$B$194,MATCH(F34,'Event Log'!$A$2:$A$194,0))</f>
        <v>45009</v>
      </c>
      <c r="H34" s="6" t="str">
        <f aca="false">INDEX('Event Log'!$C$2:$C$194,MATCH(F34,'Event Log'!$A$2:$A$194,0))</f>
        <v>Militias (Iran-backed, suspected)</v>
      </c>
      <c r="I34" s="6" t="str">
        <f aca="false">INDEX('Event Log'!$F$2:$F$194,MATCH(F34,'Event Log'!$A$2:$A$194,0))</f>
        <v>Rockets and drones target US bases in northeast Syria the day after the US strikes</v>
      </c>
      <c r="J34" s="6" t="n">
        <f aca="false">G34-C34</f>
        <v>1</v>
      </c>
      <c r="K34" s="6" t="s">
        <v>895</v>
      </c>
      <c r="L34" s="6" t="s">
        <v>893</v>
      </c>
      <c r="M34" s="6" t="s">
        <v>930</v>
      </c>
    </row>
    <row r="35" customFormat="false" ht="46.25" hidden="false" customHeight="false" outlineLevel="0" collapsed="false">
      <c r="A35" s="6" t="n">
        <v>35</v>
      </c>
      <c r="B35" s="6" t="n">
        <v>238</v>
      </c>
      <c r="C35" s="7" t="n">
        <f aca="false">INDEX('Event Log'!$B$2:$B$194,MATCH(B35,'Event Log'!$A$2:$A$194,0))</f>
        <v>45319</v>
      </c>
      <c r="D35" s="6" t="str">
        <f aca="false">INDEX('Event Log'!$C$2:$C$194,MATCH(B35,'Event Log'!$A$2:$A$194,0))</f>
        <v>Islamic Resistance in Iraq (Iran-backed)</v>
      </c>
      <c r="E35" s="6" t="str">
        <f aca="false">INDEX('Event Log'!$F$2:$F$194,MATCH(B35,'Event Log'!$A$2:$A$194,0))</f>
        <v>Drone attack on Tower 22 in Jordan kills three US soldiers and wounds dozens</v>
      </c>
      <c r="F35" s="6" t="n">
        <v>240</v>
      </c>
      <c r="G35" s="7" t="n">
        <f aca="false">INDEX('Event Log'!$B$2:$B$194,MATCH(F35,'Event Log'!$A$2:$A$194,0))</f>
        <v>45324</v>
      </c>
      <c r="H35" s="6" t="str">
        <f aca="false">INDEX('Event Log'!$C$2:$C$194,MATCH(F35,'Event Log'!$A$2:$A$194,0))</f>
        <v>US</v>
      </c>
      <c r="I35" s="6" t="str">
        <f aca="false">INDEX('Event Log'!$F$2:$F$194,MATCH(F35,'Event Log'!$A$2:$A$194,0))</f>
        <v>US strikes more than 85 targets in Iraq and Syria linked to the IRGC Quds Force and affiliated militias, in retaliation for Tower 22</v>
      </c>
      <c r="J35" s="6" t="n">
        <f aca="false">G35-C35</f>
        <v>5</v>
      </c>
      <c r="K35" s="6" t="s">
        <v>892</v>
      </c>
      <c r="L35" s="6" t="s">
        <v>896</v>
      </c>
      <c r="M35" s="6" t="s">
        <v>931</v>
      </c>
    </row>
    <row r="36" customFormat="false" ht="46.25" hidden="false" customHeight="false" outlineLevel="0" collapsed="false">
      <c r="A36" s="6" t="n">
        <v>36</v>
      </c>
      <c r="B36" s="6" t="n">
        <v>240</v>
      </c>
      <c r="C36" s="7" t="n">
        <f aca="false">INDEX('Event Log'!$B$2:$B$194,MATCH(B36,'Event Log'!$A$2:$A$194,0))</f>
        <v>45324</v>
      </c>
      <c r="D36" s="6" t="str">
        <f aca="false">INDEX('Event Log'!$C$2:$C$194,MATCH(B36,'Event Log'!$A$2:$A$194,0))</f>
        <v>US</v>
      </c>
      <c r="E36" s="6" t="str">
        <f aca="false">INDEX('Event Log'!$F$2:$F$194,MATCH(B36,'Event Log'!$A$2:$A$194,0))</f>
        <v>US strikes more than 85 targets in Iraq and Syria linked to the IRGC Quds Force and affiliated militias, in retaliation for Tower 22</v>
      </c>
      <c r="F36" s="6" t="n">
        <v>241</v>
      </c>
      <c r="G36" s="7" t="n">
        <f aca="false">INDEX('Event Log'!$B$2:$B$194,MATCH(F36,'Event Log'!$A$2:$A$194,0))</f>
        <v>45326</v>
      </c>
      <c r="H36" s="6" t="str">
        <f aca="false">INDEX('Event Log'!$C$2:$C$194,MATCH(F36,'Event Log'!$A$2:$A$194,0))</f>
        <v>Islamic Resistance in Iraq (Iran-backed)</v>
      </c>
      <c r="I36" s="6" t="str">
        <f aca="false">INDEX('Event Log'!$F$2:$F$194,MATCH(F36,'Event Log'!$A$2:$A$194,0))</f>
        <v>Drone attack on al-Omar base, which houses US troops, kills six US-allied Kurdish fighters</v>
      </c>
      <c r="J36" s="6" t="n">
        <f aca="false">G36-C36</f>
        <v>2</v>
      </c>
      <c r="K36" s="6" t="s">
        <v>895</v>
      </c>
      <c r="L36" s="6" t="s">
        <v>893</v>
      </c>
      <c r="M36" s="6" t="s">
        <v>932</v>
      </c>
    </row>
    <row r="37" customFormat="false" ht="35.05" hidden="false" customHeight="false" outlineLevel="0" collapsed="false">
      <c r="A37" s="6" t="n">
        <v>37</v>
      </c>
      <c r="B37" s="6" t="n">
        <v>255</v>
      </c>
      <c r="C37" s="7" t="n">
        <f aca="false">INDEX('Event Log'!$B$2:$B$194,MATCH(B37,'Event Log'!$A$2:$A$194,0))</f>
        <v>45830</v>
      </c>
      <c r="D37" s="6" t="str">
        <f aca="false">INDEX('Event Log'!$C$2:$C$194,MATCH(B37,'Event Log'!$A$2:$A$194,0))</f>
        <v>US</v>
      </c>
      <c r="E37" s="6" t="str">
        <f aca="false">INDEX('Event Log'!$F$2:$F$194,MATCH(B37,'Event Log'!$A$2:$A$194,0))</f>
        <v>Operation Midnight Hammer: US bombers and missiles strike Iran's Fordow, Natanz and Isfahan nuclear sites</v>
      </c>
      <c r="F37" s="6" t="n">
        <v>256</v>
      </c>
      <c r="G37" s="7" t="n">
        <f aca="false">INDEX('Event Log'!$B$2:$B$194,MATCH(F37,'Event Log'!$A$2:$A$194,0))</f>
        <v>45831</v>
      </c>
      <c r="H37" s="6" t="str">
        <f aca="false">INDEX('Event Log'!$C$2:$C$194,MATCH(F37,'Event Log'!$A$2:$A$194,0))</f>
        <v>Iran</v>
      </c>
      <c r="I37" s="6" t="str">
        <f aca="false">INDEX('Event Log'!$F$2:$F$194,MATCH(F37,'Event Log'!$A$2:$A$194,0))</f>
        <v>Iran fires 19 missiles at Al Udeid air base; one hits; Trump thanks Iran for 'early notice'</v>
      </c>
      <c r="J37" s="6" t="n">
        <f aca="false">G37-C37</f>
        <v>1</v>
      </c>
      <c r="K37" s="6" t="s">
        <v>895</v>
      </c>
      <c r="L37" s="6" t="s">
        <v>896</v>
      </c>
      <c r="M37" s="6" t="s">
        <v>933</v>
      </c>
    </row>
    <row r="39" customFormat="false" ht="15" hidden="false" customHeight="false" outlineLevel="0" collapsed="false">
      <c r="A39" s="14" t="s">
        <v>934</v>
      </c>
      <c r="B39" s="14" t="n">
        <f aca="false">AVERAGE(J2:J37)</f>
        <v>1.41666666666667</v>
      </c>
    </row>
    <row r="40" customFormat="false" ht="15" hidden="false" customHeight="false" outlineLevel="0" collapsed="false">
      <c r="A40" s="14" t="s">
        <v>935</v>
      </c>
      <c r="B40" s="14" t="n">
        <f aca="false">MEDIAN(J2:J37)</f>
        <v>1</v>
      </c>
    </row>
    <row r="41" customFormat="false" ht="15" hidden="false" customHeight="false" outlineLevel="0" collapsed="false">
      <c r="A41" s="14" t="s">
        <v>936</v>
      </c>
      <c r="B41" s="14" t="n">
        <f aca="false">COUNT(J2:J37)</f>
        <v>36</v>
      </c>
    </row>
    <row r="42" customFormat="false" ht="15" hidden="false" customHeight="false" outlineLevel="0" collapsed="false">
      <c r="A42" s="14" t="s">
        <v>937</v>
      </c>
      <c r="B42" s="15" t="n">
        <f aca="false">COUNTIF(J2:J37,"&lt;=1")/COUNT(J2:J37)</f>
        <v>0.666666666666667</v>
      </c>
    </row>
    <row r="44" customFormat="false" ht="15" hidden="false" customHeight="false" outlineLevel="0" collapsed="false">
      <c r="A44" s="14" t="s">
        <v>938</v>
      </c>
    </row>
    <row r="45" customFormat="false" ht="15" hidden="false" customHeight="false" outlineLevel="0" collapsed="false">
      <c r="A45" s="16" t="s">
        <v>939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4" min="3" style="0" width="16"/>
    <col collapsed="false" customWidth="true" hidden="false" outlineLevel="0" max="6" min="5" style="0" width="12"/>
    <col collapsed="false" customWidth="true" hidden="false" outlineLevel="0" max="7" min="7" style="0" width="16"/>
    <col collapsed="false" customWidth="true" hidden="false" outlineLevel="0" max="8" min="8" style="0" width="22"/>
  </cols>
  <sheetData>
    <row r="1" customFormat="false" ht="16.15" hidden="false" customHeight="true" outlineLevel="0" collapsed="false">
      <c r="A1" s="17" t="s">
        <v>940</v>
      </c>
      <c r="B1" s="17"/>
      <c r="C1" s="17"/>
      <c r="D1" s="17"/>
      <c r="E1" s="17"/>
      <c r="F1" s="17"/>
      <c r="G1" s="17"/>
      <c r="H1" s="17"/>
    </row>
    <row r="2" customFormat="false" ht="23.85" hidden="false" customHeight="true" outlineLevel="0" collapsed="false">
      <c r="A2" s="18" t="s">
        <v>941</v>
      </c>
      <c r="B2" s="18"/>
      <c r="C2" s="18"/>
      <c r="D2" s="18"/>
      <c r="E2" s="18"/>
      <c r="F2" s="18"/>
      <c r="G2" s="18"/>
      <c r="H2" s="18"/>
    </row>
    <row r="3" customFormat="false" ht="15" hidden="false" customHeight="false" outlineLevel="0" collapsed="false">
      <c r="A3" s="19"/>
    </row>
    <row r="5" customFormat="false" ht="23.85" hidden="false" customHeight="false" outlineLevel="0" collapsed="false">
      <c r="A5" s="20" t="s">
        <v>889</v>
      </c>
      <c r="B5" s="20" t="s">
        <v>942</v>
      </c>
      <c r="C5" s="20" t="s">
        <v>943</v>
      </c>
      <c r="D5" s="20" t="s">
        <v>944</v>
      </c>
      <c r="E5" s="20" t="s">
        <v>945</v>
      </c>
      <c r="F5" s="20" t="s">
        <v>946</v>
      </c>
      <c r="G5" s="20" t="s">
        <v>947</v>
      </c>
      <c r="H5" s="20" t="s">
        <v>948</v>
      </c>
    </row>
    <row r="6" customFormat="false" ht="15" hidden="false" customHeight="false" outlineLevel="0" collapsed="false">
      <c r="A6" s="21" t="s">
        <v>892</v>
      </c>
      <c r="B6" s="21" t="n">
        <f aca="false">COUNTIF('Action-Reaction Pairs'!$K$2:$K$37,A6)</f>
        <v>11</v>
      </c>
      <c r="C6" s="22" t="n">
        <f aca="false">AVERAGEIF('Action-Reaction Pairs'!$K$2:$K$37,A6,'Action-Reaction Pairs'!$J$2:$J$37)</f>
        <v>1.54545454545455</v>
      </c>
      <c r="D6" s="23" t="n">
        <f aca="false">SUMPRODUCT(('Action-Reaction Pairs'!$K$2:$K$37=A6)*('Action-Reaction Pairs'!$J$2:$J$37&lt;=1))/COUNTIF('Action-Reaction Pairs'!$K$2:$K$37,A6)</f>
        <v>0.636363636363636</v>
      </c>
      <c r="E6" s="23" t="n">
        <f aca="false">MAX(0,((D6+(1.96^2)/(2*B6)))/(1+(1.96^2)/B6)-(1.96*SQRT((D6*(1-D6)/B6)+((1.96^2)/(4*B6^2))))/(1+(1.96^2)/B6))</f>
        <v>0.353796776891637</v>
      </c>
      <c r="F6" s="23" t="n">
        <f aca="false">MIN(1,((D6+(1.96^2)/(2*B6)))/(1+(1.96^2)/B6)+(1.96*SQRT((D6*(1-D6)/B6)+((1.96^2)/(4*B6^2))))/(1+(1.96^2)/B6))</f>
        <v>0.848337763858686</v>
      </c>
      <c r="G6" s="23" t="n">
        <f aca="false">SUMPRODUCT(('Action-Reaction Pairs'!$K$2:$K$37=A6)*('Action-Reaction Pairs'!$J$2:$J$37&lt;=2))/COUNTIF('Action-Reaction Pairs'!$K$2:$K$37,A6)</f>
        <v>0.818181818181818</v>
      </c>
      <c r="H6" s="23" t="n">
        <f aca="false">COUNTIFS('Action-Reaction Pairs'!$K$2:$K$37,A6,'Action-Reaction Pairs'!$L$2:$L$37,"Y")/COUNTIF('Action-Reaction Pairs'!$K$2:$K$37,A6)</f>
        <v>0.363636363636364</v>
      </c>
    </row>
    <row r="7" customFormat="false" ht="15" hidden="false" customHeight="false" outlineLevel="0" collapsed="false">
      <c r="A7" s="21" t="s">
        <v>895</v>
      </c>
      <c r="B7" s="21" t="n">
        <f aca="false">COUNTIF('Action-Reaction Pairs'!$K$2:$K$37,A7)</f>
        <v>15</v>
      </c>
      <c r="C7" s="22" t="n">
        <f aca="false">AVERAGEIF('Action-Reaction Pairs'!$K$2:$K$37,A7,'Action-Reaction Pairs'!$J$2:$J$37)</f>
        <v>1</v>
      </c>
      <c r="D7" s="23" t="n">
        <f aca="false">SUMPRODUCT(('Action-Reaction Pairs'!$K$2:$K$37=A7)*('Action-Reaction Pairs'!$J$2:$J$37&lt;=1))/COUNTIF('Action-Reaction Pairs'!$K$2:$K$37,A7)</f>
        <v>0.8</v>
      </c>
      <c r="E7" s="23" t="n">
        <f aca="false">MAX(0,((D7+(1.96^2)/(2*B7)))/(1+(1.96^2)/B7)-(1.96*SQRT((D7*(1-D7)/B7)+((1.96^2)/(4*B7^2))))/(1+(1.96^2)/B7))</f>
        <v>0.548140646653496</v>
      </c>
      <c r="F7" s="23" t="n">
        <f aca="false">MIN(1,((D7+(1.96^2)/(2*B7)))/(1+(1.96^2)/B7)+(1.96*SQRT((D7*(1-D7)/B7)+((1.96^2)/(4*B7^2))))/(1+(1.96^2)/B7))</f>
        <v>0.929525793563896</v>
      </c>
      <c r="G7" s="23" t="n">
        <f aca="false">SUMPRODUCT(('Action-Reaction Pairs'!$K$2:$K$37=A7)*('Action-Reaction Pairs'!$J$2:$J$37&lt;=2))/COUNTIF('Action-Reaction Pairs'!$K$2:$K$37,A7)</f>
        <v>0.933333333333333</v>
      </c>
      <c r="H7" s="23" t="n">
        <f aca="false">COUNTIFS('Action-Reaction Pairs'!$K$2:$K$37,A7,'Action-Reaction Pairs'!$L$2:$L$37,"Y")/COUNTIF('Action-Reaction Pairs'!$K$2:$K$37,A7)</f>
        <v>0.4</v>
      </c>
    </row>
    <row r="8" customFormat="false" ht="15" hidden="false" customHeight="false" outlineLevel="0" collapsed="false">
      <c r="A8" s="21" t="s">
        <v>903</v>
      </c>
      <c r="B8" s="21" t="n">
        <f aca="false">COUNTIF('Action-Reaction Pairs'!$K$2:$K$37,A8)</f>
        <v>5</v>
      </c>
      <c r="C8" s="22" t="n">
        <f aca="false">AVERAGEIF('Action-Reaction Pairs'!$K$2:$K$37,A8,'Action-Reaction Pairs'!$J$2:$J$37)</f>
        <v>2</v>
      </c>
      <c r="D8" s="23" t="n">
        <f aca="false">SUMPRODUCT(('Action-Reaction Pairs'!$K$2:$K$37=A8)*('Action-Reaction Pairs'!$J$2:$J$37&lt;=1))/COUNTIF('Action-Reaction Pairs'!$K$2:$K$37,A8)</f>
        <v>0.6</v>
      </c>
      <c r="E8" s="23" t="n">
        <f aca="false">MAX(0,((D8+(1.96^2)/(2*B8)))/(1+(1.96^2)/B8)-(1.96*SQRT((D8*(1-D8)/B8)+((1.96^2)/(4*B8^2))))/(1+(1.96^2)/B8))</f>
        <v>0.230719932208837</v>
      </c>
      <c r="F8" s="23" t="n">
        <f aca="false">MIN(1,((D8+(1.96^2)/(2*B8)))/(1+(1.96^2)/B8)+(1.96*SQRT((D8*(1-D8)/B8)+((1.96^2)/(4*B8^2))))/(1+(1.96^2)/B8))</f>
        <v>0.882381768840747</v>
      </c>
      <c r="G8" s="23" t="n">
        <f aca="false">SUMPRODUCT(('Action-Reaction Pairs'!$K$2:$K$37=A8)*('Action-Reaction Pairs'!$J$2:$J$37&lt;=2))/COUNTIF('Action-Reaction Pairs'!$K$2:$K$37,A8)</f>
        <v>0.6</v>
      </c>
      <c r="H8" s="23" t="n">
        <f aca="false">COUNTIFS('Action-Reaction Pairs'!$K$2:$K$37,A8,'Action-Reaction Pairs'!$L$2:$L$37,"Y")/COUNTIF('Action-Reaction Pairs'!$K$2:$K$37,A8)</f>
        <v>0</v>
      </c>
    </row>
    <row r="9" customFormat="false" ht="15" hidden="false" customHeight="false" outlineLevel="0" collapsed="false">
      <c r="A9" s="21" t="s">
        <v>900</v>
      </c>
      <c r="B9" s="21" t="n">
        <f aca="false">COUNTIF('Action-Reaction Pairs'!$K$2:$K$37,A9)</f>
        <v>5</v>
      </c>
      <c r="C9" s="22" t="n">
        <f aca="false">AVERAGEIF('Action-Reaction Pairs'!$K$2:$K$37,A9,'Action-Reaction Pairs'!$J$2:$J$37)</f>
        <v>1.8</v>
      </c>
      <c r="D9" s="23" t="n">
        <f aca="false">SUMPRODUCT(('Action-Reaction Pairs'!$K$2:$K$37=A9)*('Action-Reaction Pairs'!$J$2:$J$37&lt;=1))/COUNTIF('Action-Reaction Pairs'!$K$2:$K$37,A9)</f>
        <v>0.4</v>
      </c>
      <c r="E9" s="23" t="n">
        <f aca="false">MAX(0,((D9+(1.96^2)/(2*B9)))/(1+(1.96^2)/B9)-(1.96*SQRT((D9*(1-D9)/B9)+((1.96^2)/(4*B9^2))))/(1+(1.96^2)/B9))</f>
        <v>0.117618231159253</v>
      </c>
      <c r="F9" s="23" t="n">
        <f aca="false">MIN(1,((D9+(1.96^2)/(2*B9)))/(1+(1.96^2)/B9)+(1.96*SQRT((D9*(1-D9)/B9)+((1.96^2)/(4*B9^2))))/(1+(1.96^2)/B9))</f>
        <v>0.769280067791163</v>
      </c>
      <c r="G9" s="23" t="n">
        <f aca="false">SUMPRODUCT(('Action-Reaction Pairs'!$K$2:$K$37=A9)*('Action-Reaction Pairs'!$J$2:$J$37&lt;=2))/COUNTIF('Action-Reaction Pairs'!$K$2:$K$37,A9)</f>
        <v>0.6</v>
      </c>
      <c r="H9" s="23" t="n">
        <f aca="false">COUNTIFS('Action-Reaction Pairs'!$K$2:$K$37,A9,'Action-Reaction Pairs'!$L$2:$L$37,"Y")/COUNTIF('Action-Reaction Pairs'!$K$2:$K$37,A9)</f>
        <v>0</v>
      </c>
    </row>
    <row r="11" customFormat="false" ht="23.85" hidden="false" customHeight="true" outlineLevel="0" collapsed="false">
      <c r="A11" s="18" t="s">
        <v>949</v>
      </c>
      <c r="B11" s="18"/>
      <c r="C11" s="18"/>
      <c r="D11" s="18"/>
      <c r="E11" s="18"/>
      <c r="F11" s="18"/>
      <c r="G11" s="18"/>
      <c r="H11" s="18"/>
    </row>
    <row r="12" customFormat="false" ht="15" hidden="false" customHeight="false" outlineLevel="0" collapsed="false">
      <c r="A12" s="18"/>
      <c r="B12" s="18"/>
      <c r="C12" s="18"/>
      <c r="D12" s="18"/>
      <c r="E12" s="18"/>
      <c r="F12" s="18"/>
      <c r="G12" s="18"/>
      <c r="H12" s="18"/>
    </row>
    <row r="13" customFormat="false" ht="57.45" hidden="false" customHeight="true" outlineLevel="0" collapsed="false">
      <c r="A13" s="18" t="s">
        <v>950</v>
      </c>
      <c r="B13" s="18"/>
      <c r="C13" s="18"/>
      <c r="D13" s="18"/>
      <c r="E13" s="18"/>
      <c r="F13" s="18"/>
      <c r="G13" s="18"/>
      <c r="H13" s="18"/>
    </row>
    <row r="14" customFormat="false" ht="15" hidden="false" customHeight="false" outlineLevel="0" collapsed="false">
      <c r="A14" s="18"/>
      <c r="B14" s="18"/>
      <c r="C14" s="18"/>
      <c r="D14" s="18"/>
      <c r="E14" s="18"/>
      <c r="F14" s="18"/>
      <c r="G14" s="18"/>
      <c r="H14" s="18"/>
    </row>
    <row r="15" customFormat="false" ht="35.05" hidden="false" customHeight="true" outlineLevel="0" collapsed="false">
      <c r="A15" s="18" t="s">
        <v>951</v>
      </c>
      <c r="B15" s="18"/>
      <c r="C15" s="18"/>
      <c r="D15" s="18"/>
      <c r="E15" s="18"/>
      <c r="F15" s="18"/>
      <c r="G15" s="18"/>
      <c r="H15" s="18"/>
    </row>
    <row r="16" customFormat="false" ht="15" hidden="false" customHeight="false" outlineLevel="0" collapsed="false">
      <c r="A16" s="18"/>
      <c r="B16" s="18"/>
      <c r="C16" s="18"/>
      <c r="D16" s="18"/>
      <c r="E16" s="18"/>
      <c r="F16" s="18"/>
      <c r="G16" s="18"/>
      <c r="H16" s="18"/>
    </row>
    <row r="17" customFormat="false" ht="15" hidden="false" customHeight="true" outlineLevel="0" collapsed="false">
      <c r="A17" s="18" t="s">
        <v>952</v>
      </c>
      <c r="B17" s="18"/>
      <c r="C17" s="18"/>
      <c r="D17" s="18"/>
      <c r="E17" s="18"/>
      <c r="F17" s="18"/>
      <c r="G17" s="18"/>
      <c r="H17" s="18"/>
    </row>
    <row r="18" customFormat="false" ht="15" hidden="false" customHeight="false" outlineLevel="0" collapsed="false">
      <c r="A18" s="18"/>
      <c r="B18" s="18"/>
      <c r="C18" s="18"/>
      <c r="D18" s="18"/>
      <c r="E18" s="18"/>
      <c r="F18" s="18"/>
      <c r="G18" s="18"/>
      <c r="H18" s="18"/>
    </row>
    <row r="19" customFormat="false" ht="23.85" hidden="false" customHeight="true" outlineLevel="0" collapsed="false">
      <c r="A19" s="18" t="s">
        <v>953</v>
      </c>
      <c r="B19" s="18"/>
      <c r="C19" s="18"/>
      <c r="D19" s="18"/>
      <c r="E19" s="18"/>
      <c r="F19" s="18"/>
      <c r="G19" s="18"/>
      <c r="H19" s="18"/>
    </row>
  </sheetData>
  <mergeCells count="11">
    <mergeCell ref="A1:H1"/>
    <mergeCell ref="A2:H2"/>
    <mergeCell ref="A11:H11"/>
    <mergeCell ref="A12:H12"/>
    <mergeCell ref="A13:H13"/>
    <mergeCell ref="A14:H14"/>
    <mergeCell ref="A15:H15"/>
    <mergeCell ref="A16:H16"/>
    <mergeCell ref="A17: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16"/>
    <col collapsed="false" customWidth="true" hidden="false" outlineLevel="0" max="4" min="4" style="0" width="22"/>
    <col collapsed="false" customWidth="true" hidden="false" outlineLevel="0" max="5" min="5" style="0" width="50"/>
    <col collapsed="false" customWidth="true" hidden="false" outlineLevel="0" max="6" min="6" style="0" width="20"/>
    <col collapsed="false" customWidth="true" hidden="false" outlineLevel="0" max="7" min="7" style="0" width="12"/>
    <col collapsed="false" customWidth="true" hidden="false" outlineLevel="0" max="8" min="8" style="0" width="70"/>
    <col collapsed="false" customWidth="true" hidden="false" outlineLevel="0" max="9" min="9" style="0" width="40"/>
    <col collapsed="false" customWidth="true" hidden="false" outlineLevel="0" max="11" min="10" style="0" width="12"/>
  </cols>
  <sheetData>
    <row r="1" customFormat="false" ht="16.15" hidden="false" customHeight="true" outlineLevel="0" collapsed="false">
      <c r="A1" s="17" t="s">
        <v>954</v>
      </c>
      <c r="B1" s="17"/>
      <c r="C1" s="17"/>
      <c r="D1" s="17"/>
      <c r="E1" s="17"/>
      <c r="F1" s="17"/>
      <c r="G1" s="17"/>
      <c r="H1" s="17"/>
      <c r="I1" s="17"/>
      <c r="J1" s="17"/>
      <c r="K1" s="17"/>
    </row>
    <row r="2" customFormat="false" ht="15" hidden="false" customHeight="true" outlineLevel="0" collapsed="false">
      <c r="A2" s="18" t="s">
        <v>955</v>
      </c>
      <c r="B2" s="18"/>
      <c r="C2" s="18"/>
      <c r="D2" s="18"/>
      <c r="E2" s="18"/>
      <c r="F2" s="18"/>
      <c r="G2" s="18"/>
      <c r="H2" s="18"/>
      <c r="I2" s="18"/>
      <c r="J2" s="18"/>
      <c r="K2" s="18"/>
    </row>
    <row r="3" customFormat="false" ht="15" hidden="false" customHeight="false" outlineLevel="0" collapsed="false">
      <c r="A3" s="19"/>
    </row>
    <row r="5" customFormat="false" ht="23.85" hidden="false" customHeight="false" outlineLevel="0" collapsed="false">
      <c r="A5" s="20" t="s">
        <v>889</v>
      </c>
      <c r="B5" s="20" t="s">
        <v>956</v>
      </c>
      <c r="C5" s="20" t="s">
        <v>957</v>
      </c>
      <c r="D5" s="20" t="s">
        <v>958</v>
      </c>
      <c r="E5" s="20" t="s">
        <v>959</v>
      </c>
      <c r="F5" s="20" t="s">
        <v>960</v>
      </c>
      <c r="G5" s="20" t="s">
        <v>961</v>
      </c>
      <c r="H5" s="20" t="s">
        <v>962</v>
      </c>
      <c r="I5" s="20" t="s">
        <v>963</v>
      </c>
      <c r="J5" s="20" t="s">
        <v>964</v>
      </c>
      <c r="K5" s="20" t="s">
        <v>965</v>
      </c>
    </row>
    <row r="6" customFormat="false" ht="15" hidden="false" customHeight="false" outlineLevel="0" collapsed="false">
      <c r="A6" s="21" t="s">
        <v>892</v>
      </c>
      <c r="B6" s="21" t="n">
        <f aca="false">C6+D6</f>
        <v>7</v>
      </c>
      <c r="C6" s="21" t="n">
        <f aca="false">COUNTIFS($F$24:$F$79,A6,$G$24:$G$79,"R-strong")+COUNTIFS($F$24:$F$79,A6,$G$24:$G$79,"R-weak")+COUNTIFS($F$24:$F$79,A6,$G$24:$G$79,"R-proxy")</f>
        <v>6</v>
      </c>
      <c r="D6" s="21" t="n">
        <f aca="false">COUNTIFS($F$24:$F$79,A6,$G$24:$G$79,"N")</f>
        <v>1</v>
      </c>
      <c r="E6" s="21" t="n">
        <f aca="false">COUNTIFS($F$24:$F$79,A6,$G$24:$G$79,"Unclear")</f>
        <v>0</v>
      </c>
      <c r="F6" s="21" t="n">
        <f aca="false">COUNTIFS($F$24:$F$79,A6,$G$24:$G$79,"Unverified")</f>
        <v>0</v>
      </c>
      <c r="G6" s="23" t="n">
        <f aca="false">COUNTIFS($F$24:$F$79,A6,$G$24:$G$79,"R-strong")/(B6+E6)</f>
        <v>0.714285714285714</v>
      </c>
      <c r="H6" s="23" t="n">
        <f aca="false">C6/B6</f>
        <v>0.857142857142857</v>
      </c>
      <c r="I6" s="23" t="n">
        <f aca="false">(C6+E6)/(B6+E6)</f>
        <v>0.857142857142857</v>
      </c>
      <c r="J6" s="23" t="n">
        <f aca="false">MAX(0,((H6+(1.96^2)/(2*B6)))/(1+(1.96^2)/B6)-(1.96*SQRT((H6*(1-H6)/B6)+((1.96^2)/(4*B6^2))))/(1+(1.96^2)/B6))</f>
        <v>0.48686549668097</v>
      </c>
      <c r="K6" s="23" t="n">
        <f aca="false">MIN(1,((H6+(1.96^2)/(2*B6)))/(1+(1.96^2)/B6)+(1.96*SQRT((H6*(1-H6)/B6)+((1.96^2)/(4*B6^2))))/(1+(1.96^2)/B6))</f>
        <v>0.974321044051025</v>
      </c>
    </row>
    <row r="7" customFormat="false" ht="15" hidden="false" customHeight="false" outlineLevel="0" collapsed="false">
      <c r="A7" s="21" t="s">
        <v>895</v>
      </c>
      <c r="B7" s="21" t="n">
        <f aca="false">C7+D7</f>
        <v>19</v>
      </c>
      <c r="C7" s="21" t="n">
        <f aca="false">COUNTIFS($F$24:$F$79,A7,$G$24:$G$79,"R-strong")+COUNTIFS($F$24:$F$79,A7,$G$24:$G$79,"R-weak")+COUNTIFS($F$24:$F$79,A7,$G$24:$G$79,"R-proxy")</f>
        <v>17</v>
      </c>
      <c r="D7" s="21" t="n">
        <f aca="false">COUNTIFS($F$24:$F$79,A7,$G$24:$G$79,"N")</f>
        <v>2</v>
      </c>
      <c r="E7" s="21" t="n">
        <f aca="false">COUNTIFS($F$24:$F$79,A7,$G$24:$G$79,"Unclear")</f>
        <v>2</v>
      </c>
      <c r="F7" s="21" t="n">
        <f aca="false">COUNTIFS($F$24:$F$79,A7,$G$24:$G$79,"Unverified")</f>
        <v>1</v>
      </c>
      <c r="G7" s="23" t="n">
        <f aca="false">COUNTIFS($F$24:$F$79,A7,$G$24:$G$79,"R-strong")/(B7+E7)</f>
        <v>0.428571428571429</v>
      </c>
      <c r="H7" s="23" t="n">
        <f aca="false">C7/B7</f>
        <v>0.894736842105263</v>
      </c>
      <c r="I7" s="23" t="n">
        <f aca="false">(C7+E7)/(B7+E7)</f>
        <v>0.904761904761905</v>
      </c>
      <c r="J7" s="23" t="n">
        <f aca="false">MAX(0,((H7+(1.96^2)/(2*B7)))/(1+(1.96^2)/B7)-(1.96*SQRT((H7*(1-H7)/B7)+((1.96^2)/(4*B7^2))))/(1+(1.96^2)/B7))</f>
        <v>0.686054495051583</v>
      </c>
      <c r="K7" s="23" t="n">
        <f aca="false">MIN(1,((H7+(1.96^2)/(2*B7)))/(1+(1.96^2)/B7)+(1.96*SQRT((H7*(1-H7)/B7)+((1.96^2)/(4*B7^2))))/(1+(1.96^2)/B7))</f>
        <v>0.970642058604903</v>
      </c>
    </row>
    <row r="8" customFormat="false" ht="15" hidden="false" customHeight="false" outlineLevel="0" collapsed="false">
      <c r="A8" s="21" t="s">
        <v>903</v>
      </c>
      <c r="B8" s="21" t="n">
        <f aca="false">C8+D8</f>
        <v>22</v>
      </c>
      <c r="C8" s="21" t="n">
        <f aca="false">COUNTIFS($F$24:$F$79,A8,$G$24:$G$79,"R-strong")+COUNTIFS($F$24:$F$79,A8,$G$24:$G$79,"R-weak")+COUNTIFS($F$24:$F$79,A8,$G$24:$G$79,"R-proxy")</f>
        <v>8</v>
      </c>
      <c r="D8" s="21" t="n">
        <f aca="false">COUNTIFS($F$24:$F$79,A8,$G$24:$G$79,"N")</f>
        <v>14</v>
      </c>
      <c r="E8" s="21" t="n">
        <f aca="false">COUNTIFS($F$24:$F$79,A8,$G$24:$G$79,"Unclear")</f>
        <v>3</v>
      </c>
      <c r="F8" s="21" t="n">
        <f aca="false">COUNTIFS($F$24:$F$79,A8,$G$24:$G$79,"Unverified")</f>
        <v>2</v>
      </c>
      <c r="G8" s="23" t="n">
        <f aca="false">COUNTIFS($F$24:$F$79,A8,$G$24:$G$79,"R-strong")/(B8+E8)</f>
        <v>0.2</v>
      </c>
      <c r="H8" s="23" t="n">
        <f aca="false">C8/B8</f>
        <v>0.363636363636364</v>
      </c>
      <c r="I8" s="23" t="n">
        <f aca="false">(C8+E8)/(B8+E8)</f>
        <v>0.44</v>
      </c>
      <c r="J8" s="23" t="n">
        <f aca="false">MAX(0,((H8+(1.96^2)/(2*B8)))/(1+(1.96^2)/B8)-(1.96*SQRT((H8*(1-H8)/B8)+((1.96^2)/(4*B8^2))))/(1+(1.96^2)/B8))</f>
        <v>0.197329727726079</v>
      </c>
      <c r="K8" s="23" t="n">
        <f aca="false">MIN(1,((H8+(1.96^2)/(2*B8)))/(1+(1.96^2)/B8)+(1.96*SQRT((H8*(1-H8)/B8)+((1.96^2)/(4*B8^2))))/(1+(1.96^2)/B8))</f>
        <v>0.57048650656282</v>
      </c>
    </row>
    <row r="10" customFormat="false" ht="23.85" hidden="false" customHeight="true" outlineLevel="0" collapsed="false">
      <c r="A10" s="18" t="s">
        <v>966</v>
      </c>
      <c r="B10" s="18"/>
      <c r="C10" s="18"/>
      <c r="D10" s="18"/>
      <c r="E10" s="18"/>
      <c r="F10" s="18"/>
      <c r="G10" s="18"/>
      <c r="H10" s="18"/>
      <c r="I10" s="18"/>
      <c r="J10" s="18"/>
      <c r="K10" s="18"/>
    </row>
    <row r="11" customFormat="false" ht="15" hidden="false" customHeight="false" outlineLevel="0" collapsed="false">
      <c r="A11" s="18"/>
      <c r="B11" s="18"/>
      <c r="C11" s="18"/>
      <c r="D11" s="18"/>
      <c r="E11" s="18"/>
      <c r="F11" s="18"/>
      <c r="G11" s="18"/>
      <c r="H11" s="18"/>
      <c r="I11" s="18"/>
      <c r="J11" s="18"/>
      <c r="K11" s="18"/>
    </row>
    <row r="12" customFormat="false" ht="15" hidden="false" customHeight="true" outlineLevel="0" collapsed="false">
      <c r="A12" s="18" t="s">
        <v>967</v>
      </c>
      <c r="B12" s="18"/>
      <c r="C12" s="18"/>
      <c r="D12" s="18"/>
      <c r="E12" s="18"/>
      <c r="F12" s="18"/>
      <c r="G12" s="18"/>
      <c r="H12" s="18"/>
      <c r="I12" s="18"/>
      <c r="J12" s="18"/>
      <c r="K12" s="18"/>
    </row>
    <row r="13" customFormat="false" ht="15" hidden="false" customHeight="false" outlineLevel="0" collapsed="false">
      <c r="A13" s="18"/>
      <c r="B13" s="18"/>
      <c r="C13" s="18"/>
      <c r="D13" s="18"/>
      <c r="E13" s="18"/>
      <c r="F13" s="18"/>
      <c r="G13" s="18"/>
      <c r="H13" s="18"/>
      <c r="I13" s="18"/>
      <c r="J13" s="18"/>
      <c r="K13" s="18"/>
    </row>
    <row r="14" customFormat="false" ht="15" hidden="false" customHeight="true" outlineLevel="0" collapsed="false">
      <c r="A14" s="18" t="s">
        <v>968</v>
      </c>
      <c r="B14" s="18"/>
      <c r="C14" s="18"/>
      <c r="D14" s="18"/>
      <c r="E14" s="18"/>
      <c r="F14" s="18"/>
      <c r="G14" s="18"/>
      <c r="H14" s="18"/>
      <c r="I14" s="18"/>
      <c r="J14" s="18"/>
      <c r="K14" s="18"/>
    </row>
    <row r="15" customFormat="false" ht="15" hidden="false" customHeight="false" outlineLevel="0" collapsed="false">
      <c r="A15" s="18"/>
      <c r="B15" s="18"/>
      <c r="C15" s="18"/>
      <c r="D15" s="18"/>
      <c r="E15" s="18"/>
      <c r="F15" s="18"/>
      <c r="G15" s="18"/>
      <c r="H15" s="18"/>
      <c r="I15" s="18"/>
      <c r="J15" s="18"/>
      <c r="K15" s="18"/>
    </row>
    <row r="16" customFormat="false" ht="15" hidden="false" customHeight="true" outlineLevel="0" collapsed="false">
      <c r="A16" s="18" t="s">
        <v>969</v>
      </c>
      <c r="B16" s="18"/>
      <c r="C16" s="18"/>
      <c r="D16" s="18"/>
      <c r="E16" s="18"/>
      <c r="F16" s="18"/>
      <c r="G16" s="18"/>
      <c r="H16" s="18"/>
      <c r="I16" s="18"/>
      <c r="J16" s="18"/>
      <c r="K16" s="18"/>
    </row>
    <row r="17" customFormat="false" ht="15" hidden="false" customHeight="false" outlineLevel="0" collapsed="false">
      <c r="A17" s="18"/>
      <c r="B17" s="18"/>
      <c r="C17" s="18"/>
      <c r="D17" s="18"/>
      <c r="E17" s="18"/>
      <c r="F17" s="18"/>
      <c r="G17" s="18"/>
      <c r="H17" s="18"/>
      <c r="I17" s="18"/>
      <c r="J17" s="18"/>
      <c r="K17" s="18"/>
    </row>
    <row r="18" customFormat="false" ht="15" hidden="false" customHeight="true" outlineLevel="0" collapsed="false">
      <c r="A18" s="18" t="s">
        <v>970</v>
      </c>
      <c r="B18" s="18"/>
      <c r="C18" s="18"/>
      <c r="D18" s="18"/>
      <c r="E18" s="18"/>
      <c r="F18" s="18"/>
      <c r="G18" s="18"/>
      <c r="H18" s="18"/>
      <c r="I18" s="18"/>
      <c r="J18" s="18"/>
      <c r="K18" s="18"/>
    </row>
    <row r="19" customFormat="false" ht="15" hidden="false" customHeight="false" outlineLevel="0" collapsed="false">
      <c r="A19" s="18"/>
      <c r="B19" s="18"/>
      <c r="C19" s="18"/>
      <c r="D19" s="18"/>
      <c r="E19" s="18"/>
      <c r="F19" s="18"/>
      <c r="G19" s="18"/>
      <c r="H19" s="18"/>
      <c r="I19" s="18"/>
      <c r="J19" s="18"/>
      <c r="K19" s="18"/>
    </row>
    <row r="20" customFormat="false" ht="15" hidden="false" customHeight="true" outlineLevel="0" collapsed="false">
      <c r="A20" s="18" t="s">
        <v>971</v>
      </c>
      <c r="B20" s="18"/>
      <c r="C20" s="18"/>
      <c r="D20" s="18"/>
      <c r="E20" s="18"/>
      <c r="F20" s="18"/>
      <c r="G20" s="18"/>
      <c r="H20" s="18"/>
      <c r="I20" s="18"/>
      <c r="J20" s="18"/>
      <c r="K20" s="18"/>
    </row>
    <row r="23" customFormat="false" ht="15" hidden="false" customHeight="false" outlineLevel="0" collapsed="false">
      <c r="A23" s="13" t="s">
        <v>37</v>
      </c>
      <c r="B23" s="13" t="s">
        <v>32</v>
      </c>
      <c r="C23" s="13" t="s">
        <v>33</v>
      </c>
      <c r="D23" s="13" t="s">
        <v>34</v>
      </c>
      <c r="E23" s="13" t="s">
        <v>972</v>
      </c>
      <c r="F23" s="13" t="s">
        <v>889</v>
      </c>
      <c r="G23" s="13" t="s">
        <v>973</v>
      </c>
      <c r="H23" s="13" t="s">
        <v>974</v>
      </c>
      <c r="I23" s="13" t="s">
        <v>975</v>
      </c>
    </row>
    <row r="24" customFormat="false" ht="35.05" hidden="false" customHeight="false" outlineLevel="0" collapsed="false">
      <c r="A24" s="6" t="n">
        <v>2</v>
      </c>
      <c r="B24" s="7" t="n">
        <f aca="false">INDEX('Event Log'!$B$2:$B$194,MATCH(A24,'Event Log'!$A$2:$A$194,0))</f>
        <v>46081</v>
      </c>
      <c r="C24" s="6" t="str">
        <f aca="false">INDEX('Event Log'!$C$2:$C$194,MATCH(A24,'Event Log'!$A$2:$A$194,0))</f>
        <v>US/Israel</v>
      </c>
      <c r="D24" s="6" t="str">
        <f aca="false">INDEX('Event Log'!$D$2:$D$194,MATCH(A24,'Event Log'!$A$2:$A$194,0))</f>
        <v>Strike (war start)</v>
      </c>
      <c r="E24" s="6" t="str">
        <f aca="false">INDEX('Event Log'!$F$2:$F$194,MATCH(A24,'Event Log'!$A$2:$A$194,0))</f>
        <v>Operation Epic Fury opens: Pentagon says 1,000+ targets hit in the first 24 hours; Khamenei and ~40 senior officials killed; a strike near Minab hits a girls' school</v>
      </c>
      <c r="F24" s="6" t="s">
        <v>892</v>
      </c>
      <c r="G24" s="8" t="s">
        <v>976</v>
      </c>
      <c r="H24" s="6" t="s">
        <v>977</v>
      </c>
      <c r="I24" s="6" t="s">
        <v>978</v>
      </c>
    </row>
    <row r="25" customFormat="false" ht="35.05" hidden="false" customHeight="false" outlineLevel="0" collapsed="false">
      <c r="A25" s="6" t="n">
        <v>31</v>
      </c>
      <c r="B25" s="7" t="n">
        <f aca="false">INDEX('Event Log'!$B$2:$B$194,MATCH(A25,'Event Log'!$A$2:$A$194,0))</f>
        <v>46120</v>
      </c>
      <c r="C25" s="6" t="str">
        <f aca="false">INDEX('Event Log'!$C$2:$C$194,MATCH(A25,'Event Log'!$A$2:$A$194,0))</f>
        <v>Iran</v>
      </c>
      <c r="D25" s="6" t="str">
        <f aca="false">INDEX('Event Log'!$D$2:$D$194,MATCH(A25,'Event Log'!$A$2:$A$194,0))</f>
        <v>Blockade re-escalation</v>
      </c>
      <c r="E25" s="6" t="str">
        <f aca="false">INDEX('Event Log'!$F$2:$F$194,MATCH(A25,'Event Log'!$A$2:$A$194,0))</f>
        <v>Iran restricts/resumes blockade, citing the Lebanon strikes as a ceasefire violation</v>
      </c>
      <c r="F25" s="6" t="s">
        <v>903</v>
      </c>
      <c r="G25" s="10" t="s">
        <v>979</v>
      </c>
      <c r="H25" s="6" t="s">
        <v>980</v>
      </c>
      <c r="I25" s="6" t="s">
        <v>981</v>
      </c>
    </row>
    <row r="26" customFormat="false" ht="35.05" hidden="false" customHeight="false" outlineLevel="0" collapsed="false">
      <c r="A26" s="6" t="n">
        <v>33</v>
      </c>
      <c r="B26" s="7" t="n">
        <f aca="false">INDEX('Event Log'!$B$2:$B$194,MATCH(A26,'Event Log'!$A$2:$A$194,0))</f>
        <v>46123</v>
      </c>
      <c r="C26" s="6" t="str">
        <f aca="false">INDEX('Event Log'!$C$2:$C$194,MATCH(A26,'Event Log'!$A$2:$A$194,0))</f>
        <v>US</v>
      </c>
      <c r="D26" s="6" t="str">
        <f aca="false">INDEX('Event Log'!$D$2:$D$194,MATCH(A26,'Event Log'!$A$2:$A$194,0))</f>
        <v>Blockade-adjacent action</v>
      </c>
      <c r="E26" s="6" t="str">
        <f aca="false">INDEX('Event Log'!$F$2:$F$194,MATCH(A26,'Event Log'!$A$2:$A$194,0))</f>
        <v>US Navy destroyers transit the Strait for the first time since the war began (mine-clearance framing)</v>
      </c>
      <c r="F26" s="6" t="s">
        <v>903</v>
      </c>
      <c r="G26" s="11" t="s">
        <v>896</v>
      </c>
      <c r="H26" s="6" t="s">
        <v>982</v>
      </c>
      <c r="I26" s="6" t="s">
        <v>983</v>
      </c>
    </row>
    <row r="27" customFormat="false" ht="15" hidden="false" customHeight="false" outlineLevel="0" collapsed="false">
      <c r="A27" s="6" t="n">
        <v>35</v>
      </c>
      <c r="B27" s="7" t="n">
        <f aca="false">INDEX('Event Log'!$B$2:$B$194,MATCH(A27,'Event Log'!$A$2:$A$194,0))</f>
        <v>46125</v>
      </c>
      <c r="C27" s="6" t="str">
        <f aca="false">INDEX('Event Log'!$C$2:$C$194,MATCH(A27,'Event Log'!$A$2:$A$194,0))</f>
        <v>US</v>
      </c>
      <c r="D27" s="6" t="str">
        <f aca="false">INDEX('Event Log'!$D$2:$D$194,MATCH(A27,'Event Log'!$A$2:$A$194,0))</f>
        <v>Blockade start</v>
      </c>
      <c r="E27" s="6" t="str">
        <f aca="false">INDEX('Event Log'!$F$2:$F$194,MATCH(A27,'Event Log'!$A$2:$A$194,0))</f>
        <v>US naval blockade of Iran begins</v>
      </c>
      <c r="F27" s="6" t="s">
        <v>903</v>
      </c>
      <c r="G27" s="8" t="s">
        <v>976</v>
      </c>
      <c r="H27" s="6" t="s">
        <v>984</v>
      </c>
      <c r="I27" s="6" t="s">
        <v>985</v>
      </c>
    </row>
    <row r="28" customFormat="false" ht="35.05" hidden="false" customHeight="false" outlineLevel="0" collapsed="false">
      <c r="A28" s="6" t="n">
        <v>36</v>
      </c>
      <c r="B28" s="7" t="n">
        <f aca="false">INDEX('Event Log'!$B$2:$B$194,MATCH(A28,'Event Log'!$A$2:$A$194,0))</f>
        <v>46130</v>
      </c>
      <c r="C28" s="6" t="str">
        <f aca="false">INDEX('Event Log'!$C$2:$C$194,MATCH(A28,'Event Log'!$A$2:$A$194,0))</f>
        <v>Iran</v>
      </c>
      <c r="D28" s="6" t="str">
        <f aca="false">INDEX('Event Log'!$D$2:$D$194,MATCH(A28,'Event Log'!$A$2:$A$194,0))</f>
        <v>Blockade re-escalation</v>
      </c>
      <c r="E28" s="6" t="str">
        <f aca="false">INDEX('Event Log'!$F$2:$F$194,MATCH(A28,'Event Log'!$A$2:$A$194,0))</f>
        <v>Iran announces the Strait closed again, citing continuation of the US blockade</v>
      </c>
      <c r="F28" s="6" t="s">
        <v>903</v>
      </c>
      <c r="G28" s="10" t="s">
        <v>979</v>
      </c>
      <c r="H28" s="6" t="s">
        <v>986</v>
      </c>
      <c r="I28" s="6" t="s">
        <v>987</v>
      </c>
    </row>
    <row r="29" customFormat="false" ht="46.25" hidden="false" customHeight="false" outlineLevel="0" collapsed="false">
      <c r="A29" s="6" t="n">
        <v>37</v>
      </c>
      <c r="B29" s="7" t="n">
        <f aca="false">INDEX('Event Log'!$B$2:$B$194,MATCH(A29,'Event Log'!$A$2:$A$194,0))</f>
        <v>46131</v>
      </c>
      <c r="C29" s="6" t="str">
        <f aca="false">INDEX('Event Log'!$C$2:$C$194,MATCH(A29,'Event Log'!$A$2:$A$194,0))</f>
        <v>US</v>
      </c>
      <c r="D29" s="6" t="str">
        <f aca="false">INDEX('Event Log'!$D$2:$D$194,MATCH(A29,'Event Log'!$A$2:$A$194,0))</f>
        <v>Seizure</v>
      </c>
      <c r="E29" s="6" t="str">
        <f aca="false">INDEX('Event Log'!$F$2:$F$194,MATCH(A29,'Event Log'!$A$2:$A$194,0))</f>
        <v>US disables the Iranian container ship Touska with gunfire from USS Spruance (Apr 19, USNI); tankers Tifani and Majestic X interdicted in the Indian Ocean around Apr 22-24 (dates not confirmed by an allowed outlet)</v>
      </c>
      <c r="F29" s="6" t="s">
        <v>903</v>
      </c>
      <c r="G29" s="8" t="s">
        <v>976</v>
      </c>
      <c r="H29" s="6" t="s">
        <v>988</v>
      </c>
      <c r="I29" s="6" t="s">
        <v>989</v>
      </c>
    </row>
    <row r="30" customFormat="false" ht="23.85" hidden="false" customHeight="false" outlineLevel="0" collapsed="false">
      <c r="A30" s="6" t="n">
        <v>38</v>
      </c>
      <c r="B30" s="7" t="n">
        <f aca="false">INDEX('Event Log'!$B$2:$B$194,MATCH(A30,'Event Log'!$A$2:$A$194,0))</f>
        <v>46134</v>
      </c>
      <c r="C30" s="6" t="str">
        <f aca="false">INDEX('Event Log'!$C$2:$C$194,MATCH(A30,'Event Log'!$A$2:$A$194,0))</f>
        <v>Iran</v>
      </c>
      <c r="D30" s="6" t="str">
        <f aca="false">INDEX('Event Log'!$D$2:$D$194,MATCH(A30,'Event Log'!$A$2:$A$194,0))</f>
        <v>Seizure (retaliation)</v>
      </c>
      <c r="E30" s="6" t="str">
        <f aca="false">INDEX('Event Log'!$F$2:$F$194,MATCH(A30,'Event Log'!$A$2:$A$194,0))</f>
        <v>IRGC seizes container ships MSC Epaminondas and MSC Francesca</v>
      </c>
      <c r="F30" s="6" t="s">
        <v>903</v>
      </c>
      <c r="G30" s="12" t="s">
        <v>990</v>
      </c>
      <c r="H30" s="6" t="s">
        <v>991</v>
      </c>
      <c r="I30" s="6" t="s">
        <v>992</v>
      </c>
    </row>
    <row r="31" customFormat="false" ht="46.25" hidden="false" customHeight="false" outlineLevel="0" collapsed="false">
      <c r="A31" s="6" t="n">
        <v>40</v>
      </c>
      <c r="B31" s="7" t="n">
        <f aca="false">INDEX('Event Log'!$B$2:$B$194,MATCH(A31,'Event Log'!$A$2:$A$194,0))</f>
        <v>46146</v>
      </c>
      <c r="C31" s="6" t="str">
        <f aca="false">INDEX('Event Log'!$C$2:$C$194,MATCH(A31,'Event Log'!$A$2:$A$194,0))</f>
        <v>US</v>
      </c>
      <c r="D31" s="6" t="str">
        <f aca="false">INDEX('Event Log'!$D$2:$D$194,MATCH(A31,'Event Log'!$A$2:$A$194,0))</f>
        <v>Operation</v>
      </c>
      <c r="E31" s="6" t="str">
        <f aca="false">INDEX('Event Log'!$F$2:$F$194,MATCH(A31,'Event Log'!$A$2:$A$194,0))</f>
        <v>Operation Project Freedom: announced May 3, began May 4; Navy escort mission for stranded ships; US says six boats sunk (Trump said seven); pause announced May 5 US time (May 6 Gulf time)</v>
      </c>
      <c r="F31" s="6" t="s">
        <v>895</v>
      </c>
      <c r="G31" s="10" t="s">
        <v>979</v>
      </c>
      <c r="H31" s="6" t="s">
        <v>993</v>
      </c>
      <c r="I31" s="6" t="s">
        <v>994</v>
      </c>
    </row>
    <row r="32" customFormat="false" ht="23.85" hidden="false" customHeight="false" outlineLevel="0" collapsed="false">
      <c r="A32" s="6" t="n">
        <v>41</v>
      </c>
      <c r="B32" s="7" t="n">
        <f aca="false">INDEX('Event Log'!$B$2:$B$194,MATCH(A32,'Event Log'!$A$2:$A$194,0))</f>
        <v>46149</v>
      </c>
      <c r="C32" s="6" t="str">
        <f aca="false">INDEX('Event Log'!$C$2:$C$194,MATCH(A32,'Event Log'!$A$2:$A$194,0))</f>
        <v>Iran</v>
      </c>
      <c r="D32" s="6" t="str">
        <f aca="false">INDEX('Event Log'!$D$2:$D$194,MATCH(A32,'Event Log'!$A$2:$A$194,0))</f>
        <v>Strike</v>
      </c>
      <c r="E32" s="6" t="str">
        <f aca="false">INDEX('Event Log'!$F$2:$F$194,MATCH(A32,'Event Log'!$A$2:$A$194,0))</f>
        <v>Missiles, drones and small boats attack 3 US destroyers transiting the Strait</v>
      </c>
      <c r="F32" s="6" t="s">
        <v>895</v>
      </c>
      <c r="G32" s="8" t="s">
        <v>976</v>
      </c>
      <c r="H32" s="6" t="s">
        <v>995</v>
      </c>
      <c r="I32" s="6" t="s">
        <v>996</v>
      </c>
    </row>
    <row r="33" customFormat="false" ht="35.05" hidden="false" customHeight="false" outlineLevel="0" collapsed="false">
      <c r="A33" s="6" t="n">
        <v>42</v>
      </c>
      <c r="B33" s="7" t="n">
        <f aca="false">INDEX('Event Log'!$B$2:$B$194,MATCH(A33,'Event Log'!$A$2:$A$194,0))</f>
        <v>46149</v>
      </c>
      <c r="C33" s="6" t="str">
        <f aca="false">INDEX('Event Log'!$C$2:$C$194,MATCH(A33,'Event Log'!$A$2:$A$194,0))</f>
        <v>US</v>
      </c>
      <c r="D33" s="6" t="str">
        <f aca="false">INDEX('Event Log'!$D$2:$D$194,MATCH(A33,'Event Log'!$A$2:$A$194,0))</f>
        <v>Retaliation strike</v>
      </c>
      <c r="E33" s="6" t="str">
        <f aca="false">INDEX('Event Log'!$F$2:$F$194,MATCH(A33,'Event Log'!$A$2:$A$194,0))</f>
        <v>US strikes sites near Bandar Abbas and Qeshm Island (CENTCOM did not name the IRGC)</v>
      </c>
      <c r="F33" s="6" t="s">
        <v>895</v>
      </c>
      <c r="G33" s="10" t="s">
        <v>979</v>
      </c>
      <c r="H33" s="6" t="s">
        <v>997</v>
      </c>
      <c r="I33" s="6" t="s">
        <v>998</v>
      </c>
    </row>
    <row r="34" customFormat="false" ht="15" hidden="false" customHeight="false" outlineLevel="0" collapsed="false">
      <c r="A34" s="6" t="n">
        <v>44</v>
      </c>
      <c r="B34" s="7" t="n">
        <f aca="false">INDEX('Event Log'!$B$2:$B$194,MATCH(A34,'Event Log'!$A$2:$A$194,0))</f>
        <v>46181</v>
      </c>
      <c r="C34" s="6" t="str">
        <f aca="false">INDEX('Event Log'!$C$2:$C$194,MATCH(A34,'Event Log'!$A$2:$A$194,0))</f>
        <v>Israel</v>
      </c>
      <c r="D34" s="6" t="str">
        <f aca="false">INDEX('Event Log'!$D$2:$D$194,MATCH(A34,'Event Log'!$A$2:$A$194,0))</f>
        <v>Strike (ceasefire violation)</v>
      </c>
      <c r="E34" s="6" t="str">
        <f aca="false">INDEX('Event Log'!$F$2:$F$194,MATCH(A34,'Event Log'!$A$2:$A$194,0))</f>
        <v>Strikes kill members of Iran's air-defense units</v>
      </c>
      <c r="F34" s="6" t="s">
        <v>892</v>
      </c>
      <c r="G34" s="8" t="s">
        <v>976</v>
      </c>
      <c r="H34" s="6" t="s">
        <v>999</v>
      </c>
      <c r="I34" s="6" t="s">
        <v>1000</v>
      </c>
    </row>
    <row r="35" customFormat="false" ht="23.85" hidden="false" customHeight="false" outlineLevel="0" collapsed="false">
      <c r="A35" s="6" t="n">
        <v>45</v>
      </c>
      <c r="B35" s="7" t="n">
        <f aca="false">INDEX('Event Log'!$B$2:$B$194,MATCH(A35,'Event Log'!$A$2:$A$194,0))</f>
        <v>46181</v>
      </c>
      <c r="C35" s="6" t="str">
        <f aca="false">INDEX('Event Log'!$C$2:$C$194,MATCH(A35,'Event Log'!$A$2:$A$194,0))</f>
        <v>Iran</v>
      </c>
      <c r="D35" s="6" t="str">
        <f aca="false">INDEX('Event Log'!$D$2:$D$194,MATCH(A35,'Event Log'!$A$2:$A$194,0))</f>
        <v>Retaliation</v>
      </c>
      <c r="E35" s="6" t="str">
        <f aca="false">INDEX('Event Log'!$F$2:$F$194,MATCH(A35,'Event Log'!$A$2:$A$194,0))</f>
        <v>Downs a US Apache helicopter over the Strait (US says a Shahed drone did it)</v>
      </c>
      <c r="F35" s="6" t="s">
        <v>895</v>
      </c>
      <c r="G35" s="8" t="s">
        <v>976</v>
      </c>
      <c r="H35" s="6" t="s">
        <v>1001</v>
      </c>
      <c r="I35" s="6" t="s">
        <v>1002</v>
      </c>
    </row>
    <row r="36" customFormat="false" ht="35.05" hidden="false" customHeight="false" outlineLevel="0" collapsed="false">
      <c r="A36" s="6" t="n">
        <v>46</v>
      </c>
      <c r="B36" s="7" t="n">
        <f aca="false">INDEX('Event Log'!$B$2:$B$194,MATCH(A36,'Event Log'!$A$2:$A$194,0))</f>
        <v>46182</v>
      </c>
      <c r="C36" s="6" t="str">
        <f aca="false">INDEX('Event Log'!$C$2:$C$194,MATCH(A36,'Event Log'!$A$2:$A$194,0))</f>
        <v>US</v>
      </c>
      <c r="D36" s="6" t="str">
        <f aca="false">INDEX('Event Log'!$D$2:$D$194,MATCH(A36,'Event Log'!$A$2:$A$194,0))</f>
        <v>Retaliation strike</v>
      </c>
      <c r="E36" s="6" t="str">
        <f aca="false">INDEX('Event Log'!$F$2:$F$194,MATCH(A36,'Event Log'!$A$2:$A$194,0))</f>
        <v>US strikes Iranian air-defense, ground-control and surveillance radar sites near the Strait after Iran downs a US Apache (CENTCOM: 'proportional response')</v>
      </c>
      <c r="F36" s="6" t="s">
        <v>895</v>
      </c>
      <c r="G36" s="8" t="s">
        <v>976</v>
      </c>
      <c r="H36" s="6" t="s">
        <v>1003</v>
      </c>
      <c r="I36" s="6" t="s">
        <v>1004</v>
      </c>
    </row>
    <row r="37" customFormat="false" ht="23.85" hidden="false" customHeight="false" outlineLevel="0" collapsed="false">
      <c r="A37" s="6" t="n">
        <v>47</v>
      </c>
      <c r="B37" s="7" t="n">
        <f aca="false">INDEX('Event Log'!$B$2:$B$194,MATCH(A37,'Event Log'!$A$2:$A$194,0))</f>
        <v>46183</v>
      </c>
      <c r="C37" s="6" t="str">
        <f aca="false">INDEX('Event Log'!$C$2:$C$194,MATCH(A37,'Event Log'!$A$2:$A$194,0))</f>
        <v>Iran</v>
      </c>
      <c r="D37" s="6" t="str">
        <f aca="false">INDEX('Event Log'!$D$2:$D$194,MATCH(A37,'Event Log'!$A$2:$A$194,0))</f>
        <v>Retaliation strike</v>
      </c>
      <c r="E37" s="6" t="str">
        <f aca="false">INDEX('Event Log'!$F$2:$F$194,MATCH(A37,'Event Log'!$A$2:$A$194,0))</f>
        <v>Strikes Muwaffaq Salti AB plus bases in Kuwait and Bahrain</v>
      </c>
      <c r="F37" s="6" t="s">
        <v>895</v>
      </c>
      <c r="G37" s="10" t="s">
        <v>979</v>
      </c>
      <c r="H37" s="6" t="s">
        <v>1005</v>
      </c>
      <c r="I37" s="6" t="s">
        <v>992</v>
      </c>
    </row>
    <row r="38" customFormat="false" ht="23.85" hidden="false" customHeight="false" outlineLevel="0" collapsed="false">
      <c r="A38" s="6" t="n">
        <v>48</v>
      </c>
      <c r="B38" s="7" t="n">
        <f aca="false">INDEX('Event Log'!$B$2:$B$194,MATCH(A38,'Event Log'!$A$2:$A$194,0))</f>
        <v>46184</v>
      </c>
      <c r="C38" s="6" t="str">
        <f aca="false">INDEX('Event Log'!$C$2:$C$194,MATCH(A38,'Event Log'!$A$2:$A$194,0))</f>
        <v>Iran</v>
      </c>
      <c r="D38" s="6" t="str">
        <f aca="false">INDEX('Event Log'!$D$2:$D$194,MATCH(A38,'Event Log'!$A$2:$A$194,0))</f>
        <v>Retaliation strike</v>
      </c>
      <c r="E38" s="6" t="str">
        <f aca="false">INDEX('Event Log'!$F$2:$F$194,MATCH(A38,'Event Log'!$A$2:$A$194,0))</f>
        <v>Iranian missile wave at a Jordan base near Azraq; Jordan says it intercepted all 20 incoming missiles</v>
      </c>
      <c r="F38" s="6" t="s">
        <v>895</v>
      </c>
      <c r="G38" s="10" t="s">
        <v>959</v>
      </c>
      <c r="H38" s="6" t="s">
        <v>1006</v>
      </c>
      <c r="I38" s="6" t="s">
        <v>1007</v>
      </c>
    </row>
    <row r="39" customFormat="false" ht="35.05" hidden="false" customHeight="false" outlineLevel="0" collapsed="false">
      <c r="A39" s="6" t="n">
        <v>53</v>
      </c>
      <c r="B39" s="7" t="n">
        <f aca="false">INDEX('Event Log'!$B$2:$B$194,MATCH(A39,'Event Log'!$A$2:$A$194,0))</f>
        <v>46193</v>
      </c>
      <c r="C39" s="6" t="str">
        <f aca="false">INDEX('Event Log'!$C$2:$C$194,MATCH(A39,'Event Log'!$A$2:$A$194,0))</f>
        <v>Iran</v>
      </c>
      <c r="D39" s="6" t="str">
        <f aca="false">INDEX('Event Log'!$D$2:$D$194,MATCH(A39,'Event Log'!$A$2:$A$194,0))</f>
        <v>Blockade re-escalation</v>
      </c>
      <c r="E39" s="6" t="str">
        <f aca="false">INDEX('Event Log'!$F$2:$F$194,MATCH(A39,'Event Log'!$A$2:$A$194,0))</f>
        <v>Iran claims the Strait closed again, citing Israeli ceasefire violations in Lebanon</v>
      </c>
      <c r="F39" s="6" t="s">
        <v>903</v>
      </c>
      <c r="G39" s="11" t="s">
        <v>896</v>
      </c>
      <c r="H39" s="6" t="s">
        <v>1008</v>
      </c>
      <c r="I39" s="6" t="s">
        <v>1009</v>
      </c>
    </row>
    <row r="40" customFormat="false" ht="35.05" hidden="false" customHeight="false" outlineLevel="0" collapsed="false">
      <c r="A40" s="6" t="n">
        <v>54</v>
      </c>
      <c r="B40" s="7" t="n">
        <f aca="false">INDEX('Event Log'!$B$2:$B$194,MATCH(A40,'Event Log'!$A$2:$A$194,0))</f>
        <v>46198</v>
      </c>
      <c r="C40" s="6" t="str">
        <f aca="false">INDEX('Event Log'!$C$2:$C$194,MATCH(A40,'Event Log'!$A$2:$A$194,0))</f>
        <v>Iran</v>
      </c>
      <c r="D40" s="6" t="str">
        <f aca="false">INDEX('Event Log'!$D$2:$D$194,MATCH(A40,'Event Log'!$A$2:$A$194,0))</f>
        <v>MOU violation</v>
      </c>
      <c r="E40" s="6" t="str">
        <f aca="false">INDEX('Event Log'!$F$2:$F$194,MATCH(A40,'Event Log'!$A$2:$A$194,0))</f>
        <v>Iranian drones attack the container ship Ever Lovely near Oman in the Strait; Trump calls it a 'foolish violation' of the Jun 17 memorandum</v>
      </c>
      <c r="F40" s="6" t="s">
        <v>903</v>
      </c>
      <c r="G40" s="8" t="s">
        <v>976</v>
      </c>
      <c r="H40" s="6" t="s">
        <v>1010</v>
      </c>
      <c r="I40" s="6" t="s">
        <v>1011</v>
      </c>
    </row>
    <row r="41" customFormat="false" ht="23.85" hidden="false" customHeight="false" outlineLevel="0" collapsed="false">
      <c r="A41" s="6" t="n">
        <v>55</v>
      </c>
      <c r="B41" s="7" t="n">
        <f aca="false">INDEX('Event Log'!$B$2:$B$194,MATCH(A41,'Event Log'!$A$2:$A$194,0))</f>
        <v>46199</v>
      </c>
      <c r="C41" s="6" t="str">
        <f aca="false">INDEX('Event Log'!$C$2:$C$194,MATCH(A41,'Event Log'!$A$2:$A$194,0))</f>
        <v>US</v>
      </c>
      <c r="D41" s="6" t="str">
        <f aca="false">INDEX('Event Log'!$D$2:$D$194,MATCH(A41,'Event Log'!$A$2:$A$194,0))</f>
        <v>Retaliation strike</v>
      </c>
      <c r="E41" s="6" t="str">
        <f aca="false">INDEX('Event Log'!$F$2:$F$194,MATCH(A41,'Event Log'!$A$2:$A$194,0))</f>
        <v>~1 hour of retaliatory strikes on missile/drone sites and coastal radar</v>
      </c>
      <c r="F41" s="6" t="s">
        <v>895</v>
      </c>
      <c r="G41" s="8" t="s">
        <v>976</v>
      </c>
      <c r="H41" s="6" t="s">
        <v>1012</v>
      </c>
      <c r="I41" s="6" t="s">
        <v>1013</v>
      </c>
    </row>
    <row r="42" customFormat="false" ht="46.25" hidden="false" customHeight="false" outlineLevel="0" collapsed="false">
      <c r="A42" s="6" t="n">
        <v>56</v>
      </c>
      <c r="B42" s="7" t="n">
        <f aca="false">INDEX('Event Log'!$B$2:$B$194,MATCH(A42,'Event Log'!$A$2:$A$194,0))</f>
        <v>46200</v>
      </c>
      <c r="C42" s="6" t="str">
        <f aca="false">INDEX('Event Log'!$C$2:$C$194,MATCH(A42,'Event Log'!$A$2:$A$194,0))</f>
        <v>Iran</v>
      </c>
      <c r="D42" s="6" t="str">
        <f aca="false">INDEX('Event Log'!$D$2:$D$194,MATCH(A42,'Event Log'!$A$2:$A$194,0))</f>
        <v>Retaliation strike</v>
      </c>
      <c r="E42" s="6" t="str">
        <f aca="false">INDEX('Event Log'!$F$2:$F$194,MATCH(A42,'Event Log'!$A$2:$A$194,0))</f>
        <v>Tanker Kiku hit by a one-way drone near Hormuz (Jun 27, per CENTCOM; Iran has not confirmed); overnight Jun 27-28 the IRGC fires drones and missiles at Kuwait (intercepted) and Bahrain</v>
      </c>
      <c r="F42" s="6" t="s">
        <v>895</v>
      </c>
      <c r="G42" s="8" t="s">
        <v>976</v>
      </c>
      <c r="H42" s="6" t="s">
        <v>1014</v>
      </c>
      <c r="I42" s="6" t="s">
        <v>1015</v>
      </c>
    </row>
    <row r="43" customFormat="false" ht="23.85" hidden="false" customHeight="false" outlineLevel="0" collapsed="false">
      <c r="A43" s="6" t="n">
        <v>57</v>
      </c>
      <c r="B43" s="7" t="n">
        <f aca="false">INDEX('Event Log'!$B$2:$B$194,MATCH(A43,'Event Log'!$A$2:$A$194,0))</f>
        <v>46210</v>
      </c>
      <c r="C43" s="6" t="str">
        <f aca="false">INDEX('Event Log'!$C$2:$C$194,MATCH(A43,'Event Log'!$A$2:$A$194,0))</f>
        <v>Iran</v>
      </c>
      <c r="D43" s="6" t="str">
        <f aca="false">INDEX('Event Log'!$D$2:$D$194,MATCH(A43,'Event Log'!$A$2:$A$194,0))</f>
        <v>MOU violation (major)</v>
      </c>
      <c r="E43" s="6" t="str">
        <f aca="false">INDEX('Event Log'!$F$2:$F$194,MATCH(A43,'Event Log'!$A$2:$A$194,0))</f>
        <v>Strikes three vessels in the Strait - second, larger MOU violation</v>
      </c>
      <c r="F43" s="6" t="s">
        <v>903</v>
      </c>
      <c r="G43" s="8" t="s">
        <v>976</v>
      </c>
      <c r="H43" s="6" t="s">
        <v>1016</v>
      </c>
      <c r="I43" s="6" t="s">
        <v>1017</v>
      </c>
    </row>
    <row r="44" customFormat="false" ht="46.25" hidden="false" customHeight="false" outlineLevel="0" collapsed="false">
      <c r="A44" s="6" t="n">
        <v>60</v>
      </c>
      <c r="B44" s="7" t="n">
        <f aca="false">INDEX('Event Log'!$B$2:$B$194,MATCH(A44,'Event Log'!$A$2:$A$194,0))</f>
        <v>46211</v>
      </c>
      <c r="C44" s="6" t="str">
        <f aca="false">INDEX('Event Log'!$C$2:$C$194,MATCH(A44,'Event Log'!$A$2:$A$194,0))</f>
        <v>US</v>
      </c>
      <c r="D44" s="6" t="str">
        <f aca="false">INDEX('Event Log'!$D$2:$D$194,MATCH(A44,'Event Log'!$A$2:$A$194,0))</f>
        <v>Strike (major escalation)</v>
      </c>
      <c r="E44" s="6" t="str">
        <f aca="false">INDEX('Event Log'!$F$2:$F$194,MATCH(A44,'Event Log'!$A$2:$A$194,0))</f>
        <v>About 90 targets along Iran's coast (air defenses, coastal surveillance, missile and drone storage, naval and logistics sites), the second night in a row after ~80 on Jul 7 (CENTCOM)</v>
      </c>
      <c r="F44" s="6" t="s">
        <v>895</v>
      </c>
      <c r="G44" s="8" t="s">
        <v>976</v>
      </c>
      <c r="H44" s="6" t="s">
        <v>1018</v>
      </c>
      <c r="I44" s="6" t="s">
        <v>1019</v>
      </c>
    </row>
    <row r="45" customFormat="false" ht="23.85" hidden="false" customHeight="false" outlineLevel="0" collapsed="false">
      <c r="A45" s="6" t="n">
        <v>70</v>
      </c>
      <c r="B45" s="7" t="n">
        <f aca="false">INDEX('Event Log'!$B$2:$B$194,MATCH(A45,'Event Log'!$A$2:$A$194,0))</f>
        <v>46264</v>
      </c>
      <c r="C45" s="6" t="str">
        <f aca="false">INDEX('Event Log'!$C$2:$C$194,MATCH(A45,'Event Log'!$A$2:$A$194,0))</f>
        <v>US</v>
      </c>
      <c r="D45" s="6" t="str">
        <f aca="false">INDEX('Event Log'!$D$2:$D$194,MATCH(A45,'Event Log'!$A$2:$A$194,0))</f>
        <v>Strike</v>
      </c>
      <c r="E45" s="6" t="str">
        <f aca="false">INDEX('Event Log'!$F$2:$F$194,MATCH(A45,'Event Log'!$A$2:$A$194,0))</f>
        <v>Strikes 2 IRGC rocket launchers on Larak Island, said to be preparing sea mines</v>
      </c>
      <c r="F45" s="6" t="s">
        <v>892</v>
      </c>
      <c r="G45" s="8" t="s">
        <v>976</v>
      </c>
      <c r="H45" s="6" t="s">
        <v>1020</v>
      </c>
      <c r="I45" s="6" t="s">
        <v>1021</v>
      </c>
    </row>
    <row r="46" customFormat="false" ht="23.85" hidden="false" customHeight="false" outlineLevel="0" collapsed="false">
      <c r="A46" s="6" t="n">
        <v>71</v>
      </c>
      <c r="B46" s="7" t="n">
        <f aca="false">INDEX('Event Log'!$B$2:$B$194,MATCH(A46,'Event Log'!$A$2:$A$194,0))</f>
        <v>46265</v>
      </c>
      <c r="C46" s="6" t="str">
        <f aca="false">INDEX('Event Log'!$C$2:$C$194,MATCH(A46,'Event Log'!$A$2:$A$194,0))</f>
        <v>Iran</v>
      </c>
      <c r="D46" s="6" t="str">
        <f aca="false">INDEX('Event Log'!$D$2:$D$194,MATCH(A46,'Event Log'!$A$2:$A$194,0))</f>
        <v>Retaliation strike</v>
      </c>
      <c r="E46" s="6" t="str">
        <f aca="false">INDEX('Event Log'!$F$2:$F$194,MATCH(A46,'Event Log'!$A$2:$A$194,0))</f>
        <v>'Punishment of the Aggressor': strikes King Hussein AB and Al Azraq AB</v>
      </c>
      <c r="F46" s="6" t="s">
        <v>895</v>
      </c>
      <c r="G46" s="8" t="s">
        <v>976</v>
      </c>
      <c r="H46" s="6" t="s">
        <v>1022</v>
      </c>
      <c r="I46" s="6" t="s">
        <v>1023</v>
      </c>
    </row>
    <row r="47" customFormat="false" ht="15" hidden="false" customHeight="false" outlineLevel="0" collapsed="false">
      <c r="A47" s="6" t="n">
        <v>74</v>
      </c>
      <c r="B47" s="7" t="n">
        <f aca="false">INDEX('Event Log'!$B$2:$B$194,MATCH(A47,'Event Log'!$A$2:$A$194,0))</f>
        <v>46266</v>
      </c>
      <c r="C47" s="6" t="str">
        <f aca="false">INDEX('Event Log'!$C$2:$C$194,MATCH(A47,'Event Log'!$A$2:$A$194,0))</f>
        <v>US</v>
      </c>
      <c r="D47" s="6" t="str">
        <f aca="false">INDEX('Event Log'!$D$2:$D$194,MATCH(A47,'Event Log'!$A$2:$A$194,0))</f>
        <v>Strike (controversial)</v>
      </c>
      <c r="E47" s="6" t="str">
        <f aca="false">INDEX('Event Log'!$F$2:$F$194,MATCH(A47,'Event Log'!$A$2:$A$194,0))</f>
        <v>Kuhestak/Sirik wedding strike, part of the same wave as #73</v>
      </c>
      <c r="F47" s="6" t="s">
        <v>892</v>
      </c>
      <c r="G47" s="8" t="s">
        <v>976</v>
      </c>
      <c r="H47" s="6" t="s">
        <v>1024</v>
      </c>
      <c r="I47" s="6" t="s">
        <v>1025</v>
      </c>
    </row>
    <row r="48" customFormat="false" ht="23.85" hidden="false" customHeight="false" outlineLevel="0" collapsed="false">
      <c r="A48" s="6" t="n">
        <v>75</v>
      </c>
      <c r="B48" s="7" t="n">
        <f aca="false">INDEX('Event Log'!$B$2:$B$194,MATCH(A48,'Event Log'!$A$2:$A$194,0))</f>
        <v>46266</v>
      </c>
      <c r="C48" s="6" t="str">
        <f aca="false">INDEX('Event Log'!$C$2:$C$194,MATCH(A48,'Event Log'!$A$2:$A$194,0))</f>
        <v>Iran</v>
      </c>
      <c r="D48" s="6" t="str">
        <f aca="false">INDEX('Event Log'!$D$2:$D$194,MATCH(A48,'Event Log'!$A$2:$A$194,0))</f>
        <v>Retaliation strike</v>
      </c>
      <c r="E48" s="6" t="str">
        <f aca="false">INDEX('Event Log'!$F$2:$F$194,MATCH(A48,'Event Log'!$A$2:$A$194,0))</f>
        <v>Strikes Camp Titin and Prince Hassan AB</v>
      </c>
      <c r="F48" s="6" t="s">
        <v>895</v>
      </c>
      <c r="G48" s="12" t="s">
        <v>990</v>
      </c>
      <c r="H48" s="6" t="s">
        <v>1026</v>
      </c>
      <c r="I48" s="6" t="s">
        <v>1007</v>
      </c>
    </row>
    <row r="49" customFormat="false" ht="35.05" hidden="false" customHeight="false" outlineLevel="0" collapsed="false">
      <c r="A49" s="6" t="n">
        <v>77</v>
      </c>
      <c r="B49" s="7" t="n">
        <f aca="false">INDEX('Event Log'!$B$2:$B$194,MATCH(A49,'Event Log'!$A$2:$A$194,0))</f>
        <v>46270</v>
      </c>
      <c r="C49" s="6" t="str">
        <f aca="false">INDEX('Event Log'!$C$2:$C$194,MATCH(A49,'Event Log'!$A$2:$A$194,0))</f>
        <v>US</v>
      </c>
      <c r="D49" s="6" t="str">
        <f aca="false">INDEX('Event Log'!$D$2:$D$194,MATCH(A49,'Event Log'!$A$2:$A$194,0))</f>
        <v>Strike</v>
      </c>
      <c r="E49" s="6" t="str">
        <f aca="false">INDEX('Event Log'!$F$2:$F$194,MATCH(A49,'Event Log'!$A$2:$A$194,0))</f>
        <v>Strikes 3 Iranian crude tankers (MT Kylo and others)</v>
      </c>
      <c r="F49" s="6" t="s">
        <v>903</v>
      </c>
      <c r="G49" s="10" t="s">
        <v>979</v>
      </c>
      <c r="H49" s="6" t="s">
        <v>1027</v>
      </c>
      <c r="I49" s="6" t="s">
        <v>1028</v>
      </c>
    </row>
    <row r="50" customFormat="false" ht="23.85" hidden="false" customHeight="false" outlineLevel="0" collapsed="false">
      <c r="A50" s="6" t="n">
        <v>78</v>
      </c>
      <c r="B50" s="7" t="n">
        <f aca="false">INDEX('Event Log'!$B$2:$B$194,MATCH(A50,'Event Log'!$A$2:$A$194,0))</f>
        <v>46273</v>
      </c>
      <c r="C50" s="6" t="str">
        <f aca="false">INDEX('Event Log'!$C$2:$C$194,MATCH(A50,'Event Log'!$A$2:$A$194,0))</f>
        <v>Iran</v>
      </c>
      <c r="D50" s="6" t="str">
        <f aca="false">INDEX('Event Log'!$D$2:$D$194,MATCH(A50,'Event Log'!$A$2:$A$194,0))</f>
        <v>Strike</v>
      </c>
      <c r="E50" s="6" t="str">
        <f aca="false">INDEX('Event Log'!$F$2:$F$194,MATCH(A50,'Event Log'!$A$2:$A$194,0))</f>
        <v>IRGC fires ballistic missiles at a US warship for the second time in two days</v>
      </c>
      <c r="F50" s="6" t="s">
        <v>895</v>
      </c>
      <c r="G50" s="8" t="s">
        <v>976</v>
      </c>
      <c r="H50" s="6" t="s">
        <v>1029</v>
      </c>
      <c r="I50" s="6" t="s">
        <v>1030</v>
      </c>
    </row>
    <row r="51" customFormat="false" ht="35.05" hidden="false" customHeight="false" outlineLevel="0" collapsed="false">
      <c r="A51" s="6" t="n">
        <v>79</v>
      </c>
      <c r="B51" s="7" t="n">
        <f aca="false">INDEX('Event Log'!$B$2:$B$194,MATCH(A51,'Event Log'!$A$2:$A$194,0))</f>
        <v>46273</v>
      </c>
      <c r="C51" s="6" t="str">
        <f aca="false">INDEX('Event Log'!$C$2:$C$194,MATCH(A51,'Event Log'!$A$2:$A$194,0))</f>
        <v>US</v>
      </c>
      <c r="D51" s="6" t="str">
        <f aca="false">INDEX('Event Log'!$D$2:$D$194,MATCH(A51,'Event Log'!$A$2:$A$194,0))</f>
        <v>Retaliation strike</v>
      </c>
      <c r="E51" s="6" t="str">
        <f aca="false">INDEX('Event Log'!$F$2:$F$194,MATCH(A51,'Event Log'!$A$2:$A$194,0))</f>
        <v>CENTCOM destroys five IRGC crude oil carriers (four in the Gulf of Oman, one near Kharg Island) after the IRGC's missile attempts on a US warship</v>
      </c>
      <c r="F51" s="6" t="s">
        <v>903</v>
      </c>
      <c r="G51" s="8" t="s">
        <v>976</v>
      </c>
      <c r="H51" s="6" t="s">
        <v>1031</v>
      </c>
      <c r="I51" s="6" t="s">
        <v>1032</v>
      </c>
    </row>
    <row r="52" customFormat="false" ht="35.05" hidden="false" customHeight="false" outlineLevel="0" collapsed="false">
      <c r="A52" s="6" t="n">
        <v>80</v>
      </c>
      <c r="B52" s="7" t="n">
        <f aca="false">INDEX('Event Log'!$B$2:$B$194,MATCH(A52,'Event Log'!$A$2:$A$194,0))</f>
        <v>46274</v>
      </c>
      <c r="C52" s="6" t="str">
        <f aca="false">INDEX('Event Log'!$C$2:$C$194,MATCH(A52,'Event Log'!$A$2:$A$194,0))</f>
        <v>Iran</v>
      </c>
      <c r="D52" s="6" t="str">
        <f aca="false">INDEX('Event Log'!$D$2:$D$194,MATCH(A52,'Event Log'!$A$2:$A$194,0))</f>
        <v>Retaliation strike</v>
      </c>
      <c r="E52" s="6" t="str">
        <f aca="false">INDEX('Event Log'!$F$2:$F$194,MATCH(A52,'Event Log'!$A$2:$A$194,0))</f>
        <v>Strikes Muwaffaq Salti AB: 1 A-10 loses a wing, ~8 F-15s lightly damaged</v>
      </c>
      <c r="F52" s="6" t="s">
        <v>895</v>
      </c>
      <c r="G52" s="11" t="s">
        <v>896</v>
      </c>
      <c r="H52" s="6" t="s">
        <v>1033</v>
      </c>
      <c r="I52" s="6" t="s">
        <v>1034</v>
      </c>
    </row>
    <row r="53" customFormat="false" ht="35.05" hidden="false" customHeight="false" outlineLevel="0" collapsed="false">
      <c r="A53" s="6" t="n">
        <v>85</v>
      </c>
      <c r="B53" s="7" t="n">
        <f aca="false">INDEX('Event Log'!$B$2:$B$194,MATCH(A53,'Event Log'!$A$2:$A$194,0))</f>
        <v>46294</v>
      </c>
      <c r="C53" s="6" t="str">
        <f aca="false">INDEX('Event Log'!$C$2:$C$194,MATCH(A53,'Event Log'!$A$2:$A$194,0))</f>
        <v>US</v>
      </c>
      <c r="D53" s="6" t="str">
        <f aca="false">INDEX('Event Log'!$D$2:$D$194,MATCH(A53,'Event Log'!$A$2:$A$194,0))</f>
        <v>Sanctions response</v>
      </c>
      <c r="E53" s="6" t="str">
        <f aca="false">INDEX('Event Log'!$F$2:$F$194,MATCH(A53,'Event Log'!$A$2:$A$194,0))</f>
        <v>Treasury imposes new sanctions on 10 individuals/entities for supporting Iran's military supply chain</v>
      </c>
      <c r="F53" s="6" t="s">
        <v>903</v>
      </c>
      <c r="G53" s="11" t="s">
        <v>896</v>
      </c>
      <c r="H53" s="6" t="s">
        <v>1035</v>
      </c>
      <c r="I53" s="6" t="s">
        <v>1036</v>
      </c>
    </row>
    <row r="54" customFormat="false" ht="35.05" hidden="false" customHeight="false" outlineLevel="0" collapsed="false">
      <c r="A54" s="6" t="n">
        <v>87</v>
      </c>
      <c r="B54" s="7" t="n">
        <f aca="false">INDEX('Event Log'!$B$2:$B$194,MATCH(A54,'Event Log'!$A$2:$A$194,0))</f>
        <v>46296</v>
      </c>
      <c r="C54" s="6" t="str">
        <f aca="false">INDEX('Event Log'!$C$2:$C$194,MATCH(A54,'Event Log'!$A$2:$A$194,0))</f>
        <v>US</v>
      </c>
      <c r="D54" s="6" t="str">
        <f aca="false">INDEX('Event Log'!$D$2:$D$194,MATCH(A54,'Event Log'!$A$2:$A$194,0))</f>
        <v>Sanctions response</v>
      </c>
      <c r="E54" s="6" t="str">
        <f aca="false">INDEX('Event Log'!$F$2:$F$194,MATCH(A54,'Event Log'!$A$2:$A$194,0))</f>
        <v>Treasury sanctions Iran's automotive and rail sectors and a shadow banking network, calling the targets 'some of the last significant elements of Iran's failing industrial infrastructure'</v>
      </c>
      <c r="F54" s="6" t="s">
        <v>903</v>
      </c>
      <c r="G54" s="11" t="s">
        <v>896</v>
      </c>
      <c r="H54" s="6" t="s">
        <v>1037</v>
      </c>
      <c r="I54" s="6" t="s">
        <v>1036</v>
      </c>
    </row>
    <row r="55" customFormat="false" ht="57.45" hidden="false" customHeight="false" outlineLevel="0" collapsed="false">
      <c r="A55" s="6" t="n">
        <v>104</v>
      </c>
      <c r="B55" s="7" t="n">
        <f aca="false">INDEX('Event Log'!$B$2:$B$194,MATCH(A55,'Event Log'!$A$2:$A$194,0))</f>
        <v>46306</v>
      </c>
      <c r="C55" s="6" t="str">
        <f aca="false">INDEX('Event Log'!$C$2:$C$194,MATCH(A55,'Event Log'!$A$2:$A$194,0))</f>
        <v>US</v>
      </c>
      <c r="D55" s="6" t="str">
        <f aca="false">INDEX('Event Log'!$D$2:$D$194,MATCH(A55,'Event Log'!$A$2:$A$194,0))</f>
        <v>Blockade enforcement strike</v>
      </c>
      <c r="E55" s="6" t="str">
        <f aca="false">INDEX('Event Log'!$F$2:$F$194,MATCH(A55,'Event Log'!$A$2:$A$194,0))</f>
        <v>CENTCOM releases footage of a fighter jet bombing the stern of a cargo ship it says was running the blockade of Iranian ports, disabling it (strike Oct 10 or 11)</v>
      </c>
      <c r="F55" s="6" t="s">
        <v>903</v>
      </c>
      <c r="G55" s="10" t="s">
        <v>959</v>
      </c>
      <c r="H55" s="6" t="s">
        <v>1038</v>
      </c>
      <c r="I55" s="6" t="s">
        <v>992</v>
      </c>
    </row>
    <row r="56" customFormat="false" ht="46.25" hidden="false" customHeight="false" outlineLevel="0" collapsed="false">
      <c r="A56" s="6" t="n">
        <v>106</v>
      </c>
      <c r="B56" s="7" t="n">
        <f aca="false">INDEX('Event Log'!$B$2:$B$194,MATCH(A56,'Event Log'!$A$2:$A$194,0))</f>
        <v>46301</v>
      </c>
      <c r="C56" s="6" t="str">
        <f aca="false">INDEX('Event Log'!$C$2:$C$194,MATCH(A56,'Event Log'!$A$2:$A$194,0))</f>
        <v>US</v>
      </c>
      <c r="D56" s="6" t="str">
        <f aca="false">INDEX('Event Log'!$D$2:$D$194,MATCH(A56,'Event Log'!$A$2:$A$194,0))</f>
        <v>Strike (IRGC-linked boat)</v>
      </c>
      <c r="E56" s="6" t="str">
        <f aca="false">INDEX('Event Log'!$F$2:$F$194,MATCH(A56,'Event Log'!$A$2:$A$194,0))</f>
        <v>US forces destroy an Iranian-affiliated dhow that CENTCOM says was 'conducting surveillance and targeting U.S. Navy ships' in the Gulf of Oman; crew removed first (announced Oct 14)</v>
      </c>
      <c r="F56" s="6" t="s">
        <v>895</v>
      </c>
      <c r="G56" s="10" t="s">
        <v>959</v>
      </c>
      <c r="H56" s="6" t="s">
        <v>1039</v>
      </c>
      <c r="I56" s="6" t="s">
        <v>992</v>
      </c>
    </row>
    <row r="57" customFormat="false" ht="35.05" hidden="false" customHeight="false" outlineLevel="0" collapsed="false">
      <c r="A57" s="6" t="n">
        <v>107</v>
      </c>
      <c r="B57" s="7" t="n">
        <f aca="false">INDEX('Event Log'!$B$2:$B$194,MATCH(A57,'Event Log'!$A$2:$A$194,0))</f>
        <v>46303</v>
      </c>
      <c r="C57" s="6" t="str">
        <f aca="false">INDEX('Event Log'!$C$2:$C$194,MATCH(A57,'Event Log'!$A$2:$A$194,0))</f>
        <v>US</v>
      </c>
      <c r="D57" s="6" t="str">
        <f aca="false">INDEX('Event Log'!$D$2:$D$194,MATCH(A57,'Event Log'!$A$2:$A$194,0))</f>
        <v>Sanctions response</v>
      </c>
      <c r="E57" s="6" t="str">
        <f aca="false">INDEX('Event Log'!$F$2:$F$194,MATCH(A57,'Event Log'!$A$2:$A$194,0))</f>
        <v>Treasury sanctions 17 companies and 17 'shadow fleet' tankers carrying Iranian oil (Operation Economic Outcast)</v>
      </c>
      <c r="F57" s="6" t="s">
        <v>903</v>
      </c>
      <c r="G57" s="10" t="s">
        <v>959</v>
      </c>
      <c r="H57" s="6" t="s">
        <v>1040</v>
      </c>
      <c r="I57" s="6" t="s">
        <v>992</v>
      </c>
    </row>
    <row r="58" customFormat="false" ht="46.25" hidden="false" customHeight="false" outlineLevel="0" collapsed="false">
      <c r="A58" s="6" t="n">
        <v>110</v>
      </c>
      <c r="B58" s="7" t="n">
        <f aca="false">INDEX('Event Log'!$B$2:$B$194,MATCH(A58,'Event Log'!$A$2:$A$194,0))</f>
        <v>46310</v>
      </c>
      <c r="C58" s="6" t="str">
        <f aca="false">INDEX('Event Log'!$C$2:$C$194,MATCH(A58,'Event Log'!$A$2:$A$194,0))</f>
        <v>US</v>
      </c>
      <c r="D58" s="6" t="str">
        <f aca="false">INDEX('Event Log'!$D$2:$D$194,MATCH(A58,'Event Log'!$A$2:$A$194,0))</f>
        <v>Sanctions response</v>
      </c>
      <c r="E58" s="6" t="str">
        <f aca="false">INDEX('Event Log'!$F$2:$F$194,MATCH(A58,'Event Log'!$A$2:$A$194,0))</f>
        <v>Treasury sanctions 10 entities and 16 people in Iran's shadow-banking and exchange-house network, plus Iranian religious-charity networks; State sanctions a Cuban bank serving an Iranian bank</v>
      </c>
      <c r="F58" s="6" t="s">
        <v>903</v>
      </c>
      <c r="G58" s="10" t="s">
        <v>959</v>
      </c>
      <c r="H58" s="6" t="s">
        <v>1041</v>
      </c>
      <c r="I58" s="6" t="s">
        <v>992</v>
      </c>
    </row>
    <row r="59" customFormat="false" ht="35.05" hidden="false" customHeight="false" outlineLevel="0" collapsed="false">
      <c r="A59" s="6" t="n">
        <v>119</v>
      </c>
      <c r="B59" s="7" t="n">
        <f aca="false">INDEX('Event Log'!$B$2:$B$194,MATCH(A59,'Event Log'!$A$2:$A$194,0))</f>
        <v>46316</v>
      </c>
      <c r="C59" s="6" t="str">
        <f aca="false">INDEX('Event Log'!$C$2:$C$194,MATCH(A59,'Event Log'!$A$2:$A$194,0))</f>
        <v>US</v>
      </c>
      <c r="D59" s="6" t="str">
        <f aca="false">INDEX('Event Log'!$D$2:$D$194,MATCH(A59,'Event Log'!$A$2:$A$194,0))</f>
        <v>Sanctions response</v>
      </c>
      <c r="E59" s="6" t="str">
        <f aca="false">INDEX('Event Log'!$F$2:$F$194,MATCH(A59,'Event Log'!$A$2:$A$194,0))</f>
        <v>Treasury sanctions 4 entities, 5 people and 9 vessels in Iran's shadow-fleet oil network (Operation Economic Outcast)</v>
      </c>
      <c r="F59" s="6" t="s">
        <v>903</v>
      </c>
      <c r="G59" s="12" t="s">
        <v>990</v>
      </c>
      <c r="H59" s="6" t="s">
        <v>1042</v>
      </c>
      <c r="I59" s="6" t="s">
        <v>992</v>
      </c>
    </row>
    <row r="60" customFormat="false" ht="23.85" hidden="false" customHeight="false" outlineLevel="0" collapsed="false">
      <c r="A60" s="6" t="n">
        <v>206</v>
      </c>
      <c r="B60" s="7" t="n">
        <f aca="false">INDEX('Event Log'!$B$2:$B$194,MATCH(A60,'Event Log'!$A$2:$A$194,0))</f>
        <v>43640</v>
      </c>
      <c r="C60" s="6" t="str">
        <f aca="false">INDEX('Event Log'!$C$2:$C$194,MATCH(A60,'Event Log'!$A$2:$A$194,0))</f>
        <v>US</v>
      </c>
      <c r="D60" s="6" t="str">
        <f aca="false">INDEX('Event Log'!$D$2:$D$194,MATCH(A60,'Event Log'!$A$2:$A$194,0))</f>
        <v>Sanctions response</v>
      </c>
      <c r="E60" s="6" t="str">
        <f aca="false">INDEX('Event Log'!$F$2:$F$194,MATCH(A60,'Event Log'!$A$2:$A$194,0))</f>
        <v>Trump signs an executive order sanctioning Supreme Leader Khamenei and his office</v>
      </c>
      <c r="F60" s="6" t="s">
        <v>903</v>
      </c>
      <c r="G60" s="11" t="s">
        <v>896</v>
      </c>
      <c r="H60" s="6" t="s">
        <v>1043</v>
      </c>
      <c r="I60" s="6" t="s">
        <v>992</v>
      </c>
    </row>
    <row r="61" customFormat="false" ht="46.25" hidden="false" customHeight="false" outlineLevel="0" collapsed="false">
      <c r="A61" s="6" t="n">
        <v>208</v>
      </c>
      <c r="B61" s="7" t="n">
        <f aca="false">INDEX('Event Log'!$B$2:$B$194,MATCH(A61,'Event Log'!$A$2:$A$194,0))</f>
        <v>43677</v>
      </c>
      <c r="C61" s="6" t="str">
        <f aca="false">INDEX('Event Log'!$C$2:$C$194,MATCH(A61,'Event Log'!$A$2:$A$194,0))</f>
        <v>US</v>
      </c>
      <c r="D61" s="6" t="str">
        <f aca="false">INDEX('Event Log'!$D$2:$D$194,MATCH(A61,'Event Log'!$A$2:$A$194,0))</f>
        <v>Sanctions response</v>
      </c>
      <c r="E61" s="6" t="str">
        <f aca="false">INDEX('Event Log'!$F$2:$F$194,MATCH(A61,'Event Log'!$A$2:$A$194,0))</f>
        <v>Treasury sanctions Foreign Minister Javad Zarif</v>
      </c>
      <c r="F61" s="6" t="s">
        <v>903</v>
      </c>
      <c r="G61" s="11" t="s">
        <v>896</v>
      </c>
      <c r="H61" s="6" t="s">
        <v>1044</v>
      </c>
      <c r="I61" s="6" t="s">
        <v>992</v>
      </c>
    </row>
    <row r="62" customFormat="false" ht="23.85" hidden="false" customHeight="false" outlineLevel="0" collapsed="false">
      <c r="A62" s="6" t="n">
        <v>210</v>
      </c>
      <c r="B62" s="7" t="n">
        <f aca="false">INDEX('Event Log'!$B$2:$B$194,MATCH(A62,'Event Log'!$A$2:$A$194,0))</f>
        <v>43728</v>
      </c>
      <c r="C62" s="6" t="str">
        <f aca="false">INDEX('Event Log'!$C$2:$C$194,MATCH(A62,'Event Log'!$A$2:$A$194,0))</f>
        <v>US</v>
      </c>
      <c r="D62" s="6" t="str">
        <f aca="false">INDEX('Event Log'!$D$2:$D$194,MATCH(A62,'Event Log'!$A$2:$A$194,0))</f>
        <v>Sanctions response</v>
      </c>
      <c r="E62" s="6" t="str">
        <f aca="false">INDEX('Event Log'!$F$2:$F$194,MATCH(A62,'Event Log'!$A$2:$A$194,0))</f>
        <v>Treasury sanctions Iran's central bank and national development fund after the Saudi oil attack</v>
      </c>
      <c r="F62" s="6" t="s">
        <v>903</v>
      </c>
      <c r="G62" s="11" t="s">
        <v>896</v>
      </c>
      <c r="H62" s="6" t="s">
        <v>1045</v>
      </c>
      <c r="I62" s="6" t="s">
        <v>992</v>
      </c>
    </row>
    <row r="63" customFormat="false" ht="23.85" hidden="false" customHeight="false" outlineLevel="0" collapsed="false">
      <c r="A63" s="6" t="n">
        <v>213</v>
      </c>
      <c r="B63" s="7" t="n">
        <f aca="false">INDEX('Event Log'!$B$2:$B$194,MATCH(A63,'Event Log'!$A$2:$A$194,0))</f>
        <v>43828</v>
      </c>
      <c r="C63" s="6" t="str">
        <f aca="false">INDEX('Event Log'!$C$2:$C$194,MATCH(A63,'Event Log'!$A$2:$A$194,0))</f>
        <v>US</v>
      </c>
      <c r="D63" s="6" t="str">
        <f aca="false">INDEX('Event Log'!$D$2:$D$194,MATCH(A63,'Event Log'!$A$2:$A$194,0))</f>
        <v>Strike (militia sites)</v>
      </c>
      <c r="E63" s="6" t="str">
        <f aca="false">INDEX('Event Log'!$F$2:$F$194,MATCH(A63,'Event Log'!$A$2:$A$194,0))</f>
        <v>US strikes five Kataib Hezbollah sites in Iraq and Syria in retaliation for the K-1 attack</v>
      </c>
      <c r="F63" s="6" t="s">
        <v>892</v>
      </c>
      <c r="G63" s="10" t="s">
        <v>1046</v>
      </c>
      <c r="H63" s="6" t="s">
        <v>1047</v>
      </c>
      <c r="I63" s="6" t="s">
        <v>1048</v>
      </c>
    </row>
    <row r="64" customFormat="false" ht="35.05" hidden="false" customHeight="false" outlineLevel="0" collapsed="false">
      <c r="A64" s="6" t="n">
        <v>215</v>
      </c>
      <c r="B64" s="7" t="n">
        <f aca="false">INDEX('Event Log'!$B$2:$B$194,MATCH(A64,'Event Log'!$A$2:$A$194,0))</f>
        <v>43833</v>
      </c>
      <c r="C64" s="6" t="str">
        <f aca="false">INDEX('Event Log'!$C$2:$C$194,MATCH(A64,'Event Log'!$A$2:$A$194,0))</f>
        <v>US</v>
      </c>
      <c r="D64" s="6" t="str">
        <f aca="false">INDEX('Event Log'!$D$2:$D$194,MATCH(A64,'Event Log'!$A$2:$A$194,0))</f>
        <v>Assassination strike</v>
      </c>
      <c r="E64" s="6" t="str">
        <f aca="false">INDEX('Event Log'!$F$2:$F$194,MATCH(A64,'Event Log'!$A$2:$A$194,0))</f>
        <v>US drone strike at Baghdad airport kills IRGC Quds Force commander Qassem Soleimani and militia leader Abu Mahdi al-Muhandis</v>
      </c>
      <c r="F64" s="6" t="s">
        <v>892</v>
      </c>
      <c r="G64" s="8" t="s">
        <v>976</v>
      </c>
      <c r="H64" s="6" t="s">
        <v>1049</v>
      </c>
      <c r="I64" s="6" t="s">
        <v>1050</v>
      </c>
    </row>
    <row r="65" customFormat="false" ht="23.85" hidden="false" customHeight="false" outlineLevel="0" collapsed="false">
      <c r="A65" s="6" t="n">
        <v>217</v>
      </c>
      <c r="B65" s="7" t="n">
        <f aca="false">INDEX('Event Log'!$B$2:$B$194,MATCH(A65,'Event Log'!$A$2:$A$194,0))</f>
        <v>43840</v>
      </c>
      <c r="C65" s="6" t="str">
        <f aca="false">INDEX('Event Log'!$C$2:$C$194,MATCH(A65,'Event Log'!$A$2:$A$194,0))</f>
        <v>US</v>
      </c>
      <c r="D65" s="6" t="str">
        <f aca="false">INDEX('Event Log'!$D$2:$D$194,MATCH(A65,'Event Log'!$A$2:$A$194,0))</f>
        <v>Sanctions response</v>
      </c>
      <c r="E65" s="6" t="str">
        <f aca="false">INDEX('Event Log'!$F$2:$F$194,MATCH(A65,'Event Log'!$A$2:$A$194,0))</f>
        <v>Treasury sanctions Iran's steel and metals sectors and senior officials after the missile attack</v>
      </c>
      <c r="F65" s="6" t="s">
        <v>903</v>
      </c>
      <c r="G65" s="11" t="s">
        <v>896</v>
      </c>
      <c r="H65" s="6" t="s">
        <v>1051</v>
      </c>
      <c r="I65" s="6" t="s">
        <v>992</v>
      </c>
    </row>
    <row r="66" customFormat="false" ht="23.85" hidden="false" customHeight="false" outlineLevel="0" collapsed="false">
      <c r="A66" s="6" t="n">
        <v>219</v>
      </c>
      <c r="B66" s="7" t="n">
        <f aca="false">INDEX('Event Log'!$B$2:$B$194,MATCH(A66,'Event Log'!$A$2:$A$194,0))</f>
        <v>43902</v>
      </c>
      <c r="C66" s="6" t="str">
        <f aca="false">INDEX('Event Log'!$C$2:$C$194,MATCH(A66,'Event Log'!$A$2:$A$194,0))</f>
        <v>US</v>
      </c>
      <c r="D66" s="6" t="str">
        <f aca="false">INDEX('Event Log'!$D$2:$D$194,MATCH(A66,'Event Log'!$A$2:$A$194,0))</f>
        <v>Strike (militia weapons sites)</v>
      </c>
      <c r="E66" s="6" t="str">
        <f aca="false">INDEX('Event Log'!$F$2:$F$194,MATCH(A66,'Event Log'!$A$2:$A$194,0))</f>
        <v>US strikes Kataib Hezbollah weapons storage sites in Iraq after the Taji attack</v>
      </c>
      <c r="F66" s="6" t="s">
        <v>895</v>
      </c>
      <c r="G66" s="10" t="s">
        <v>1046</v>
      </c>
      <c r="H66" s="6" t="s">
        <v>1052</v>
      </c>
      <c r="I66" s="6" t="s">
        <v>1053</v>
      </c>
    </row>
    <row r="67" customFormat="false" ht="23.85" hidden="false" customHeight="false" outlineLevel="0" collapsed="false">
      <c r="A67" s="6" t="n">
        <v>221</v>
      </c>
      <c r="B67" s="7" t="n">
        <f aca="false">INDEX('Event Log'!$B$2:$B$194,MATCH(A67,'Event Log'!$A$2:$A$194,0))</f>
        <v>44057</v>
      </c>
      <c r="C67" s="6" t="str">
        <f aca="false">INDEX('Event Log'!$C$2:$C$194,MATCH(A67,'Event Log'!$A$2:$A$194,0))</f>
        <v>US</v>
      </c>
      <c r="D67" s="6" t="str">
        <f aca="false">INDEX('Event Log'!$D$2:$D$194,MATCH(A67,'Event Log'!$A$2:$A$194,0))</f>
        <v>Seizure (fuel cargoes)</v>
      </c>
      <c r="E67" s="6" t="str">
        <f aca="false">INDEX('Event Log'!$F$2:$F$194,MATCH(A67,'Event Log'!$A$2:$A$194,0))</f>
        <v>US seizes four Iranian fuel cargoes bound for Venezuela</v>
      </c>
      <c r="F67" s="6" t="s">
        <v>903</v>
      </c>
      <c r="G67" s="11" t="s">
        <v>896</v>
      </c>
      <c r="H67" s="6" t="s">
        <v>1054</v>
      </c>
      <c r="I67" s="6" t="s">
        <v>992</v>
      </c>
    </row>
    <row r="68" customFormat="false" ht="35.05" hidden="false" customHeight="false" outlineLevel="0" collapsed="false">
      <c r="A68" s="6" t="n">
        <v>222</v>
      </c>
      <c r="B68" s="7" t="n">
        <f aca="false">INDEX('Event Log'!$B$2:$B$194,MATCH(A68,'Event Log'!$A$2:$A$194,0))</f>
        <v>44252</v>
      </c>
      <c r="C68" s="6" t="str">
        <f aca="false">INDEX('Event Log'!$C$2:$C$194,MATCH(A68,'Event Log'!$A$2:$A$194,0))</f>
        <v>US</v>
      </c>
      <c r="D68" s="6" t="str">
        <f aca="false">INDEX('Event Log'!$D$2:$D$194,MATCH(A68,'Event Log'!$A$2:$A$194,0))</f>
        <v>Strike (militia facilities)</v>
      </c>
      <c r="E68" s="6" t="str">
        <f aca="false">INDEX('Event Log'!$F$2:$F$194,MATCH(A68,'Event Log'!$A$2:$A$194,0))</f>
        <v>First strikes under Biden hit facilities used by Iran-backed militias at a Syria-Iraq border crossing, after a rocket attack in Erbil</v>
      </c>
      <c r="F68" s="6" t="s">
        <v>895</v>
      </c>
      <c r="G68" s="11" t="s">
        <v>896</v>
      </c>
      <c r="H68" s="6" t="s">
        <v>1055</v>
      </c>
      <c r="I68" s="6" t="s">
        <v>992</v>
      </c>
    </row>
    <row r="69" customFormat="false" ht="23.85" hidden="false" customHeight="false" outlineLevel="0" collapsed="false">
      <c r="A69" s="6" t="n">
        <v>223</v>
      </c>
      <c r="B69" s="7" t="n">
        <f aca="false">INDEX('Event Log'!$B$2:$B$194,MATCH(A69,'Event Log'!$A$2:$A$194,0))</f>
        <v>44374</v>
      </c>
      <c r="C69" s="6" t="str">
        <f aca="false">INDEX('Event Log'!$C$2:$C$194,MATCH(A69,'Event Log'!$A$2:$A$194,0))</f>
        <v>US</v>
      </c>
      <c r="D69" s="6" t="str">
        <f aca="false">INDEX('Event Log'!$D$2:$D$194,MATCH(A69,'Event Log'!$A$2:$A$194,0))</f>
        <v>Strike (militia facilities)</v>
      </c>
      <c r="E69" s="6" t="str">
        <f aca="false">INDEX('Event Log'!$F$2:$F$194,MATCH(A69,'Event Log'!$A$2:$A$194,0))</f>
        <v>US strikes facilities used by Iran-backed militias near the Iraq-Syria border</v>
      </c>
      <c r="F69" s="6" t="s">
        <v>895</v>
      </c>
      <c r="G69" s="10" t="s">
        <v>1046</v>
      </c>
      <c r="H69" s="6" t="s">
        <v>1056</v>
      </c>
      <c r="I69" s="6" t="s">
        <v>1057</v>
      </c>
    </row>
    <row r="70" customFormat="false" ht="23.85" hidden="false" customHeight="false" outlineLevel="0" collapsed="false">
      <c r="A70" s="6" t="n">
        <v>225</v>
      </c>
      <c r="B70" s="7" t="n">
        <f aca="false">INDEX('Event Log'!$B$2:$B$194,MATCH(A70,'Event Log'!$A$2:$A$194,0))</f>
        <v>44797</v>
      </c>
      <c r="C70" s="6" t="str">
        <f aca="false">INDEX('Event Log'!$C$2:$C$194,MATCH(A70,'Event Log'!$A$2:$A$194,0))</f>
        <v>US</v>
      </c>
      <c r="D70" s="6" t="str">
        <f aca="false">INDEX('Event Log'!$D$2:$D$194,MATCH(A70,'Event Log'!$A$2:$A$194,0))</f>
        <v>Strike (militia bunkers)</v>
      </c>
      <c r="E70" s="6" t="str">
        <f aca="false">INDEX('Event Log'!$F$2:$F$194,MATCH(A70,'Event Log'!$A$2:$A$194,0))</f>
        <v>US strikes bunkers in Deir ez-Zor used by militias backed by the IRGC; the US later says 4 militia members were killed</v>
      </c>
      <c r="F70" s="6" t="s">
        <v>895</v>
      </c>
      <c r="G70" s="10" t="s">
        <v>1046</v>
      </c>
      <c r="H70" s="6" t="s">
        <v>1058</v>
      </c>
      <c r="I70" s="6" t="s">
        <v>1059</v>
      </c>
    </row>
    <row r="71" customFormat="false" ht="23.85" hidden="false" customHeight="false" outlineLevel="0" collapsed="false">
      <c r="A71" s="6" t="n">
        <v>228</v>
      </c>
      <c r="B71" s="7" t="n">
        <f aca="false">INDEX('Event Log'!$B$2:$B$194,MATCH(A71,'Event Log'!$A$2:$A$194,0))</f>
        <v>45008</v>
      </c>
      <c r="C71" s="6" t="str">
        <f aca="false">INDEX('Event Log'!$C$2:$C$194,MATCH(A71,'Event Log'!$A$2:$A$194,0))</f>
        <v>US</v>
      </c>
      <c r="D71" s="6" t="str">
        <f aca="false">INDEX('Event Log'!$D$2:$D$194,MATCH(A71,'Event Log'!$A$2:$A$194,0))</f>
        <v>Strike (IRGC-affiliated facilities)</v>
      </c>
      <c r="E71" s="6" t="str">
        <f aca="false">INDEX('Event Log'!$F$2:$F$194,MATCH(A71,'Event Log'!$A$2:$A$194,0))</f>
        <v>US F-15s strike facilities in eastern Syria used by groups affiliated with the IRGC</v>
      </c>
      <c r="F71" s="6" t="s">
        <v>895</v>
      </c>
      <c r="G71" s="10" t="s">
        <v>1046</v>
      </c>
      <c r="H71" s="6" t="s">
        <v>1060</v>
      </c>
      <c r="I71" s="6" t="s">
        <v>1061</v>
      </c>
    </row>
    <row r="72" customFormat="false" ht="35.05" hidden="false" customHeight="false" outlineLevel="0" collapsed="false">
      <c r="A72" s="6" t="n">
        <v>240</v>
      </c>
      <c r="B72" s="7" t="n">
        <f aca="false">INDEX('Event Log'!$B$2:$B$194,MATCH(A72,'Event Log'!$A$2:$A$194,0))</f>
        <v>45324</v>
      </c>
      <c r="C72" s="6" t="str">
        <f aca="false">INDEX('Event Log'!$C$2:$C$194,MATCH(A72,'Event Log'!$A$2:$A$194,0))</f>
        <v>US</v>
      </c>
      <c r="D72" s="6" t="str">
        <f aca="false">INDEX('Event Log'!$D$2:$D$194,MATCH(A72,'Event Log'!$A$2:$A$194,0))</f>
        <v>Strike (IRGC Quds Force and militia sites)</v>
      </c>
      <c r="E72" s="6" t="str">
        <f aca="false">INDEX('Event Log'!$F$2:$F$194,MATCH(A72,'Event Log'!$A$2:$A$194,0))</f>
        <v>US strikes more than 85 targets in Iraq and Syria linked to the IRGC Quds Force and affiliated militias, in retaliation for Tower 22</v>
      </c>
      <c r="F72" s="6" t="s">
        <v>895</v>
      </c>
      <c r="G72" s="10" t="s">
        <v>1046</v>
      </c>
      <c r="H72" s="6" t="s">
        <v>1062</v>
      </c>
      <c r="I72" s="6" t="s">
        <v>1063</v>
      </c>
    </row>
    <row r="73" customFormat="false" ht="23.85" hidden="false" customHeight="false" outlineLevel="0" collapsed="false">
      <c r="A73" s="6" t="n">
        <v>242</v>
      </c>
      <c r="B73" s="7" t="n">
        <f aca="false">INDEX('Event Log'!$B$2:$B$194,MATCH(A73,'Event Log'!$A$2:$A$194,0))</f>
        <v>45329</v>
      </c>
      <c r="C73" s="6" t="str">
        <f aca="false">INDEX('Event Log'!$C$2:$C$194,MATCH(A73,'Event Log'!$A$2:$A$194,0))</f>
        <v>US</v>
      </c>
      <c r="D73" s="6" t="str">
        <f aca="false">INDEX('Event Log'!$D$2:$D$194,MATCH(A73,'Event Log'!$A$2:$A$194,0))</f>
        <v>Assassination strike</v>
      </c>
      <c r="E73" s="6" t="str">
        <f aca="false">INDEX('Event Log'!$F$2:$F$194,MATCH(A73,'Event Log'!$A$2:$A$194,0))</f>
        <v>US drone strike in Baghdad kills a senior Kataib Hezbollah commander</v>
      </c>
      <c r="F73" s="6" t="s">
        <v>892</v>
      </c>
      <c r="G73" s="11" t="s">
        <v>896</v>
      </c>
      <c r="H73" s="6" t="s">
        <v>1064</v>
      </c>
      <c r="I73" s="6" t="s">
        <v>992</v>
      </c>
    </row>
    <row r="74" customFormat="false" ht="23.85" hidden="false" customHeight="false" outlineLevel="0" collapsed="false">
      <c r="A74" s="6" t="n">
        <v>244</v>
      </c>
      <c r="B74" s="7" t="n">
        <f aca="false">INDEX('Event Log'!$B$2:$B$194,MATCH(A74,'Event Log'!$A$2:$A$194,0))</f>
        <v>45400</v>
      </c>
      <c r="C74" s="6" t="str">
        <f aca="false">INDEX('Event Log'!$C$2:$C$194,MATCH(A74,'Event Log'!$A$2:$A$194,0))</f>
        <v>US</v>
      </c>
      <c r="D74" s="6" t="str">
        <f aca="false">INDEX('Event Log'!$D$2:$D$194,MATCH(A74,'Event Log'!$A$2:$A$194,0))</f>
        <v>Sanctions response</v>
      </c>
      <c r="E74" s="6" t="str">
        <f aca="false">INDEX('Event Log'!$F$2:$F$194,MATCH(A74,'Event Log'!$A$2:$A$194,0))</f>
        <v>US and UK sanction Iran's drone program after the attack on Israel</v>
      </c>
      <c r="F74" s="6" t="s">
        <v>903</v>
      </c>
      <c r="G74" s="11" t="s">
        <v>896</v>
      </c>
      <c r="H74" s="6" t="s">
        <v>1065</v>
      </c>
      <c r="I74" s="6" t="s">
        <v>992</v>
      </c>
    </row>
    <row r="75" customFormat="false" ht="23.85" hidden="false" customHeight="false" outlineLevel="0" collapsed="false">
      <c r="A75" s="6" t="n">
        <v>247</v>
      </c>
      <c r="B75" s="7" t="n">
        <f aca="false">INDEX('Event Log'!$B$2:$B$194,MATCH(A75,'Event Log'!$A$2:$A$194,0))</f>
        <v>45692</v>
      </c>
      <c r="C75" s="6" t="str">
        <f aca="false">INDEX('Event Log'!$C$2:$C$194,MATCH(A75,'Event Log'!$A$2:$A$194,0))</f>
        <v>US</v>
      </c>
      <c r="D75" s="6" t="str">
        <f aca="false">INDEX('Event Log'!$D$2:$D$194,MATCH(A75,'Event Log'!$A$2:$A$194,0))</f>
        <v>Sanctions response (maximum pressure)</v>
      </c>
      <c r="E75" s="6" t="str">
        <f aca="false">INDEX('Event Log'!$F$2:$F$194,MATCH(A75,'Event Log'!$A$2:$A$194,0))</f>
        <v>Trump signs a memorandum restoring 'maximum pressure' on Iran, aiming to drive its oil exports to zero</v>
      </c>
      <c r="F75" s="6" t="s">
        <v>903</v>
      </c>
      <c r="G75" s="11" t="s">
        <v>896</v>
      </c>
      <c r="H75" s="6" t="s">
        <v>1066</v>
      </c>
      <c r="I75" s="6" t="s">
        <v>992</v>
      </c>
    </row>
    <row r="76" customFormat="false" ht="23.85" hidden="false" customHeight="false" outlineLevel="0" collapsed="false">
      <c r="A76" s="6" t="n">
        <v>255</v>
      </c>
      <c r="B76" s="7" t="n">
        <f aca="false">INDEX('Event Log'!$B$2:$B$194,MATCH(A76,'Event Log'!$A$2:$A$194,0))</f>
        <v>45830</v>
      </c>
      <c r="C76" s="6" t="str">
        <f aca="false">INDEX('Event Log'!$C$2:$C$194,MATCH(A76,'Event Log'!$A$2:$A$194,0))</f>
        <v>US</v>
      </c>
      <c r="D76" s="6" t="str">
        <f aca="false">INDEX('Event Log'!$D$2:$D$194,MATCH(A76,'Event Log'!$A$2:$A$194,0))</f>
        <v>Strike (nuclear sites)</v>
      </c>
      <c r="E76" s="6" t="str">
        <f aca="false">INDEX('Event Log'!$F$2:$F$194,MATCH(A76,'Event Log'!$A$2:$A$194,0))</f>
        <v>Operation Midnight Hammer: US bombers and missiles strike Iran's Fordow, Natanz and Isfahan nuclear sites</v>
      </c>
      <c r="F76" s="6" t="s">
        <v>895</v>
      </c>
      <c r="G76" s="8" t="s">
        <v>976</v>
      </c>
      <c r="H76" s="6" t="s">
        <v>1067</v>
      </c>
      <c r="I76" s="6" t="s">
        <v>1068</v>
      </c>
    </row>
    <row r="77" customFormat="false" ht="23.85" hidden="false" customHeight="false" outlineLevel="0" collapsed="false">
      <c r="A77" s="6" t="n">
        <v>258</v>
      </c>
      <c r="B77" s="7" t="n">
        <f aca="false">INDEX('Event Log'!$B$2:$B$194,MATCH(A77,'Event Log'!$A$2:$A$194,0))</f>
        <v>45868</v>
      </c>
      <c r="C77" s="6" t="str">
        <f aca="false">INDEX('Event Log'!$C$2:$C$194,MATCH(A77,'Event Log'!$A$2:$A$194,0))</f>
        <v>US</v>
      </c>
      <c r="D77" s="6" t="str">
        <f aca="false">INDEX('Event Log'!$D$2:$D$194,MATCH(A77,'Event Log'!$A$2:$A$194,0))</f>
        <v>Sanctions response</v>
      </c>
      <c r="E77" s="6" t="str">
        <f aca="false">INDEX('Event Log'!$F$2:$F$194,MATCH(A77,'Event Log'!$A$2:$A$194,0))</f>
        <v>Largest US sanctions on Iran since 2018 target a shipping network linked to the son of senior official Ali Shamkhani</v>
      </c>
      <c r="F77" s="6" t="s">
        <v>903</v>
      </c>
      <c r="G77" s="11" t="s">
        <v>896</v>
      </c>
      <c r="H77" s="6" t="s">
        <v>1069</v>
      </c>
      <c r="I77" s="6" t="s">
        <v>992</v>
      </c>
    </row>
    <row r="78" customFormat="false" ht="57.45" hidden="false" customHeight="false" outlineLevel="0" collapsed="false">
      <c r="A78" s="6" t="n">
        <v>264</v>
      </c>
      <c r="B78" s="7" t="n">
        <f aca="false">INDEX('Event Log'!$B$2:$B$194,MATCH(A78,'Event Log'!$A$2:$A$194,0))</f>
        <v>43874</v>
      </c>
      <c r="C78" s="6" t="str">
        <f aca="false">INDEX('Event Log'!$C$2:$C$194,MATCH(A78,'Event Log'!$A$2:$A$194,0))</f>
        <v>US</v>
      </c>
      <c r="D78" s="6" t="str">
        <f aca="false">INDEX('Event Log'!$D$2:$D$194,MATCH(A78,'Event Log'!$A$2:$A$194,0))</f>
        <v>Seizure (weapons shipment)</v>
      </c>
      <c r="E78" s="6" t="str">
        <f aca="false">INDEX('Event Log'!$F$2:$F$194,MATCH(A78,'Event Log'!$A$2:$A$194,0))</f>
        <v>USS Normandy's boarding team seizes 150 Iranian-made Dehlavieh anti-tank missiles, 3 Iranian-made surface-to-air missiles and other parts from a dhow (seized Feb 9, announced Feb 13; logged on the announcement date)</v>
      </c>
      <c r="F78" s="6" t="s">
        <v>903</v>
      </c>
      <c r="G78" s="11" t="s">
        <v>896</v>
      </c>
      <c r="H78" s="6" t="s">
        <v>1070</v>
      </c>
      <c r="I78" s="6" t="s">
        <v>992</v>
      </c>
    </row>
    <row r="79" customFormat="false" ht="57.45" hidden="false" customHeight="false" outlineLevel="0" collapsed="false">
      <c r="A79" s="6" t="n">
        <v>265</v>
      </c>
      <c r="B79" s="7" t="n">
        <f aca="false">INDEX('Event Log'!$B$2:$B$194,MATCH(A79,'Event Log'!$A$2:$A$194,0))</f>
        <v>44936</v>
      </c>
      <c r="C79" s="6" t="str">
        <f aca="false">INDEX('Event Log'!$C$2:$C$194,MATCH(A79,'Event Log'!$A$2:$A$194,0))</f>
        <v>US</v>
      </c>
      <c r="D79" s="6" t="str">
        <f aca="false">INDEX('Event Log'!$D$2:$D$194,MATCH(A79,'Event Log'!$A$2:$A$194,0))</f>
        <v>Seizure (weapons shipment)</v>
      </c>
      <c r="E79" s="6" t="str">
        <f aca="false">INDEX('Event Log'!$F$2:$F$194,MATCH(A79,'Event Log'!$A$2:$A$194,0))</f>
        <v>US Navy patrol ships intercept a fishing vessel carrying 2,116 AK-47s on a route from Iran to Yemen (seized Jan 6, announced Jan 10; logged on the announcement date)</v>
      </c>
      <c r="F79" s="6" t="s">
        <v>903</v>
      </c>
      <c r="G79" s="11" t="s">
        <v>896</v>
      </c>
      <c r="H79" s="6" t="s">
        <v>1071</v>
      </c>
      <c r="I79" s="6" t="s">
        <v>992</v>
      </c>
    </row>
    <row r="81" customFormat="false" ht="15" hidden="false" customHeight="false" outlineLevel="0" collapsed="false">
      <c r="A81" s="14" t="s">
        <v>1072</v>
      </c>
    </row>
    <row r="82" customFormat="false" ht="15" hidden="false" customHeight="true" outlineLevel="0" collapsed="false">
      <c r="A82" s="18" t="s">
        <v>1073</v>
      </c>
      <c r="B82" s="18"/>
      <c r="C82" s="18"/>
      <c r="D82" s="18"/>
      <c r="E82" s="18"/>
      <c r="F82" s="18"/>
      <c r="G82" s="18"/>
      <c r="H82" s="18"/>
      <c r="I82" s="18"/>
      <c r="J82" s="18"/>
      <c r="K82" s="18"/>
    </row>
    <row r="83" customFormat="false" ht="15" hidden="false" customHeight="true" outlineLevel="0" collapsed="false">
      <c r="A83" s="18" t="s">
        <v>1074</v>
      </c>
      <c r="B83" s="18"/>
      <c r="C83" s="18"/>
      <c r="D83" s="18"/>
      <c r="E83" s="18"/>
      <c r="F83" s="18"/>
      <c r="G83" s="18"/>
      <c r="H83" s="18"/>
      <c r="I83" s="18"/>
      <c r="J83" s="18"/>
      <c r="K83" s="18"/>
    </row>
    <row r="84" customFormat="false" ht="15" hidden="false" customHeight="true" outlineLevel="0" collapsed="false">
      <c r="A84" s="18" t="s">
        <v>1075</v>
      </c>
      <c r="B84" s="18"/>
      <c r="C84" s="18"/>
      <c r="D84" s="18"/>
      <c r="E84" s="18"/>
      <c r="F84" s="18"/>
      <c r="G84" s="18"/>
      <c r="H84" s="18"/>
      <c r="I84" s="18"/>
      <c r="J84" s="18"/>
      <c r="K84" s="18"/>
    </row>
    <row r="85" customFormat="false" ht="15" hidden="false" customHeight="true" outlineLevel="0" collapsed="false">
      <c r="A85" s="18" t="s">
        <v>1076</v>
      </c>
      <c r="B85" s="18"/>
      <c r="C85" s="18"/>
      <c r="D85" s="18"/>
      <c r="E85" s="18"/>
      <c r="F85" s="18"/>
      <c r="G85" s="18"/>
      <c r="H85" s="18"/>
      <c r="I85" s="18"/>
      <c r="J85" s="18"/>
      <c r="K85" s="18"/>
    </row>
    <row r="86" customFormat="false" ht="15" hidden="false" customHeight="true" outlineLevel="0" collapsed="false">
      <c r="A86" s="18" t="s">
        <v>1077</v>
      </c>
      <c r="B86" s="18"/>
      <c r="C86" s="18"/>
      <c r="D86" s="18"/>
      <c r="E86" s="18"/>
      <c r="F86" s="18"/>
      <c r="G86" s="18"/>
      <c r="H86" s="18"/>
      <c r="I86" s="18"/>
      <c r="J86" s="18"/>
      <c r="K86" s="18"/>
    </row>
    <row r="87" customFormat="false" ht="15" hidden="false" customHeight="true" outlineLevel="0" collapsed="false">
      <c r="A87" s="18" t="s">
        <v>1078</v>
      </c>
      <c r="B87" s="18"/>
      <c r="C87" s="18"/>
      <c r="D87" s="18"/>
      <c r="E87" s="18"/>
      <c r="F87" s="18"/>
      <c r="G87" s="18"/>
      <c r="H87" s="18"/>
      <c r="I87" s="18"/>
      <c r="J87" s="18"/>
      <c r="K87" s="18"/>
    </row>
    <row r="88" customFormat="false" ht="15" hidden="false" customHeight="true" outlineLevel="0" collapsed="false">
      <c r="A88" s="18" t="s">
        <v>1079</v>
      </c>
      <c r="B88" s="18"/>
      <c r="C88" s="18"/>
      <c r="D88" s="18"/>
      <c r="E88" s="18"/>
      <c r="F88" s="18"/>
      <c r="G88" s="18"/>
      <c r="H88" s="18"/>
      <c r="I88" s="18"/>
      <c r="J88" s="18"/>
      <c r="K88" s="18"/>
    </row>
    <row r="89" customFormat="false" ht="15" hidden="false" customHeight="true" outlineLevel="0" collapsed="false">
      <c r="A89" s="18" t="s">
        <v>1080</v>
      </c>
      <c r="B89" s="18"/>
      <c r="C89" s="18"/>
      <c r="D89" s="18"/>
      <c r="E89" s="18"/>
      <c r="F89" s="18"/>
      <c r="G89" s="18"/>
      <c r="H89" s="18"/>
      <c r="I89" s="18"/>
      <c r="J89" s="18"/>
      <c r="K89" s="18"/>
    </row>
    <row r="90" customFormat="false" ht="15" hidden="false" customHeight="true" outlineLevel="0" collapsed="false">
      <c r="A90" s="18" t="s">
        <v>1081</v>
      </c>
      <c r="B90" s="18"/>
      <c r="C90" s="18"/>
      <c r="D90" s="18"/>
      <c r="E90" s="18"/>
      <c r="F90" s="18"/>
      <c r="G90" s="18"/>
      <c r="H90" s="18"/>
      <c r="I90" s="18"/>
      <c r="J90" s="18"/>
      <c r="K90" s="18"/>
    </row>
    <row r="91" customFormat="false" ht="15" hidden="false" customHeight="true" outlineLevel="0" collapsed="false">
      <c r="A91" s="18" t="s">
        <v>1082</v>
      </c>
      <c r="B91" s="18"/>
      <c r="C91" s="18"/>
      <c r="D91" s="18"/>
      <c r="E91" s="18"/>
      <c r="F91" s="18"/>
      <c r="G91" s="18"/>
      <c r="H91" s="18"/>
      <c r="I91" s="18"/>
      <c r="J91" s="18"/>
      <c r="K91" s="18"/>
    </row>
  </sheetData>
  <mergeCells count="23">
    <mergeCell ref="A1:K1"/>
    <mergeCell ref="A2:K2"/>
    <mergeCell ref="A10:K10"/>
    <mergeCell ref="A11:K11"/>
    <mergeCell ref="A12:K12"/>
    <mergeCell ref="A13:K13"/>
    <mergeCell ref="A14:K14"/>
    <mergeCell ref="A15:K15"/>
    <mergeCell ref="A16:K16"/>
    <mergeCell ref="A17:K17"/>
    <mergeCell ref="A18:K18"/>
    <mergeCell ref="A19:K19"/>
    <mergeCell ref="A20:K20"/>
    <mergeCell ref="A82:K82"/>
    <mergeCell ref="A83:K83"/>
    <mergeCell ref="A84:K84"/>
    <mergeCell ref="A85:K85"/>
    <mergeCell ref="A86:K86"/>
    <mergeCell ref="A87:K87"/>
    <mergeCell ref="A88:K88"/>
    <mergeCell ref="A89:K89"/>
    <mergeCell ref="A90:K90"/>
    <mergeCell ref="A91:K9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8"/>
    <col collapsed="false" customWidth="true" hidden="false" outlineLevel="0" max="4" min="3" style="0" width="40"/>
    <col collapsed="false" customWidth="true" hidden="false" outlineLevel="0" max="5" min="5" style="0" width="34"/>
    <col collapsed="false" customWidth="true" hidden="false" outlineLevel="0" max="6" min="6" style="0" width="28"/>
    <col collapsed="false" customWidth="true" hidden="false" outlineLevel="0" max="7" min="7" style="0" width="30"/>
    <col collapsed="false" customWidth="true" hidden="false" outlineLevel="0" max="9" min="8" style="0" width="40"/>
    <col collapsed="false" customWidth="true" hidden="false" outlineLevel="0" max="10" min="10" style="0" width="14"/>
    <col collapsed="false" customWidth="true" hidden="false" outlineLevel="0" max="11" min="11" style="0" width="11"/>
    <col collapsed="false" customWidth="true" hidden="false" outlineLevel="0" max="12" min="12" style="0" width="22"/>
    <col collapsed="false" customWidth="true" hidden="false" outlineLevel="0" max="13" min="13" style="0" width="50"/>
  </cols>
  <sheetData>
    <row r="1" customFormat="false" ht="16.15" hidden="false" customHeight="false" outlineLevel="0" collapsed="false">
      <c r="A1" s="24" t="s">
        <v>1083</v>
      </c>
    </row>
    <row r="2" customFormat="false" ht="15" hidden="false" customHeight="false" outlineLevel="0" collapsed="false">
      <c r="A2" s="16" t="s">
        <v>1084</v>
      </c>
    </row>
    <row r="3" customFormat="false" ht="15" hidden="false" customHeight="false" outlineLevel="0" collapsed="false">
      <c r="A3" s="16" t="s">
        <v>1085</v>
      </c>
    </row>
    <row r="4" customFormat="false" ht="15" hidden="false" customHeight="false" outlineLevel="0" collapsed="false">
      <c r="A4" s="14" t="s">
        <v>1086</v>
      </c>
    </row>
    <row r="5" customFormat="false" ht="15" hidden="false" customHeight="false" outlineLevel="0" collapsed="false">
      <c r="A5" s="14" t="s">
        <v>1087</v>
      </c>
    </row>
    <row r="6" customFormat="false" ht="23.85" hidden="false" customHeight="false" outlineLevel="0" collapsed="false">
      <c r="A6" s="25" t="s">
        <v>1088</v>
      </c>
      <c r="B6" s="25" t="s">
        <v>1089</v>
      </c>
      <c r="C6" s="25" t="s">
        <v>1090</v>
      </c>
      <c r="D6" s="25" t="s">
        <v>1091</v>
      </c>
      <c r="E6" s="25" t="s">
        <v>1092</v>
      </c>
      <c r="F6" s="25" t="s">
        <v>1093</v>
      </c>
      <c r="G6" s="25" t="s">
        <v>1094</v>
      </c>
      <c r="H6" s="25" t="s">
        <v>1095</v>
      </c>
      <c r="I6" s="25" t="s">
        <v>1096</v>
      </c>
      <c r="J6" s="25" t="s">
        <v>1097</v>
      </c>
    </row>
    <row r="7" customFormat="false" ht="150" hidden="false" customHeight="true" outlineLevel="0" collapsed="false">
      <c r="A7" s="6" t="s">
        <v>1098</v>
      </c>
      <c r="B7" s="6" t="s">
        <v>1099</v>
      </c>
      <c r="C7" s="6" t="s">
        <v>1100</v>
      </c>
      <c r="D7" s="6" t="s">
        <v>1101</v>
      </c>
      <c r="E7" s="6" t="s">
        <v>1102</v>
      </c>
      <c r="F7" s="6" t="s">
        <v>1103</v>
      </c>
      <c r="G7" s="6" t="s">
        <v>1104</v>
      </c>
      <c r="H7" s="26" t="s">
        <v>1105</v>
      </c>
      <c r="I7" s="26" t="s">
        <v>1106</v>
      </c>
      <c r="J7" s="12" t="s">
        <v>1107</v>
      </c>
    </row>
    <row r="8" customFormat="false" ht="150" hidden="false" customHeight="true" outlineLevel="0" collapsed="false">
      <c r="A8" s="6" t="s">
        <v>1108</v>
      </c>
      <c r="B8" s="6" t="s">
        <v>1109</v>
      </c>
      <c r="C8" s="6" t="s">
        <v>1110</v>
      </c>
      <c r="D8" s="6" t="s">
        <v>1111</v>
      </c>
      <c r="E8" s="6" t="s">
        <v>1112</v>
      </c>
      <c r="F8" s="6" t="s">
        <v>1113</v>
      </c>
      <c r="G8" s="6" t="s">
        <v>1114</v>
      </c>
      <c r="H8" s="26" t="s">
        <v>1115</v>
      </c>
      <c r="I8" s="26" t="s">
        <v>1116</v>
      </c>
      <c r="J8" s="10" t="s">
        <v>1117</v>
      </c>
    </row>
    <row r="9" customFormat="false" ht="150" hidden="false" customHeight="true" outlineLevel="0" collapsed="false">
      <c r="A9" s="6" t="s">
        <v>1118</v>
      </c>
      <c r="B9" s="6" t="s">
        <v>1119</v>
      </c>
      <c r="C9" s="6" t="s">
        <v>1120</v>
      </c>
      <c r="D9" s="6" t="s">
        <v>1121</v>
      </c>
      <c r="E9" s="6" t="s">
        <v>1112</v>
      </c>
      <c r="F9" s="6" t="s">
        <v>1122</v>
      </c>
      <c r="G9" s="6" t="s">
        <v>1123</v>
      </c>
      <c r="H9" s="26" t="s">
        <v>1124</v>
      </c>
      <c r="I9" s="26" t="s">
        <v>1125</v>
      </c>
      <c r="J9" s="8" t="s">
        <v>1126</v>
      </c>
    </row>
    <row r="10" customFormat="false" ht="150" hidden="false" customHeight="true" outlineLevel="0" collapsed="false">
      <c r="A10" s="6" t="s">
        <v>1127</v>
      </c>
      <c r="B10" s="6" t="s">
        <v>1128</v>
      </c>
      <c r="C10" s="6" t="s">
        <v>1129</v>
      </c>
      <c r="D10" s="6" t="s">
        <v>1130</v>
      </c>
      <c r="E10" s="6" t="s">
        <v>1131</v>
      </c>
      <c r="F10" s="6" t="s">
        <v>1132</v>
      </c>
      <c r="G10" s="6" t="s">
        <v>1133</v>
      </c>
      <c r="H10" s="26" t="s">
        <v>1134</v>
      </c>
      <c r="I10" s="26" t="s">
        <v>1135</v>
      </c>
      <c r="J10" s="10" t="s">
        <v>1136</v>
      </c>
    </row>
    <row r="11" customFormat="false" ht="150" hidden="false" customHeight="true" outlineLevel="0" collapsed="false">
      <c r="A11" s="6" t="s">
        <v>1137</v>
      </c>
      <c r="B11" s="6" t="s">
        <v>1138</v>
      </c>
      <c r="C11" s="6" t="s">
        <v>1139</v>
      </c>
      <c r="D11" s="6" t="s">
        <v>1140</v>
      </c>
      <c r="E11" s="6" t="s">
        <v>1141</v>
      </c>
      <c r="F11" s="6" t="s">
        <v>1142</v>
      </c>
      <c r="G11" s="6" t="s">
        <v>1143</v>
      </c>
      <c r="H11" s="26" t="s">
        <v>1144</v>
      </c>
      <c r="I11" s="26" t="s">
        <v>1145</v>
      </c>
      <c r="J11" s="11" t="s">
        <v>1146</v>
      </c>
    </row>
    <row r="12" customFormat="false" ht="150" hidden="false" customHeight="true" outlineLevel="0" collapsed="false">
      <c r="A12" s="6" t="s">
        <v>1147</v>
      </c>
      <c r="B12" s="6" t="s">
        <v>1148</v>
      </c>
      <c r="C12" s="6" t="s">
        <v>1149</v>
      </c>
      <c r="D12" s="6" t="s">
        <v>1150</v>
      </c>
      <c r="E12" s="6" t="s">
        <v>1151</v>
      </c>
      <c r="F12" s="6" t="s">
        <v>1152</v>
      </c>
      <c r="G12" s="6" t="s">
        <v>1153</v>
      </c>
      <c r="H12" s="26" t="s">
        <v>1154</v>
      </c>
      <c r="I12" s="26" t="s">
        <v>1155</v>
      </c>
      <c r="J12" s="8" t="s">
        <v>1126</v>
      </c>
    </row>
    <row r="13" customFormat="false" ht="150" hidden="false" customHeight="true" outlineLevel="0" collapsed="false">
      <c r="A13" s="6" t="s">
        <v>1156</v>
      </c>
      <c r="B13" s="6" t="s">
        <v>1157</v>
      </c>
      <c r="C13" s="6" t="s">
        <v>1158</v>
      </c>
      <c r="D13" s="6" t="s">
        <v>1159</v>
      </c>
      <c r="E13" s="6" t="s">
        <v>1160</v>
      </c>
      <c r="F13" s="6" t="s">
        <v>1161</v>
      </c>
      <c r="G13" s="6" t="s">
        <v>1133</v>
      </c>
      <c r="H13" s="26" t="s">
        <v>1162</v>
      </c>
      <c r="I13" s="26" t="s">
        <v>1163</v>
      </c>
      <c r="J13" s="10" t="s">
        <v>1136</v>
      </c>
    </row>
    <row r="14" customFormat="false" ht="150" hidden="false" customHeight="true" outlineLevel="0" collapsed="false">
      <c r="A14" s="6" t="s">
        <v>1164</v>
      </c>
      <c r="B14" s="6" t="s">
        <v>1165</v>
      </c>
      <c r="C14" s="6" t="s">
        <v>1110</v>
      </c>
      <c r="D14" s="6" t="s">
        <v>1166</v>
      </c>
      <c r="E14" s="6" t="s">
        <v>1112</v>
      </c>
      <c r="F14" s="6" t="s">
        <v>1167</v>
      </c>
      <c r="G14" s="6" t="s">
        <v>1168</v>
      </c>
      <c r="H14" s="26" t="s">
        <v>1169</v>
      </c>
      <c r="I14" s="26" t="s">
        <v>1170</v>
      </c>
      <c r="J14" s="10" t="s">
        <v>1171</v>
      </c>
    </row>
    <row r="16" customFormat="false" ht="15" hidden="false" customHeight="false" outlineLevel="0" collapsed="false">
      <c r="A16" s="27" t="s">
        <v>1172</v>
      </c>
    </row>
    <row r="18" customFormat="false" ht="60" hidden="false" customHeight="true" outlineLevel="0" collapsed="false">
      <c r="A18" s="25" t="s">
        <v>1088</v>
      </c>
      <c r="B18" s="25" t="s">
        <v>1089</v>
      </c>
      <c r="C18" s="25" t="s">
        <v>1173</v>
      </c>
      <c r="D18" s="25" t="s">
        <v>1174</v>
      </c>
      <c r="E18" s="25" t="s">
        <v>1175</v>
      </c>
      <c r="F18" s="25" t="s">
        <v>1176</v>
      </c>
      <c r="G18" s="25" t="s">
        <v>1177</v>
      </c>
      <c r="H18" s="25" t="s">
        <v>1178</v>
      </c>
      <c r="I18" s="25" t="s">
        <v>1179</v>
      </c>
      <c r="J18" s="25" t="s">
        <v>1097</v>
      </c>
      <c r="K18" s="25" t="s">
        <v>1180</v>
      </c>
      <c r="L18" s="25" t="s">
        <v>1181</v>
      </c>
      <c r="M18" s="25" t="s">
        <v>1182</v>
      </c>
    </row>
    <row r="19" customFormat="false" ht="46.25" hidden="false" customHeight="false" outlineLevel="0" collapsed="false">
      <c r="A19" s="6" t="s">
        <v>1098</v>
      </c>
      <c r="B19" s="6" t="s">
        <v>1099</v>
      </c>
      <c r="C19" s="6" t="s">
        <v>1183</v>
      </c>
      <c r="D19" s="6"/>
      <c r="E19" s="6"/>
      <c r="F19" s="6" t="s">
        <v>1183</v>
      </c>
      <c r="G19" s="6" t="s">
        <v>1183</v>
      </c>
      <c r="H19" s="6"/>
      <c r="I19" s="6"/>
      <c r="J19" s="12" t="s">
        <v>1107</v>
      </c>
      <c r="K19" s="6"/>
      <c r="L19" s="6"/>
      <c r="M19" s="6" t="s">
        <v>1184</v>
      </c>
    </row>
    <row r="20" customFormat="false" ht="57.45" hidden="false" customHeight="false" outlineLevel="0" collapsed="false">
      <c r="A20" s="6" t="s">
        <v>1108</v>
      </c>
      <c r="B20" s="6" t="s">
        <v>1109</v>
      </c>
      <c r="C20" s="6" t="s">
        <v>1183</v>
      </c>
      <c r="D20" s="6"/>
      <c r="E20" s="6"/>
      <c r="F20" s="6" t="s">
        <v>1183</v>
      </c>
      <c r="G20" s="6" t="s">
        <v>1183</v>
      </c>
      <c r="H20" s="6"/>
      <c r="I20" s="6"/>
      <c r="J20" s="12" t="s">
        <v>1107</v>
      </c>
      <c r="K20" s="6"/>
      <c r="L20" s="6"/>
      <c r="M20" s="6" t="s">
        <v>1185</v>
      </c>
    </row>
    <row r="21" customFormat="false" ht="46.25" hidden="false" customHeight="false" outlineLevel="0" collapsed="false">
      <c r="A21" s="6" t="s">
        <v>1118</v>
      </c>
      <c r="B21" s="6" t="s">
        <v>1119</v>
      </c>
      <c r="C21" s="6" t="s">
        <v>1186</v>
      </c>
      <c r="D21" s="6" t="s">
        <v>1187</v>
      </c>
      <c r="E21" s="6" t="s">
        <v>1188</v>
      </c>
      <c r="F21" s="6" t="s">
        <v>1189</v>
      </c>
      <c r="G21" s="6" t="s">
        <v>1189</v>
      </c>
      <c r="H21" s="6" t="s">
        <v>1190</v>
      </c>
      <c r="I21" s="6" t="s">
        <v>1191</v>
      </c>
      <c r="J21" s="8" t="s">
        <v>1126</v>
      </c>
      <c r="K21" s="6" t="s">
        <v>1192</v>
      </c>
      <c r="L21" s="6" t="s">
        <v>1193</v>
      </c>
      <c r="M21" s="6" t="s">
        <v>1194</v>
      </c>
    </row>
    <row r="22" customFormat="false" ht="91" hidden="false" customHeight="false" outlineLevel="0" collapsed="false">
      <c r="A22" s="6" t="s">
        <v>1127</v>
      </c>
      <c r="B22" s="6" t="s">
        <v>1128</v>
      </c>
      <c r="C22" s="6" t="s">
        <v>1195</v>
      </c>
      <c r="D22" s="6" t="s">
        <v>1196</v>
      </c>
      <c r="E22" s="6" t="s">
        <v>1197</v>
      </c>
      <c r="F22" s="6" t="s">
        <v>1188</v>
      </c>
      <c r="G22" s="6" t="s">
        <v>1188</v>
      </c>
      <c r="H22" s="6" t="s">
        <v>1198</v>
      </c>
      <c r="I22" s="6" t="s">
        <v>1199</v>
      </c>
      <c r="J22" s="10" t="s">
        <v>1136</v>
      </c>
      <c r="K22" s="6" t="s">
        <v>1200</v>
      </c>
      <c r="L22" s="6" t="s">
        <v>1201</v>
      </c>
      <c r="M22" s="6" t="s">
        <v>1202</v>
      </c>
    </row>
    <row r="23" customFormat="false" ht="23.85" hidden="false" customHeight="false" outlineLevel="0" collapsed="false">
      <c r="A23" s="6" t="s">
        <v>1137</v>
      </c>
      <c r="B23" s="6" t="s">
        <v>1138</v>
      </c>
      <c r="C23" s="6" t="s">
        <v>1203</v>
      </c>
      <c r="D23" s="6" t="s">
        <v>1204</v>
      </c>
      <c r="E23" s="6" t="s">
        <v>1197</v>
      </c>
      <c r="F23" s="6" t="s">
        <v>1205</v>
      </c>
      <c r="G23" s="6" t="s">
        <v>1206</v>
      </c>
      <c r="H23" s="6" t="s">
        <v>1198</v>
      </c>
      <c r="I23" s="6" t="s">
        <v>1207</v>
      </c>
      <c r="J23" s="11" t="s">
        <v>1146</v>
      </c>
      <c r="K23" s="6" t="s">
        <v>1208</v>
      </c>
      <c r="L23" s="6" t="s">
        <v>1209</v>
      </c>
      <c r="M23" s="6" t="s">
        <v>1210</v>
      </c>
    </row>
    <row r="24" customFormat="false" ht="35.05" hidden="false" customHeight="false" outlineLevel="0" collapsed="false">
      <c r="A24" s="6" t="s">
        <v>1147</v>
      </c>
      <c r="B24" s="6" t="s">
        <v>1148</v>
      </c>
      <c r="C24" s="6" t="s">
        <v>1211</v>
      </c>
      <c r="D24" s="6" t="s">
        <v>1212</v>
      </c>
      <c r="E24" s="6" t="s">
        <v>1197</v>
      </c>
      <c r="F24" s="6" t="s">
        <v>1213</v>
      </c>
      <c r="G24" s="6" t="s">
        <v>1214</v>
      </c>
      <c r="H24" s="6" t="s">
        <v>1198</v>
      </c>
      <c r="I24" s="6" t="s">
        <v>1215</v>
      </c>
      <c r="J24" s="8" t="s">
        <v>1126</v>
      </c>
      <c r="K24" s="6" t="s">
        <v>1216</v>
      </c>
      <c r="L24" s="6" t="s">
        <v>1217</v>
      </c>
      <c r="M24" s="6" t="s">
        <v>1218</v>
      </c>
    </row>
    <row r="25" customFormat="false" ht="35.05" hidden="false" customHeight="false" outlineLevel="0" collapsed="false">
      <c r="A25" s="6" t="s">
        <v>1156</v>
      </c>
      <c r="B25" s="6" t="s">
        <v>1157</v>
      </c>
      <c r="C25" s="6" t="s">
        <v>1219</v>
      </c>
      <c r="D25" s="6" t="s">
        <v>1220</v>
      </c>
      <c r="E25" s="6" t="s">
        <v>1197</v>
      </c>
      <c r="F25" s="6" t="s">
        <v>1221</v>
      </c>
      <c r="G25" s="6" t="s">
        <v>1222</v>
      </c>
      <c r="H25" s="6" t="s">
        <v>1198</v>
      </c>
      <c r="I25" s="6" t="s">
        <v>1223</v>
      </c>
      <c r="J25" s="10" t="s">
        <v>1136</v>
      </c>
      <c r="K25" s="6" t="s">
        <v>1224</v>
      </c>
      <c r="L25" s="6" t="s">
        <v>1225</v>
      </c>
      <c r="M25" s="6" t="s">
        <v>1226</v>
      </c>
    </row>
    <row r="26" customFormat="false" ht="35.05" hidden="false" customHeight="false" outlineLevel="0" collapsed="false">
      <c r="A26" s="6" t="s">
        <v>1164</v>
      </c>
      <c r="B26" s="6" t="s">
        <v>1165</v>
      </c>
      <c r="C26" s="6" t="s">
        <v>1183</v>
      </c>
      <c r="D26" s="6"/>
      <c r="E26" s="6"/>
      <c r="F26" s="6" t="s">
        <v>1183</v>
      </c>
      <c r="G26" s="6" t="s">
        <v>1183</v>
      </c>
      <c r="H26" s="6"/>
      <c r="I26" s="6"/>
      <c r="J26" s="12" t="s">
        <v>1107</v>
      </c>
      <c r="K26" s="6"/>
      <c r="L26" s="6"/>
      <c r="M26" s="6" t="s">
        <v>1227</v>
      </c>
    </row>
    <row r="28" customFormat="false" ht="15" hidden="false" customHeight="false" outlineLevel="0" collapsed="false">
      <c r="A28" s="16" t="s">
        <v>1228</v>
      </c>
    </row>
    <row r="29" customFormat="false" ht="15" hidden="false" customHeight="false" outlineLevel="0" collapsed="false">
      <c r="A29" s="16" t="s">
        <v>1229</v>
      </c>
    </row>
    <row r="30" customFormat="false" ht="15" hidden="false" customHeight="false" outlineLevel="0" collapsed="false">
      <c r="A30" s="16" t="s">
        <v>1230</v>
      </c>
    </row>
    <row r="31" customFormat="false" ht="15" hidden="false" customHeight="false" outlineLevel="0" collapsed="false">
      <c r="A31" s="16" t="s">
        <v>1231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4" min="2" style="0" width="20"/>
    <col collapsed="false" customWidth="true" hidden="false" outlineLevel="0" max="5" min="5" style="0" width="22"/>
    <col collapsed="false" customWidth="true" hidden="false" outlineLevel="0" max="6" min="6" style="0" width="45"/>
    <col collapsed="false" customWidth="true" hidden="false" outlineLevel="0" max="7" min="7" style="0" width="40"/>
  </cols>
  <sheetData>
    <row r="1" customFormat="false" ht="15" hidden="false" customHeight="false" outlineLevel="0" collapsed="false">
      <c r="A1" s="13" t="s">
        <v>1232</v>
      </c>
      <c r="B1" s="13" t="s">
        <v>1233</v>
      </c>
      <c r="C1" s="13" t="s">
        <v>1234</v>
      </c>
      <c r="D1" s="13" t="s">
        <v>1235</v>
      </c>
      <c r="E1" s="13" t="s">
        <v>1236</v>
      </c>
      <c r="F1" s="13" t="s">
        <v>1237</v>
      </c>
      <c r="G1" s="13" t="s">
        <v>891</v>
      </c>
    </row>
    <row r="2" customFormat="false" ht="15" hidden="false" customHeight="false" outlineLevel="0" collapsed="false">
      <c r="A2" s="6" t="s">
        <v>1238</v>
      </c>
      <c r="B2" s="6" t="n">
        <f aca="false">COUNTIFS('Event Log'!$C$2:$C$194,"US*",'Event Log'!$M$2:$M$194,"Kinetic",'Event Log'!$B$2:$B$194,"&gt;="&amp;DATE(2026,2,1),'Event Log'!$B$2:$B$194,"&lt;="&amp;DATE(2026,2,28))+COUNTIFS('Event Log'!$C$2:$C$194,"Israel*",'Event Log'!$M$2:$M$194,"Kinetic",'Event Log'!$B$2:$B$194,"&gt;="&amp;DATE(2026,2,1),'Event Log'!$B$2:$B$194,"&lt;="&amp;DATE(2026,2,28))</f>
        <v>3</v>
      </c>
      <c r="C2" s="6" t="n">
        <f aca="false">COUNTIFS('Event Log'!$C$2:$C$194,"Iran*",'Event Log'!$M$2:$M$194,"Kinetic",'Event Log'!$B$2:$B$194,"&gt;="&amp;DATE(2026,2,1),'Event Log'!$B$2:$B$194,"&lt;="&amp;DATE(2026,2,28))</f>
        <v>1</v>
      </c>
      <c r="D2" s="6" t="n">
        <f aca="false">COUNTIFS('Event Log'!$M$2:$M$194,"Maritime",'Event Log'!$B$2:$B$194,"&gt;="&amp;DATE(2026,2,1),'Event Log'!$B$2:$B$194,"&lt;="&amp;DATE(2026,2,28))</f>
        <v>1</v>
      </c>
      <c r="E2" s="6" t="n">
        <f aca="false">COUNTIFS('Event Log'!$M$2:$M$194,"Diplomatic",'Event Log'!$B$2:$B$194,"&gt;="&amp;DATE(2026,2,1),'Event Log'!$B$2:$B$194,"&lt;="&amp;DATE(2026,2,28))</f>
        <v>3</v>
      </c>
      <c r="F2" s="6" t="s">
        <v>1239</v>
      </c>
      <c r="G2" s="6" t="s">
        <v>1240</v>
      </c>
    </row>
    <row r="3" customFormat="false" ht="15" hidden="false" customHeight="false" outlineLevel="0" collapsed="false">
      <c r="A3" s="6" t="s">
        <v>1241</v>
      </c>
      <c r="B3" s="6" t="n">
        <f aca="false">COUNTIFS('Event Log'!$C$2:$C$194,"US*",'Event Log'!$M$2:$M$194,"Kinetic",'Event Log'!$B$2:$B$194,"&gt;="&amp;DATE(2026,3,1),'Event Log'!$B$2:$B$194,"&lt;="&amp;DATE(2026,3,31))+COUNTIFS('Event Log'!$C$2:$C$194,"Israel*",'Event Log'!$M$2:$M$194,"Kinetic",'Event Log'!$B$2:$B$194,"&gt;="&amp;DATE(2026,3,1),'Event Log'!$B$2:$B$194,"&lt;="&amp;DATE(2026,3,31))</f>
        <v>6</v>
      </c>
      <c r="C3" s="6" t="n">
        <f aca="false">COUNTIFS('Event Log'!$C$2:$C$194,"Iran*",'Event Log'!$M$2:$M$194,"Kinetic",'Event Log'!$B$2:$B$194,"&gt;="&amp;DATE(2026,3,1),'Event Log'!$B$2:$B$194,"&lt;="&amp;DATE(2026,3,31))</f>
        <v>7</v>
      </c>
      <c r="D3" s="6" t="n">
        <f aca="false">COUNTIFS('Event Log'!$M$2:$M$194,"Maritime",'Event Log'!$B$2:$B$194,"&gt;="&amp;DATE(2026,3,1),'Event Log'!$B$2:$B$194,"&lt;="&amp;DATE(2026,3,31))</f>
        <v>2</v>
      </c>
      <c r="E3" s="6" t="n">
        <f aca="false">COUNTIFS('Event Log'!$M$2:$M$194,"Diplomatic",'Event Log'!$B$2:$B$194,"&gt;="&amp;DATE(2026,3,1),'Event Log'!$B$2:$B$194,"&lt;="&amp;DATE(2026,3,31))</f>
        <v>3</v>
      </c>
      <c r="F3" s="6" t="s">
        <v>1242</v>
      </c>
      <c r="G3" s="6" t="s">
        <v>1243</v>
      </c>
    </row>
    <row r="4" customFormat="false" ht="23.85" hidden="false" customHeight="false" outlineLevel="0" collapsed="false">
      <c r="A4" s="6" t="s">
        <v>1244</v>
      </c>
      <c r="B4" s="6" t="n">
        <f aca="false">COUNTIFS('Event Log'!$C$2:$C$194,"US*",'Event Log'!$M$2:$M$194,"Kinetic",'Event Log'!$B$2:$B$194,"&gt;="&amp;DATE(2026,4,1),'Event Log'!$B$2:$B$194,"&lt;="&amp;DATE(2026,4,30))+COUNTIFS('Event Log'!$C$2:$C$194,"Israel*",'Event Log'!$M$2:$M$194,"Kinetic",'Event Log'!$B$2:$B$194,"&gt;="&amp;DATE(2026,4,1),'Event Log'!$B$2:$B$194,"&lt;="&amp;DATE(2026,4,30))</f>
        <v>2</v>
      </c>
      <c r="C4" s="6" t="n">
        <f aca="false">COUNTIFS('Event Log'!$C$2:$C$194,"Iran*",'Event Log'!$M$2:$M$194,"Kinetic",'Event Log'!$B$2:$B$194,"&gt;="&amp;DATE(2026,4,1),'Event Log'!$B$2:$B$194,"&lt;="&amp;DATE(2026,4,30))</f>
        <v>1</v>
      </c>
      <c r="D4" s="6" t="n">
        <f aca="false">COUNTIFS('Event Log'!$M$2:$M$194,"Maritime",'Event Log'!$B$2:$B$194,"&gt;="&amp;DATE(2026,4,1),'Event Log'!$B$2:$B$194,"&lt;="&amp;DATE(2026,4,30))</f>
        <v>6</v>
      </c>
      <c r="E4" s="6" t="n">
        <f aca="false">COUNTIFS('Event Log'!$M$2:$M$194,"Diplomatic",'Event Log'!$B$2:$B$194,"&gt;="&amp;DATE(2026,4,1),'Event Log'!$B$2:$B$194,"&lt;="&amp;DATE(2026,4,30))</f>
        <v>4</v>
      </c>
      <c r="F4" s="6" t="s">
        <v>1245</v>
      </c>
      <c r="G4" s="6" t="s">
        <v>1246</v>
      </c>
    </row>
    <row r="5" customFormat="false" ht="23.85" hidden="false" customHeight="false" outlineLevel="0" collapsed="false">
      <c r="A5" s="6" t="s">
        <v>1247</v>
      </c>
      <c r="B5" s="6" t="n">
        <f aca="false">COUNTIFS('Event Log'!$C$2:$C$194,"US*",'Event Log'!$M$2:$M$194,"Kinetic",'Event Log'!$B$2:$B$194,"&gt;="&amp;DATE(2026,5,1),'Event Log'!$B$2:$B$194,"&lt;="&amp;DATE(2026,5,31))+COUNTIFS('Event Log'!$C$2:$C$194,"Israel*",'Event Log'!$M$2:$M$194,"Kinetic",'Event Log'!$B$2:$B$194,"&gt;="&amp;DATE(2026,5,1),'Event Log'!$B$2:$B$194,"&lt;="&amp;DATE(2026,5,31))</f>
        <v>2</v>
      </c>
      <c r="C5" s="6" t="n">
        <f aca="false">COUNTIFS('Event Log'!$C$2:$C$194,"Iran*",'Event Log'!$M$2:$M$194,"Kinetic",'Event Log'!$B$2:$B$194,"&gt;="&amp;DATE(2026,5,1),'Event Log'!$B$2:$B$194,"&lt;="&amp;DATE(2026,5,31))</f>
        <v>2</v>
      </c>
      <c r="D5" s="6" t="n">
        <f aca="false">COUNTIFS('Event Log'!$M$2:$M$194,"Maritime",'Event Log'!$B$2:$B$194,"&gt;="&amp;DATE(2026,5,1),'Event Log'!$B$2:$B$194,"&lt;="&amp;DATE(2026,5,31))</f>
        <v>0</v>
      </c>
      <c r="E5" s="6" t="n">
        <f aca="false">COUNTIFS('Event Log'!$M$2:$M$194,"Diplomatic",'Event Log'!$B$2:$B$194,"&gt;="&amp;DATE(2026,5,1),'Event Log'!$B$2:$B$194,"&lt;="&amp;DATE(2026,5,31))</f>
        <v>0</v>
      </c>
      <c r="F5" s="6" t="s">
        <v>1248</v>
      </c>
      <c r="G5" s="6" t="s">
        <v>1249</v>
      </c>
    </row>
    <row r="6" customFormat="false" ht="15" hidden="false" customHeight="false" outlineLevel="0" collapsed="false">
      <c r="A6" s="6" t="s">
        <v>1250</v>
      </c>
      <c r="B6" s="6" t="n">
        <f aca="false">COUNTIFS('Event Log'!$C$2:$C$194,"US*",'Event Log'!$M$2:$M$194,"Kinetic",'Event Log'!$B$2:$B$194,"&gt;="&amp;DATE(2026,6,1),'Event Log'!$B$2:$B$194,"&lt;="&amp;DATE(2026,6,30))+COUNTIFS('Event Log'!$C$2:$C$194,"Israel*",'Event Log'!$M$2:$M$194,"Kinetic",'Event Log'!$B$2:$B$194,"&gt;="&amp;DATE(2026,6,1),'Event Log'!$B$2:$B$194,"&lt;="&amp;DATE(2026,6,30))</f>
        <v>4</v>
      </c>
      <c r="C6" s="6" t="n">
        <f aca="false">COUNTIFS('Event Log'!$C$2:$C$194,"Iran*",'Event Log'!$M$2:$M$194,"Kinetic",'Event Log'!$B$2:$B$194,"&gt;="&amp;DATE(2026,6,1),'Event Log'!$B$2:$B$194,"&lt;="&amp;DATE(2026,6,30))</f>
        <v>5</v>
      </c>
      <c r="D6" s="6" t="n">
        <f aca="false">COUNTIFS('Event Log'!$M$2:$M$194,"Maritime",'Event Log'!$B$2:$B$194,"&gt;="&amp;DATE(2026,6,1),'Event Log'!$B$2:$B$194,"&lt;="&amp;DATE(2026,6,30))</f>
        <v>3</v>
      </c>
      <c r="E6" s="6" t="n">
        <f aca="false">COUNTIFS('Event Log'!$M$2:$M$194,"Diplomatic",'Event Log'!$B$2:$B$194,"&gt;="&amp;DATE(2026,6,1),'Event Log'!$B$2:$B$194,"&lt;="&amp;DATE(2026,6,30))</f>
        <v>3</v>
      </c>
      <c r="F6" s="6" t="s">
        <v>1251</v>
      </c>
      <c r="G6" s="6" t="s">
        <v>1252</v>
      </c>
    </row>
    <row r="7" customFormat="false" ht="15" hidden="false" customHeight="false" outlineLevel="0" collapsed="false">
      <c r="A7" s="6" t="s">
        <v>1253</v>
      </c>
      <c r="B7" s="6" t="n">
        <f aca="false">COUNTIFS('Event Log'!$C$2:$C$194,"US*",'Event Log'!$M$2:$M$194,"Kinetic",'Event Log'!$B$2:$B$194,"&gt;="&amp;DATE(2026,7,1),'Event Log'!$B$2:$B$194,"&lt;="&amp;DATE(2026,7,31))+COUNTIFS('Event Log'!$C$2:$C$194,"Israel*",'Event Log'!$M$2:$M$194,"Kinetic",'Event Log'!$B$2:$B$194,"&gt;="&amp;DATE(2026,7,1),'Event Log'!$B$2:$B$194,"&lt;="&amp;DATE(2026,7,31))</f>
        <v>1</v>
      </c>
      <c r="C7" s="6" t="n">
        <f aca="false">COUNTIFS('Event Log'!$C$2:$C$194,"Iran*",'Event Log'!$M$2:$M$194,"Kinetic",'Event Log'!$B$2:$B$194,"&gt;="&amp;DATE(2026,7,1),'Event Log'!$B$2:$B$194,"&lt;="&amp;DATE(2026,7,31))</f>
        <v>6</v>
      </c>
      <c r="D7" s="6" t="n">
        <f aca="false">COUNTIFS('Event Log'!$M$2:$M$194,"Maritime",'Event Log'!$B$2:$B$194,"&gt;="&amp;DATE(2026,7,1),'Event Log'!$B$2:$B$194,"&lt;="&amp;DATE(2026,7,31))</f>
        <v>2</v>
      </c>
      <c r="E7" s="6" t="n">
        <f aca="false">COUNTIFS('Event Log'!$M$2:$M$194,"Diplomatic",'Event Log'!$B$2:$B$194,"&gt;="&amp;DATE(2026,7,1),'Event Log'!$B$2:$B$194,"&lt;="&amp;DATE(2026,7,31))</f>
        <v>1</v>
      </c>
      <c r="F7" s="6" t="s">
        <v>1254</v>
      </c>
      <c r="G7" s="6" t="s">
        <v>1255</v>
      </c>
    </row>
    <row r="8" customFormat="false" ht="15" hidden="false" customHeight="false" outlineLevel="0" collapsed="false">
      <c r="A8" s="6" t="s">
        <v>1256</v>
      </c>
      <c r="B8" s="6" t="n">
        <f aca="false">COUNTIFS('Event Log'!$C$2:$C$194,"US*",'Event Log'!$M$2:$M$194,"Kinetic",'Event Log'!$B$2:$B$194,"&gt;="&amp;DATE(2026,8,1),'Event Log'!$B$2:$B$194,"&lt;="&amp;DATE(2026,8,31))+COUNTIFS('Event Log'!$C$2:$C$194,"Israel*",'Event Log'!$M$2:$M$194,"Kinetic",'Event Log'!$B$2:$B$194,"&gt;="&amp;DATE(2026,8,1),'Event Log'!$B$2:$B$194,"&lt;="&amp;DATE(2026,8,31))</f>
        <v>1</v>
      </c>
      <c r="C8" s="6" t="n">
        <f aca="false">COUNTIFS('Event Log'!$C$2:$C$194,"Iran*",'Event Log'!$M$2:$M$194,"Kinetic",'Event Log'!$B$2:$B$194,"&gt;="&amp;DATE(2026,8,1),'Event Log'!$B$2:$B$194,"&lt;="&amp;DATE(2026,8,31))</f>
        <v>1</v>
      </c>
      <c r="D8" s="6" t="n">
        <f aca="false">COUNTIFS('Event Log'!$M$2:$M$194,"Maritime",'Event Log'!$B$2:$B$194,"&gt;="&amp;DATE(2026,8,1),'Event Log'!$B$2:$B$194,"&lt;="&amp;DATE(2026,8,31))</f>
        <v>2</v>
      </c>
      <c r="E8" s="6" t="n">
        <f aca="false">COUNTIFS('Event Log'!$M$2:$M$194,"Diplomatic",'Event Log'!$B$2:$B$194,"&gt;="&amp;DATE(2026,8,1),'Event Log'!$B$2:$B$194,"&lt;="&amp;DATE(2026,8,31))</f>
        <v>0</v>
      </c>
      <c r="F8" s="6" t="s">
        <v>1257</v>
      </c>
      <c r="G8" s="6" t="s">
        <v>1258</v>
      </c>
    </row>
    <row r="9" customFormat="false" ht="23.85" hidden="false" customHeight="false" outlineLevel="0" collapsed="false">
      <c r="A9" s="6" t="s">
        <v>1259</v>
      </c>
      <c r="B9" s="6" t="n">
        <f aca="false">COUNTIFS('Event Log'!$C$2:$C$194,"US*",'Event Log'!$M$2:$M$194,"Kinetic",'Event Log'!$B$2:$B$194,"&gt;="&amp;DATE(2026,9,1),'Event Log'!$B$2:$B$194,"&lt;="&amp;DATE(2026,9,30))+COUNTIFS('Event Log'!$C$2:$C$194,"Israel*",'Event Log'!$M$2:$M$194,"Kinetic",'Event Log'!$B$2:$B$194,"&gt;="&amp;DATE(2026,9,1),'Event Log'!$B$2:$B$194,"&lt;="&amp;DATE(2026,9,30))</f>
        <v>4</v>
      </c>
      <c r="C9" s="6" t="n">
        <f aca="false">COUNTIFS('Event Log'!$C$2:$C$194,"Iran*",'Event Log'!$M$2:$M$194,"Kinetic",'Event Log'!$B$2:$B$194,"&gt;="&amp;DATE(2026,9,1),'Event Log'!$B$2:$B$194,"&lt;="&amp;DATE(2026,9,30))</f>
        <v>4</v>
      </c>
      <c r="D9" s="6" t="n">
        <f aca="false">COUNTIFS('Event Log'!$M$2:$M$194,"Maritime",'Event Log'!$B$2:$B$194,"&gt;="&amp;DATE(2026,9,1),'Event Log'!$B$2:$B$194,"&lt;="&amp;DATE(2026,9,30))</f>
        <v>1</v>
      </c>
      <c r="E9" s="6" t="n">
        <f aca="false">COUNTIFS('Event Log'!$M$2:$M$194,"Diplomatic",'Event Log'!$B$2:$B$194,"&gt;="&amp;DATE(2026,9,1),'Event Log'!$B$2:$B$194,"&lt;="&amp;DATE(2026,9,30))</f>
        <v>3</v>
      </c>
      <c r="F9" s="6" t="s">
        <v>1260</v>
      </c>
      <c r="G9" s="6" t="s">
        <v>1261</v>
      </c>
    </row>
    <row r="10" customFormat="false" ht="46.25" hidden="false" customHeight="false" outlineLevel="0" collapsed="false">
      <c r="A10" s="6" t="s">
        <v>1262</v>
      </c>
      <c r="B10" s="6" t="n">
        <f aca="false">COUNTIFS('Event Log'!$C$2:$C$194,"US*",'Event Log'!$M$2:$M$194,"Kinetic",'Event Log'!$B$2:$B$194,"&gt;="&amp;DATE(2026,10,1),'Event Log'!$B$2:$B$194,"&lt;="&amp;DATE(2026,10,31))+COUNTIFS('Event Log'!$C$2:$C$194,"Israel*",'Event Log'!$M$2:$M$194,"Kinetic",'Event Log'!$B$2:$B$194,"&gt;="&amp;DATE(2026,10,1),'Event Log'!$B$2:$B$194,"&lt;="&amp;DATE(2026,10,31))</f>
        <v>1</v>
      </c>
      <c r="C10" s="6" t="n">
        <f aca="false">COUNTIFS('Event Log'!$C$2:$C$194,"Iran*",'Event Log'!$M$2:$M$194,"Kinetic",'Event Log'!$B$2:$B$194,"&gt;="&amp;DATE(2026,10,1),'Event Log'!$B$2:$B$194,"&lt;="&amp;DATE(2026,10,31))</f>
        <v>0</v>
      </c>
      <c r="D10" s="6" t="n">
        <f aca="false">COUNTIFS('Event Log'!$M$2:$M$194,"Maritime",'Event Log'!$B$2:$B$194,"&gt;="&amp;DATE(2026,10,1),'Event Log'!$B$2:$B$194,"&lt;="&amp;DATE(2026,10,31))</f>
        <v>16</v>
      </c>
      <c r="E10" s="6" t="n">
        <f aca="false">COUNTIFS('Event Log'!$M$2:$M$194,"Diplomatic",'Event Log'!$B$2:$B$194,"&gt;="&amp;DATE(2026,10,1),'Event Log'!$B$2:$B$194,"&lt;="&amp;DATE(2026,10,31))</f>
        <v>14</v>
      </c>
      <c r="F10" s="6" t="s">
        <v>1263</v>
      </c>
      <c r="G10" s="6" t="s">
        <v>1264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34"/>
    <col collapsed="false" customWidth="true" hidden="false" outlineLevel="0" max="4" min="4" style="0" width="22"/>
    <col collapsed="false" customWidth="true" hidden="false" outlineLevel="0" max="5" min="5" style="0" width="60"/>
    <col collapsed="false" customWidth="true" hidden="false" outlineLevel="0" max="6" min="6" style="0" width="11"/>
    <col collapsed="false" customWidth="true" hidden="false" outlineLevel="0" max="7" min="7" style="0" width="60"/>
    <col collapsed="false" customWidth="true" hidden="false" outlineLevel="0" max="8" min="8" style="0" width="16"/>
    <col collapsed="false" customWidth="true" hidden="false" outlineLevel="0" max="10" min="9" style="0" width="10"/>
    <col collapsed="false" customWidth="true" hidden="false" outlineLevel="0" max="11" min="11" style="0" width="9"/>
    <col collapsed="false" customWidth="true" hidden="false" outlineLevel="0" max="12" min="12" style="0" width="12"/>
  </cols>
  <sheetData>
    <row r="1" customFormat="false" ht="15" hidden="false" customHeight="false" outlineLevel="0" collapsed="false">
      <c r="A1" s="13" t="s">
        <v>1265</v>
      </c>
      <c r="B1" s="13" t="s">
        <v>1266</v>
      </c>
      <c r="C1" s="13" t="s">
        <v>1267</v>
      </c>
      <c r="D1" s="13" t="s">
        <v>1268</v>
      </c>
      <c r="E1" s="13" t="s">
        <v>1269</v>
      </c>
      <c r="F1" s="13" t="s">
        <v>1270</v>
      </c>
      <c r="G1" s="13" t="s">
        <v>1271</v>
      </c>
      <c r="H1" s="13" t="s">
        <v>1272</v>
      </c>
      <c r="I1" s="13" t="s">
        <v>1273</v>
      </c>
      <c r="J1" s="13" t="s">
        <v>1274</v>
      </c>
      <c r="K1" s="13" t="s">
        <v>1275</v>
      </c>
      <c r="L1" s="13" t="s">
        <v>1276</v>
      </c>
    </row>
    <row r="2" customFormat="false" ht="23.85" hidden="false" customHeight="false" outlineLevel="0" collapsed="false">
      <c r="A2" s="6" t="s">
        <v>1277</v>
      </c>
      <c r="B2" s="6" t="n">
        <v>1</v>
      </c>
      <c r="C2" s="6" t="s">
        <v>1278</v>
      </c>
      <c r="D2" s="6" t="s">
        <v>1279</v>
      </c>
      <c r="E2" s="6" t="s">
        <v>1280</v>
      </c>
      <c r="F2" s="6" t="s">
        <v>1281</v>
      </c>
      <c r="G2" s="6" t="s">
        <v>1282</v>
      </c>
      <c r="H2" s="6" t="s">
        <v>1283</v>
      </c>
      <c r="I2" s="6"/>
      <c r="J2" s="6" t="n">
        <v>0.8</v>
      </c>
      <c r="K2" s="6" t="n">
        <v>1</v>
      </c>
      <c r="L2" s="6" t="n">
        <v>0.8</v>
      </c>
    </row>
    <row r="3" customFormat="false" ht="23.85" hidden="false" customHeight="false" outlineLevel="0" collapsed="false">
      <c r="A3" s="6" t="s">
        <v>1284</v>
      </c>
      <c r="B3" s="6" t="n">
        <v>1</v>
      </c>
      <c r="C3" s="6" t="s">
        <v>1285</v>
      </c>
      <c r="D3" s="6" t="s">
        <v>1279</v>
      </c>
      <c r="E3" s="6" t="s">
        <v>1286</v>
      </c>
      <c r="F3" s="6" t="s">
        <v>1281</v>
      </c>
      <c r="G3" s="6" t="s">
        <v>1287</v>
      </c>
      <c r="H3" s="6" t="s">
        <v>1283</v>
      </c>
      <c r="I3" s="6"/>
      <c r="J3" s="6" t="n">
        <v>0.8</v>
      </c>
      <c r="K3" s="6" t="n">
        <v>1</v>
      </c>
      <c r="L3" s="6" t="n">
        <v>0.8</v>
      </c>
    </row>
    <row r="4" customFormat="false" ht="23.85" hidden="false" customHeight="false" outlineLevel="0" collapsed="false">
      <c r="A4" s="6" t="s">
        <v>1288</v>
      </c>
      <c r="B4" s="6" t="n">
        <v>2</v>
      </c>
      <c r="C4" s="6" t="s">
        <v>1278</v>
      </c>
      <c r="D4" s="6" t="s">
        <v>1279</v>
      </c>
      <c r="E4" s="6" t="s">
        <v>1280</v>
      </c>
      <c r="F4" s="6" t="s">
        <v>1281</v>
      </c>
      <c r="G4" s="6" t="s">
        <v>1282</v>
      </c>
      <c r="H4" s="6" t="s">
        <v>1283</v>
      </c>
      <c r="I4" s="6"/>
      <c r="J4" s="6" t="n">
        <v>0.8</v>
      </c>
      <c r="K4" s="6" t="n">
        <v>1</v>
      </c>
      <c r="L4" s="6" t="n">
        <v>0.8</v>
      </c>
    </row>
    <row r="5" customFormat="false" ht="23.85" hidden="false" customHeight="false" outlineLevel="0" collapsed="false">
      <c r="A5" s="6" t="s">
        <v>1289</v>
      </c>
      <c r="B5" s="6" t="n">
        <v>2</v>
      </c>
      <c r="C5" s="6" t="s">
        <v>1290</v>
      </c>
      <c r="D5" s="6" t="s">
        <v>1279</v>
      </c>
      <c r="E5" s="6" t="s">
        <v>1291</v>
      </c>
      <c r="F5" s="6" t="s">
        <v>1292</v>
      </c>
      <c r="G5" s="6" t="s">
        <v>1293</v>
      </c>
      <c r="H5" s="6" t="s">
        <v>1283</v>
      </c>
      <c r="I5" s="6"/>
      <c r="J5" s="6" t="n">
        <v>0.8</v>
      </c>
      <c r="K5" s="6" t="n">
        <v>1</v>
      </c>
      <c r="L5" s="6" t="n">
        <v>0.8</v>
      </c>
    </row>
    <row r="6" customFormat="false" ht="23.85" hidden="false" customHeight="false" outlineLevel="0" collapsed="false">
      <c r="A6" s="6" t="s">
        <v>1294</v>
      </c>
      <c r="B6" s="6" t="n">
        <v>2</v>
      </c>
      <c r="C6" s="6" t="s">
        <v>1295</v>
      </c>
      <c r="D6" s="6" t="s">
        <v>1279</v>
      </c>
      <c r="E6" s="6" t="s">
        <v>1296</v>
      </c>
      <c r="F6" s="6" t="s">
        <v>1297</v>
      </c>
      <c r="G6" s="6" t="s">
        <v>1298</v>
      </c>
      <c r="H6" s="6" t="s">
        <v>1283</v>
      </c>
      <c r="I6" s="6"/>
      <c r="J6" s="6" t="n">
        <v>0.8</v>
      </c>
      <c r="K6" s="6" t="n">
        <v>1</v>
      </c>
      <c r="L6" s="6" t="n">
        <v>0.8</v>
      </c>
    </row>
    <row r="7" customFormat="false" ht="23.85" hidden="false" customHeight="false" outlineLevel="0" collapsed="false">
      <c r="A7" s="6" t="s">
        <v>1299</v>
      </c>
      <c r="B7" s="6" t="n">
        <v>3</v>
      </c>
      <c r="C7" s="6" t="s">
        <v>1300</v>
      </c>
      <c r="D7" s="6" t="s">
        <v>1279</v>
      </c>
      <c r="E7" s="6" t="s">
        <v>1301</v>
      </c>
      <c r="F7" s="6" t="s">
        <v>1302</v>
      </c>
      <c r="G7" s="6" t="s">
        <v>1303</v>
      </c>
      <c r="H7" s="6" t="s">
        <v>1283</v>
      </c>
      <c r="I7" s="6"/>
      <c r="J7" s="6" t="n">
        <v>0.8</v>
      </c>
      <c r="K7" s="6" t="n">
        <v>1</v>
      </c>
      <c r="L7" s="6" t="n">
        <v>0.8</v>
      </c>
    </row>
    <row r="8" customFormat="false" ht="23.85" hidden="false" customHeight="false" outlineLevel="0" collapsed="false">
      <c r="A8" s="6" t="s">
        <v>1304</v>
      </c>
      <c r="B8" s="6" t="n">
        <v>3</v>
      </c>
      <c r="C8" s="6" t="s">
        <v>1305</v>
      </c>
      <c r="D8" s="6" t="s">
        <v>1279</v>
      </c>
      <c r="E8" s="6" t="s">
        <v>1306</v>
      </c>
      <c r="F8" s="6" t="s">
        <v>1281</v>
      </c>
      <c r="G8" s="6" t="s">
        <v>1307</v>
      </c>
      <c r="H8" s="6" t="s">
        <v>1283</v>
      </c>
      <c r="I8" s="6"/>
      <c r="J8" s="6" t="n">
        <v>0.8</v>
      </c>
      <c r="K8" s="6" t="n">
        <v>1</v>
      </c>
      <c r="L8" s="6" t="n">
        <v>0.8</v>
      </c>
    </row>
    <row r="9" customFormat="false" ht="15" hidden="false" customHeight="false" outlineLevel="0" collapsed="false">
      <c r="A9" s="6" t="s">
        <v>1308</v>
      </c>
      <c r="B9" s="6" t="n">
        <v>3</v>
      </c>
      <c r="C9" s="6" t="s">
        <v>1309</v>
      </c>
      <c r="D9" s="6" t="s">
        <v>1279</v>
      </c>
      <c r="E9" s="6" t="s">
        <v>1310</v>
      </c>
      <c r="F9" s="6" t="s">
        <v>1281</v>
      </c>
      <c r="G9" s="6" t="s">
        <v>1311</v>
      </c>
      <c r="H9" s="6" t="s">
        <v>1283</v>
      </c>
      <c r="I9" s="6"/>
      <c r="J9" s="6" t="n">
        <v>0.8</v>
      </c>
      <c r="K9" s="6" t="n">
        <v>1</v>
      </c>
      <c r="L9" s="6" t="n">
        <v>0.8</v>
      </c>
    </row>
    <row r="10" customFormat="false" ht="23.85" hidden="false" customHeight="false" outlineLevel="0" collapsed="false">
      <c r="A10" s="6" t="s">
        <v>1312</v>
      </c>
      <c r="B10" s="6" t="n">
        <v>4</v>
      </c>
      <c r="C10" s="6" t="s">
        <v>1313</v>
      </c>
      <c r="D10" s="6" t="s">
        <v>1279</v>
      </c>
      <c r="E10" s="6" t="s">
        <v>1314</v>
      </c>
      <c r="F10" s="6" t="s">
        <v>1315</v>
      </c>
      <c r="G10" s="6" t="s">
        <v>1316</v>
      </c>
      <c r="H10" s="6" t="s">
        <v>1283</v>
      </c>
      <c r="I10" s="6"/>
      <c r="J10" s="6" t="n">
        <v>0.8</v>
      </c>
      <c r="K10" s="6" t="n">
        <v>1</v>
      </c>
      <c r="L10" s="6" t="n">
        <v>0.8</v>
      </c>
    </row>
    <row r="11" customFormat="false" ht="23.85" hidden="false" customHeight="false" outlineLevel="0" collapsed="false">
      <c r="A11" s="6" t="s">
        <v>1317</v>
      </c>
      <c r="B11" s="6" t="n">
        <v>4</v>
      </c>
      <c r="C11" s="6" t="s">
        <v>1318</v>
      </c>
      <c r="D11" s="6" t="s">
        <v>1279</v>
      </c>
      <c r="E11" s="6" t="s">
        <v>1319</v>
      </c>
      <c r="F11" s="6" t="s">
        <v>1320</v>
      </c>
      <c r="G11" s="6" t="s">
        <v>1321</v>
      </c>
      <c r="H11" s="6" t="s">
        <v>1283</v>
      </c>
      <c r="I11" s="6"/>
      <c r="J11" s="6" t="n">
        <v>0.8</v>
      </c>
      <c r="K11" s="6" t="n">
        <v>1</v>
      </c>
      <c r="L11" s="6" t="n">
        <v>0.8</v>
      </c>
    </row>
    <row r="12" customFormat="false" ht="23.85" hidden="false" customHeight="false" outlineLevel="0" collapsed="false">
      <c r="A12" s="6" t="s">
        <v>1322</v>
      </c>
      <c r="B12" s="6" t="n">
        <v>5</v>
      </c>
      <c r="C12" s="6" t="s">
        <v>1323</v>
      </c>
      <c r="D12" s="6" t="s">
        <v>1279</v>
      </c>
      <c r="E12" s="6" t="s">
        <v>1324</v>
      </c>
      <c r="F12" s="6" t="s">
        <v>1315</v>
      </c>
      <c r="G12" s="6" t="s">
        <v>1325</v>
      </c>
      <c r="H12" s="6" t="s">
        <v>1283</v>
      </c>
      <c r="I12" s="6"/>
      <c r="J12" s="6" t="n">
        <v>0.8</v>
      </c>
      <c r="K12" s="6" t="n">
        <v>1</v>
      </c>
      <c r="L12" s="6" t="n">
        <v>0.8</v>
      </c>
    </row>
    <row r="13" customFormat="false" ht="23.85" hidden="false" customHeight="false" outlineLevel="0" collapsed="false">
      <c r="A13" s="6" t="s">
        <v>1326</v>
      </c>
      <c r="B13" s="6" t="n">
        <v>5</v>
      </c>
      <c r="C13" s="6" t="s">
        <v>1327</v>
      </c>
      <c r="D13" s="6" t="s">
        <v>1279</v>
      </c>
      <c r="E13" s="6" t="s">
        <v>1328</v>
      </c>
      <c r="F13" s="6" t="s">
        <v>1302</v>
      </c>
      <c r="G13" s="6" t="s">
        <v>1329</v>
      </c>
      <c r="H13" s="6" t="s">
        <v>1283</v>
      </c>
      <c r="I13" s="6"/>
      <c r="J13" s="6" t="n">
        <v>0.8</v>
      </c>
      <c r="K13" s="6" t="n">
        <v>1</v>
      </c>
      <c r="L13" s="6" t="n">
        <v>0.8</v>
      </c>
    </row>
    <row r="14" customFormat="false" ht="23.85" hidden="false" customHeight="false" outlineLevel="0" collapsed="false">
      <c r="A14" s="6" t="s">
        <v>1330</v>
      </c>
      <c r="B14" s="6" t="n">
        <v>5</v>
      </c>
      <c r="C14" s="6" t="s">
        <v>1331</v>
      </c>
      <c r="D14" s="6" t="s">
        <v>1279</v>
      </c>
      <c r="E14" s="6" t="s">
        <v>1332</v>
      </c>
      <c r="F14" s="6" t="s">
        <v>1302</v>
      </c>
      <c r="G14" s="6" t="s">
        <v>1333</v>
      </c>
      <c r="H14" s="6" t="s">
        <v>1283</v>
      </c>
      <c r="I14" s="6"/>
      <c r="J14" s="6" t="n">
        <v>0.8</v>
      </c>
      <c r="K14" s="6" t="n">
        <v>1</v>
      </c>
      <c r="L14" s="6" t="n">
        <v>0.8</v>
      </c>
    </row>
    <row r="15" customFormat="false" ht="23.85" hidden="false" customHeight="false" outlineLevel="0" collapsed="false">
      <c r="A15" s="6" t="s">
        <v>1334</v>
      </c>
      <c r="B15" s="6" t="n">
        <v>6</v>
      </c>
      <c r="C15" s="6" t="s">
        <v>1323</v>
      </c>
      <c r="D15" s="6" t="s">
        <v>1279</v>
      </c>
      <c r="E15" s="6" t="s">
        <v>1335</v>
      </c>
      <c r="F15" s="6" t="s">
        <v>1302</v>
      </c>
      <c r="G15" s="6" t="s">
        <v>1336</v>
      </c>
      <c r="H15" s="6" t="s">
        <v>1283</v>
      </c>
      <c r="I15" s="6"/>
      <c r="J15" s="6" t="n">
        <v>0.8</v>
      </c>
      <c r="K15" s="6" t="n">
        <v>1</v>
      </c>
      <c r="L15" s="6" t="n">
        <v>0.8</v>
      </c>
    </row>
    <row r="16" customFormat="false" ht="23.85" hidden="false" customHeight="false" outlineLevel="0" collapsed="false">
      <c r="A16" s="6" t="s">
        <v>1337</v>
      </c>
      <c r="B16" s="6" t="n">
        <v>6</v>
      </c>
      <c r="C16" s="6" t="s">
        <v>1305</v>
      </c>
      <c r="D16" s="6" t="s">
        <v>1279</v>
      </c>
      <c r="E16" s="6" t="s">
        <v>1338</v>
      </c>
      <c r="F16" s="6" t="s">
        <v>1339</v>
      </c>
      <c r="G16" s="6" t="s">
        <v>1340</v>
      </c>
      <c r="H16" s="6" t="s">
        <v>1283</v>
      </c>
      <c r="I16" s="6"/>
      <c r="J16" s="6" t="n">
        <v>0.8</v>
      </c>
      <c r="K16" s="6" t="n">
        <v>1</v>
      </c>
      <c r="L16" s="6" t="n">
        <v>0.8</v>
      </c>
    </row>
    <row r="17" customFormat="false" ht="23.85" hidden="false" customHeight="false" outlineLevel="0" collapsed="false">
      <c r="A17" s="6" t="s">
        <v>1341</v>
      </c>
      <c r="B17" s="6" t="n">
        <v>6</v>
      </c>
      <c r="C17" s="6" t="s">
        <v>1342</v>
      </c>
      <c r="D17" s="6" t="s">
        <v>1279</v>
      </c>
      <c r="E17" s="6" t="s">
        <v>1343</v>
      </c>
      <c r="F17" s="6" t="s">
        <v>1344</v>
      </c>
      <c r="G17" s="6" t="s">
        <v>1345</v>
      </c>
      <c r="H17" s="6" t="s">
        <v>1283</v>
      </c>
      <c r="I17" s="6"/>
      <c r="J17" s="6" t="n">
        <v>0.8</v>
      </c>
      <c r="K17" s="6" t="n">
        <v>1</v>
      </c>
      <c r="L17" s="6" t="n">
        <v>0.8</v>
      </c>
    </row>
    <row r="18" customFormat="false" ht="46.25" hidden="false" customHeight="false" outlineLevel="0" collapsed="false">
      <c r="A18" s="6" t="s">
        <v>1346</v>
      </c>
      <c r="B18" s="6" t="n">
        <v>7</v>
      </c>
      <c r="C18" s="6" t="s">
        <v>1347</v>
      </c>
      <c r="D18" s="6" t="s">
        <v>1279</v>
      </c>
      <c r="E18" s="6" t="s">
        <v>1348</v>
      </c>
      <c r="F18" s="6" t="s">
        <v>1281</v>
      </c>
      <c r="G18" s="6" t="s">
        <v>1349</v>
      </c>
      <c r="H18" s="6" t="s">
        <v>1283</v>
      </c>
      <c r="I18" s="6"/>
      <c r="J18" s="6" t="n">
        <v>0.8</v>
      </c>
      <c r="K18" s="6" t="n">
        <v>1</v>
      </c>
      <c r="L18" s="6" t="n">
        <v>0.8</v>
      </c>
    </row>
    <row r="19" customFormat="false" ht="35.05" hidden="false" customHeight="false" outlineLevel="0" collapsed="false">
      <c r="A19" s="6" t="s">
        <v>1350</v>
      </c>
      <c r="B19" s="6" t="n">
        <v>7</v>
      </c>
      <c r="C19" s="6" t="s">
        <v>1351</v>
      </c>
      <c r="D19" s="6" t="s">
        <v>1279</v>
      </c>
      <c r="E19" s="6" t="s">
        <v>1352</v>
      </c>
      <c r="F19" s="6" t="s">
        <v>1281</v>
      </c>
      <c r="G19" s="6" t="s">
        <v>1353</v>
      </c>
      <c r="H19" s="6" t="s">
        <v>1283</v>
      </c>
      <c r="I19" s="6"/>
      <c r="J19" s="6" t="n">
        <v>0.8</v>
      </c>
      <c r="K19" s="6" t="n">
        <v>1</v>
      </c>
      <c r="L19" s="6" t="n">
        <v>0.8</v>
      </c>
    </row>
    <row r="20" customFormat="false" ht="23.85" hidden="false" customHeight="false" outlineLevel="0" collapsed="false">
      <c r="A20" s="6" t="s">
        <v>1354</v>
      </c>
      <c r="B20" s="6" t="n">
        <v>8</v>
      </c>
      <c r="C20" s="6" t="s">
        <v>1355</v>
      </c>
      <c r="D20" s="6" t="s">
        <v>1279</v>
      </c>
      <c r="E20" s="6" t="s">
        <v>1356</v>
      </c>
      <c r="F20" s="6" t="s">
        <v>1302</v>
      </c>
      <c r="G20" s="6" t="s">
        <v>1357</v>
      </c>
      <c r="H20" s="6" t="s">
        <v>1283</v>
      </c>
      <c r="I20" s="6"/>
      <c r="J20" s="6" t="n">
        <v>0.8</v>
      </c>
      <c r="K20" s="6" t="n">
        <v>1</v>
      </c>
      <c r="L20" s="6" t="n">
        <v>0.8</v>
      </c>
    </row>
    <row r="21" customFormat="false" ht="23.85" hidden="false" customHeight="false" outlineLevel="0" collapsed="false">
      <c r="A21" s="6" t="s">
        <v>1358</v>
      </c>
      <c r="B21" s="6" t="n">
        <v>8</v>
      </c>
      <c r="C21" s="6" t="s">
        <v>1305</v>
      </c>
      <c r="D21" s="6" t="s">
        <v>1279</v>
      </c>
      <c r="E21" s="6" t="s">
        <v>1306</v>
      </c>
      <c r="F21" s="6" t="s">
        <v>1281</v>
      </c>
      <c r="G21" s="6" t="s">
        <v>1307</v>
      </c>
      <c r="H21" s="6" t="s">
        <v>1283</v>
      </c>
      <c r="I21" s="6"/>
      <c r="J21" s="6" t="n">
        <v>0.8</v>
      </c>
      <c r="K21" s="6" t="n">
        <v>1</v>
      </c>
      <c r="L21" s="6" t="n">
        <v>0.8</v>
      </c>
    </row>
    <row r="22" customFormat="false" ht="15" hidden="false" customHeight="false" outlineLevel="0" collapsed="false">
      <c r="A22" s="6" t="s">
        <v>1359</v>
      </c>
      <c r="B22" s="6" t="n">
        <v>8</v>
      </c>
      <c r="C22" s="6" t="s">
        <v>1309</v>
      </c>
      <c r="D22" s="6" t="s">
        <v>1279</v>
      </c>
      <c r="E22" s="6" t="s">
        <v>1310</v>
      </c>
      <c r="F22" s="6" t="s">
        <v>1281</v>
      </c>
      <c r="G22" s="6" t="s">
        <v>1311</v>
      </c>
      <c r="H22" s="6" t="s">
        <v>1283</v>
      </c>
      <c r="I22" s="6"/>
      <c r="J22" s="6" t="n">
        <v>0.8</v>
      </c>
      <c r="K22" s="6" t="n">
        <v>1</v>
      </c>
      <c r="L22" s="6" t="n">
        <v>0.8</v>
      </c>
    </row>
    <row r="23" customFormat="false" ht="23.85" hidden="false" customHeight="false" outlineLevel="0" collapsed="false">
      <c r="A23" s="6" t="s">
        <v>1360</v>
      </c>
      <c r="B23" s="6" t="n">
        <v>9</v>
      </c>
      <c r="C23" s="6" t="s">
        <v>1323</v>
      </c>
      <c r="D23" s="6" t="s">
        <v>1279</v>
      </c>
      <c r="E23" s="6" t="s">
        <v>1361</v>
      </c>
      <c r="F23" s="6" t="s">
        <v>1281</v>
      </c>
      <c r="G23" s="6" t="s">
        <v>1362</v>
      </c>
      <c r="H23" s="6" t="s">
        <v>1283</v>
      </c>
      <c r="I23" s="6"/>
      <c r="J23" s="6" t="n">
        <v>0.8</v>
      </c>
      <c r="K23" s="6" t="n">
        <v>1</v>
      </c>
      <c r="L23" s="6" t="n">
        <v>0.8</v>
      </c>
    </row>
    <row r="24" customFormat="false" ht="23.85" hidden="false" customHeight="false" outlineLevel="0" collapsed="false">
      <c r="A24" s="6" t="s">
        <v>1363</v>
      </c>
      <c r="B24" s="6" t="n">
        <v>9</v>
      </c>
      <c r="C24" s="6" t="s">
        <v>1309</v>
      </c>
      <c r="D24" s="6" t="s">
        <v>1279</v>
      </c>
      <c r="E24" s="6" t="s">
        <v>1364</v>
      </c>
      <c r="F24" s="6" t="s">
        <v>1281</v>
      </c>
      <c r="G24" s="6" t="s">
        <v>1365</v>
      </c>
      <c r="H24" s="6" t="s">
        <v>1283</v>
      </c>
      <c r="I24" s="6"/>
      <c r="J24" s="6" t="n">
        <v>0.8</v>
      </c>
      <c r="K24" s="6" t="n">
        <v>1</v>
      </c>
      <c r="L24" s="6" t="n">
        <v>0.8</v>
      </c>
    </row>
    <row r="25" customFormat="false" ht="23.85" hidden="false" customHeight="false" outlineLevel="0" collapsed="false">
      <c r="A25" s="6" t="s">
        <v>1366</v>
      </c>
      <c r="B25" s="6" t="n">
        <v>10</v>
      </c>
      <c r="C25" s="6" t="s">
        <v>1327</v>
      </c>
      <c r="D25" s="6" t="s">
        <v>1279</v>
      </c>
      <c r="E25" s="6" t="s">
        <v>1367</v>
      </c>
      <c r="F25" s="6" t="s">
        <v>1297</v>
      </c>
      <c r="G25" s="6" t="s">
        <v>1368</v>
      </c>
      <c r="H25" s="6" t="s">
        <v>1283</v>
      </c>
      <c r="I25" s="6"/>
      <c r="J25" s="6" t="n">
        <v>0.8</v>
      </c>
      <c r="K25" s="6" t="n">
        <v>1</v>
      </c>
      <c r="L25" s="6" t="n">
        <v>0.8</v>
      </c>
    </row>
    <row r="26" customFormat="false" ht="35.05" hidden="false" customHeight="false" outlineLevel="0" collapsed="false">
      <c r="A26" s="6" t="s">
        <v>1369</v>
      </c>
      <c r="B26" s="6" t="n">
        <v>11</v>
      </c>
      <c r="C26" s="6" t="s">
        <v>1370</v>
      </c>
      <c r="D26" s="6" t="s">
        <v>1279</v>
      </c>
      <c r="E26" s="6" t="s">
        <v>1371</v>
      </c>
      <c r="F26" s="6" t="s">
        <v>1292</v>
      </c>
      <c r="G26" s="6" t="s">
        <v>1372</v>
      </c>
      <c r="H26" s="6" t="s">
        <v>1283</v>
      </c>
      <c r="I26" s="6"/>
      <c r="J26" s="6" t="n">
        <v>0.8</v>
      </c>
      <c r="K26" s="6" t="n">
        <v>1</v>
      </c>
      <c r="L26" s="6" t="n">
        <v>0.8</v>
      </c>
    </row>
    <row r="27" customFormat="false" ht="23.85" hidden="false" customHeight="false" outlineLevel="0" collapsed="false">
      <c r="A27" s="6" t="s">
        <v>1373</v>
      </c>
      <c r="B27" s="6" t="n">
        <v>12</v>
      </c>
      <c r="C27" s="6" t="s">
        <v>1374</v>
      </c>
      <c r="D27" s="6" t="s">
        <v>1279</v>
      </c>
      <c r="E27" s="6" t="s">
        <v>1375</v>
      </c>
      <c r="F27" s="6" t="s">
        <v>1281</v>
      </c>
      <c r="G27" s="6" t="s">
        <v>1376</v>
      </c>
      <c r="H27" s="6" t="s">
        <v>1377</v>
      </c>
      <c r="I27" s="6"/>
      <c r="J27" s="6" t="n">
        <v>0.8</v>
      </c>
      <c r="K27" s="6" t="n">
        <v>0.8</v>
      </c>
      <c r="L27" s="6" t="n">
        <v>0.64</v>
      </c>
    </row>
    <row r="28" customFormat="false" ht="23.85" hidden="false" customHeight="false" outlineLevel="0" collapsed="false">
      <c r="A28" s="6" t="s">
        <v>1378</v>
      </c>
      <c r="B28" s="6" t="n">
        <v>12</v>
      </c>
      <c r="C28" s="6" t="s">
        <v>1379</v>
      </c>
      <c r="D28" s="6" t="s">
        <v>1279</v>
      </c>
      <c r="E28" s="6" t="s">
        <v>1380</v>
      </c>
      <c r="F28" s="6" t="s">
        <v>1292</v>
      </c>
      <c r="G28" s="6" t="s">
        <v>1381</v>
      </c>
      <c r="H28" s="6" t="s">
        <v>1283</v>
      </c>
      <c r="I28" s="6"/>
      <c r="J28" s="6" t="n">
        <v>0.8</v>
      </c>
      <c r="K28" s="6" t="n">
        <v>1</v>
      </c>
      <c r="L28" s="6" t="n">
        <v>0.8</v>
      </c>
    </row>
    <row r="29" customFormat="false" ht="23.85" hidden="false" customHeight="false" outlineLevel="0" collapsed="false">
      <c r="A29" s="6" t="s">
        <v>1382</v>
      </c>
      <c r="B29" s="6" t="n">
        <v>13</v>
      </c>
      <c r="C29" s="6" t="s">
        <v>1323</v>
      </c>
      <c r="D29" s="6" t="s">
        <v>1279</v>
      </c>
      <c r="E29" s="6" t="s">
        <v>1383</v>
      </c>
      <c r="F29" s="6" t="s">
        <v>1297</v>
      </c>
      <c r="G29" s="6" t="s">
        <v>1384</v>
      </c>
      <c r="H29" s="6" t="s">
        <v>1283</v>
      </c>
      <c r="I29" s="6"/>
      <c r="J29" s="6" t="n">
        <v>0.8</v>
      </c>
      <c r="K29" s="6" t="n">
        <v>1</v>
      </c>
      <c r="L29" s="6" t="n">
        <v>0.8</v>
      </c>
    </row>
    <row r="30" customFormat="false" ht="23.85" hidden="false" customHeight="false" outlineLevel="0" collapsed="false">
      <c r="A30" s="6" t="s">
        <v>1385</v>
      </c>
      <c r="B30" s="6" t="n">
        <v>13</v>
      </c>
      <c r="C30" s="6" t="s">
        <v>1386</v>
      </c>
      <c r="D30" s="6" t="s">
        <v>1279</v>
      </c>
      <c r="E30" s="6" t="s">
        <v>1387</v>
      </c>
      <c r="F30" s="6" t="s">
        <v>1388</v>
      </c>
      <c r="G30" s="6" t="s">
        <v>1389</v>
      </c>
      <c r="H30" s="6" t="s">
        <v>1283</v>
      </c>
      <c r="I30" s="6"/>
      <c r="J30" s="6" t="n">
        <v>0.8</v>
      </c>
      <c r="K30" s="6" t="n">
        <v>1</v>
      </c>
      <c r="L30" s="6" t="n">
        <v>0.8</v>
      </c>
    </row>
    <row r="31" customFormat="false" ht="23.85" hidden="false" customHeight="false" outlineLevel="0" collapsed="false">
      <c r="A31" s="6" t="s">
        <v>1390</v>
      </c>
      <c r="B31" s="6" t="n">
        <v>13</v>
      </c>
      <c r="C31" s="6" t="s">
        <v>1391</v>
      </c>
      <c r="D31" s="6" t="s">
        <v>1279</v>
      </c>
      <c r="E31" s="6" t="s">
        <v>1392</v>
      </c>
      <c r="F31" s="6" t="s">
        <v>1393</v>
      </c>
      <c r="G31" s="6" t="s">
        <v>1394</v>
      </c>
      <c r="H31" s="6" t="s">
        <v>1283</v>
      </c>
      <c r="I31" s="6"/>
      <c r="J31" s="6" t="n">
        <v>0.8</v>
      </c>
      <c r="K31" s="6" t="n">
        <v>1</v>
      </c>
      <c r="L31" s="6" t="n">
        <v>0.8</v>
      </c>
    </row>
    <row r="32" customFormat="false" ht="23.85" hidden="false" customHeight="false" outlineLevel="0" collapsed="false">
      <c r="A32" s="6" t="s">
        <v>1395</v>
      </c>
      <c r="B32" s="6" t="n">
        <v>14</v>
      </c>
      <c r="C32" s="6" t="s">
        <v>1396</v>
      </c>
      <c r="D32" s="6" t="s">
        <v>1279</v>
      </c>
      <c r="E32" s="6" t="s">
        <v>1397</v>
      </c>
      <c r="F32" s="6" t="s">
        <v>1398</v>
      </c>
      <c r="G32" s="6" t="s">
        <v>1399</v>
      </c>
      <c r="H32" s="6" t="s">
        <v>1283</v>
      </c>
      <c r="I32" s="6"/>
      <c r="J32" s="6" t="n">
        <v>0.8</v>
      </c>
      <c r="K32" s="6" t="n">
        <v>1</v>
      </c>
      <c r="L32" s="6" t="n">
        <v>0.8</v>
      </c>
    </row>
    <row r="33" customFormat="false" ht="23.85" hidden="false" customHeight="false" outlineLevel="0" collapsed="false">
      <c r="A33" s="6" t="s">
        <v>1400</v>
      </c>
      <c r="B33" s="6" t="n">
        <v>14</v>
      </c>
      <c r="C33" s="6" t="s">
        <v>1401</v>
      </c>
      <c r="D33" s="6" t="s">
        <v>1279</v>
      </c>
      <c r="E33" s="6" t="s">
        <v>1402</v>
      </c>
      <c r="F33" s="6" t="s">
        <v>1403</v>
      </c>
      <c r="G33" s="6" t="s">
        <v>1404</v>
      </c>
      <c r="H33" s="6" t="s">
        <v>1283</v>
      </c>
      <c r="I33" s="6"/>
      <c r="J33" s="6" t="n">
        <v>0.8</v>
      </c>
      <c r="K33" s="6" t="n">
        <v>1</v>
      </c>
      <c r="L33" s="6" t="n">
        <v>0.8</v>
      </c>
    </row>
    <row r="34" customFormat="false" ht="23.85" hidden="false" customHeight="false" outlineLevel="0" collapsed="false">
      <c r="A34" s="6" t="s">
        <v>1405</v>
      </c>
      <c r="B34" s="6" t="n">
        <v>14</v>
      </c>
      <c r="C34" s="6" t="s">
        <v>1406</v>
      </c>
      <c r="D34" s="6" t="s">
        <v>1279</v>
      </c>
      <c r="E34" s="6" t="s">
        <v>1407</v>
      </c>
      <c r="F34" s="6" t="s">
        <v>1408</v>
      </c>
      <c r="G34" s="6" t="s">
        <v>1409</v>
      </c>
      <c r="H34" s="6" t="s">
        <v>1283</v>
      </c>
      <c r="I34" s="6"/>
      <c r="J34" s="6" t="n">
        <v>0.8</v>
      </c>
      <c r="K34" s="6" t="n">
        <v>1</v>
      </c>
      <c r="L34" s="6" t="n">
        <v>0.8</v>
      </c>
    </row>
    <row r="35" customFormat="false" ht="23.85" hidden="false" customHeight="false" outlineLevel="0" collapsed="false">
      <c r="A35" s="6" t="s">
        <v>1410</v>
      </c>
      <c r="B35" s="6" t="n">
        <v>15</v>
      </c>
      <c r="C35" s="6" t="s">
        <v>1411</v>
      </c>
      <c r="D35" s="6" t="s">
        <v>1279</v>
      </c>
      <c r="E35" s="6" t="s">
        <v>1412</v>
      </c>
      <c r="F35" s="6" t="s">
        <v>1413</v>
      </c>
      <c r="G35" s="6" t="s">
        <v>1414</v>
      </c>
      <c r="H35" s="6" t="s">
        <v>1283</v>
      </c>
      <c r="I35" s="6"/>
      <c r="J35" s="6" t="n">
        <v>0.8</v>
      </c>
      <c r="K35" s="6" t="n">
        <v>1</v>
      </c>
      <c r="L35" s="6" t="n">
        <v>0.8</v>
      </c>
    </row>
    <row r="36" customFormat="false" ht="23.85" hidden="false" customHeight="false" outlineLevel="0" collapsed="false">
      <c r="A36" s="6" t="s">
        <v>1415</v>
      </c>
      <c r="B36" s="6" t="n">
        <v>15</v>
      </c>
      <c r="C36" s="6" t="s">
        <v>1391</v>
      </c>
      <c r="D36" s="6" t="s">
        <v>1279</v>
      </c>
      <c r="E36" s="6" t="s">
        <v>1416</v>
      </c>
      <c r="F36" s="6" t="s">
        <v>1417</v>
      </c>
      <c r="G36" s="6" t="s">
        <v>1418</v>
      </c>
      <c r="H36" s="6" t="s">
        <v>1283</v>
      </c>
      <c r="I36" s="6"/>
      <c r="J36" s="6" t="n">
        <v>0.8</v>
      </c>
      <c r="K36" s="6" t="n">
        <v>1</v>
      </c>
      <c r="L36" s="6" t="n">
        <v>0.8</v>
      </c>
    </row>
    <row r="37" customFormat="false" ht="23.85" hidden="false" customHeight="false" outlineLevel="0" collapsed="false">
      <c r="A37" s="6" t="s">
        <v>1419</v>
      </c>
      <c r="B37" s="6" t="n">
        <v>16</v>
      </c>
      <c r="C37" s="6" t="s">
        <v>1420</v>
      </c>
      <c r="D37" s="6" t="s">
        <v>1279</v>
      </c>
      <c r="E37" s="6" t="s">
        <v>1421</v>
      </c>
      <c r="F37" s="6" t="s">
        <v>1417</v>
      </c>
      <c r="G37" s="6" t="s">
        <v>1422</v>
      </c>
      <c r="H37" s="6" t="s">
        <v>1283</v>
      </c>
      <c r="I37" s="6"/>
      <c r="J37" s="6" t="n">
        <v>0.8</v>
      </c>
      <c r="K37" s="6" t="n">
        <v>1</v>
      </c>
      <c r="L37" s="6" t="n">
        <v>0.8</v>
      </c>
    </row>
    <row r="38" customFormat="false" ht="35.05" hidden="false" customHeight="false" outlineLevel="0" collapsed="false">
      <c r="A38" s="6" t="s">
        <v>1423</v>
      </c>
      <c r="B38" s="6" t="n">
        <v>16</v>
      </c>
      <c r="C38" s="6" t="s">
        <v>1424</v>
      </c>
      <c r="D38" s="6" t="s">
        <v>1279</v>
      </c>
      <c r="E38" s="6" t="s">
        <v>1425</v>
      </c>
      <c r="F38" s="6" t="s">
        <v>1417</v>
      </c>
      <c r="G38" s="6" t="s">
        <v>1426</v>
      </c>
      <c r="H38" s="6" t="s">
        <v>1283</v>
      </c>
      <c r="I38" s="6"/>
      <c r="J38" s="6" t="n">
        <v>0.8</v>
      </c>
      <c r="K38" s="6" t="n">
        <v>1</v>
      </c>
      <c r="L38" s="6" t="n">
        <v>0.8</v>
      </c>
    </row>
    <row r="39" customFormat="false" ht="23.85" hidden="false" customHeight="false" outlineLevel="0" collapsed="false">
      <c r="A39" s="6" t="s">
        <v>1427</v>
      </c>
      <c r="B39" s="6" t="n">
        <v>16</v>
      </c>
      <c r="C39" s="6" t="s">
        <v>1428</v>
      </c>
      <c r="D39" s="6" t="s">
        <v>1279</v>
      </c>
      <c r="E39" s="6" t="s">
        <v>1429</v>
      </c>
      <c r="F39" s="6" t="s">
        <v>1417</v>
      </c>
      <c r="G39" s="6" t="s">
        <v>1430</v>
      </c>
      <c r="H39" s="6" t="s">
        <v>1283</v>
      </c>
      <c r="I39" s="6"/>
      <c r="J39" s="6" t="n">
        <v>0.6</v>
      </c>
      <c r="K39" s="6" t="n">
        <v>1</v>
      </c>
      <c r="L39" s="6" t="n">
        <v>0.6</v>
      </c>
    </row>
    <row r="40" customFormat="false" ht="23.85" hidden="false" customHeight="false" outlineLevel="0" collapsed="false">
      <c r="A40" s="6" t="s">
        <v>1431</v>
      </c>
      <c r="B40" s="6" t="n">
        <v>17</v>
      </c>
      <c r="C40" s="6" t="s">
        <v>1432</v>
      </c>
      <c r="D40" s="6" t="s">
        <v>1279</v>
      </c>
      <c r="E40" s="6" t="s">
        <v>1433</v>
      </c>
      <c r="F40" s="6" t="s">
        <v>1417</v>
      </c>
      <c r="G40" s="6" t="s">
        <v>1434</v>
      </c>
      <c r="H40" s="6" t="s">
        <v>1283</v>
      </c>
      <c r="I40" s="6"/>
      <c r="J40" s="6" t="n">
        <v>0.8</v>
      </c>
      <c r="K40" s="6" t="n">
        <v>1</v>
      </c>
      <c r="L40" s="6" t="n">
        <v>0.8</v>
      </c>
    </row>
    <row r="41" customFormat="false" ht="23.85" hidden="false" customHeight="false" outlineLevel="0" collapsed="false">
      <c r="A41" s="6" t="s">
        <v>1435</v>
      </c>
      <c r="B41" s="6" t="n">
        <v>17</v>
      </c>
      <c r="C41" s="6" t="s">
        <v>1323</v>
      </c>
      <c r="D41" s="6" t="s">
        <v>1279</v>
      </c>
      <c r="E41" s="6" t="s">
        <v>1436</v>
      </c>
      <c r="F41" s="6" t="s">
        <v>1417</v>
      </c>
      <c r="G41" s="6" t="s">
        <v>1437</v>
      </c>
      <c r="H41" s="6" t="s">
        <v>1283</v>
      </c>
      <c r="I41" s="6"/>
      <c r="J41" s="6" t="n">
        <v>0.8</v>
      </c>
      <c r="K41" s="6" t="n">
        <v>1</v>
      </c>
      <c r="L41" s="6" t="n">
        <v>0.8</v>
      </c>
    </row>
    <row r="42" customFormat="false" ht="23.85" hidden="false" customHeight="false" outlineLevel="0" collapsed="false">
      <c r="A42" s="6" t="s">
        <v>1438</v>
      </c>
      <c r="B42" s="6" t="n">
        <v>17</v>
      </c>
      <c r="C42" s="6" t="s">
        <v>1439</v>
      </c>
      <c r="D42" s="6" t="s">
        <v>1279</v>
      </c>
      <c r="E42" s="6" t="s">
        <v>1440</v>
      </c>
      <c r="F42" s="6" t="s">
        <v>1441</v>
      </c>
      <c r="G42" s="6" t="s">
        <v>1442</v>
      </c>
      <c r="H42" s="6" t="s">
        <v>1283</v>
      </c>
      <c r="I42" s="6"/>
      <c r="J42" s="6" t="n">
        <v>0.6</v>
      </c>
      <c r="K42" s="6" t="n">
        <v>1</v>
      </c>
      <c r="L42" s="6" t="n">
        <v>0.6</v>
      </c>
    </row>
    <row r="43" customFormat="false" ht="23.85" hidden="false" customHeight="false" outlineLevel="0" collapsed="false">
      <c r="A43" s="6" t="s">
        <v>1443</v>
      </c>
      <c r="B43" s="6" t="n">
        <v>18</v>
      </c>
      <c r="C43" s="6" t="s">
        <v>1323</v>
      </c>
      <c r="D43" s="6" t="s">
        <v>1279</v>
      </c>
      <c r="E43" s="6" t="s">
        <v>1444</v>
      </c>
      <c r="F43" s="6" t="s">
        <v>1441</v>
      </c>
      <c r="G43" s="6" t="s">
        <v>1445</v>
      </c>
      <c r="H43" s="6" t="s">
        <v>1283</v>
      </c>
      <c r="I43" s="6"/>
      <c r="J43" s="6" t="n">
        <v>0.8</v>
      </c>
      <c r="K43" s="6" t="n">
        <v>1</v>
      </c>
      <c r="L43" s="6" t="n">
        <v>0.8</v>
      </c>
    </row>
    <row r="44" customFormat="false" ht="23.85" hidden="false" customHeight="false" outlineLevel="0" collapsed="false">
      <c r="A44" s="6" t="s">
        <v>1446</v>
      </c>
      <c r="B44" s="6" t="n">
        <v>18</v>
      </c>
      <c r="C44" s="6" t="s">
        <v>1447</v>
      </c>
      <c r="D44" s="6" t="s">
        <v>1279</v>
      </c>
      <c r="E44" s="6" t="s">
        <v>1448</v>
      </c>
      <c r="F44" s="6" t="s">
        <v>1441</v>
      </c>
      <c r="G44" s="6" t="s">
        <v>1449</v>
      </c>
      <c r="H44" s="6" t="s">
        <v>1283</v>
      </c>
      <c r="I44" s="6"/>
      <c r="J44" s="6" t="n">
        <v>0.8</v>
      </c>
      <c r="K44" s="6" t="n">
        <v>1</v>
      </c>
      <c r="L44" s="6" t="n">
        <v>0.8</v>
      </c>
    </row>
    <row r="45" customFormat="false" ht="23.85" hidden="false" customHeight="false" outlineLevel="0" collapsed="false">
      <c r="A45" s="6" t="s">
        <v>1450</v>
      </c>
      <c r="B45" s="6" t="n">
        <v>19</v>
      </c>
      <c r="C45" s="6" t="s">
        <v>1451</v>
      </c>
      <c r="D45" s="6" t="s">
        <v>1279</v>
      </c>
      <c r="E45" s="6" t="s">
        <v>1452</v>
      </c>
      <c r="F45" s="6" t="s">
        <v>1453</v>
      </c>
      <c r="G45" s="6" t="s">
        <v>1454</v>
      </c>
      <c r="H45" s="6" t="s">
        <v>1283</v>
      </c>
      <c r="I45" s="6"/>
      <c r="J45" s="6" t="n">
        <v>0.8</v>
      </c>
      <c r="K45" s="6" t="n">
        <v>1</v>
      </c>
      <c r="L45" s="6" t="n">
        <v>0.8</v>
      </c>
    </row>
    <row r="46" customFormat="false" ht="23.85" hidden="false" customHeight="false" outlineLevel="0" collapsed="false">
      <c r="A46" s="6" t="s">
        <v>1455</v>
      </c>
      <c r="B46" s="6" t="n">
        <v>19</v>
      </c>
      <c r="C46" s="6" t="s">
        <v>1323</v>
      </c>
      <c r="D46" s="6" t="s">
        <v>1279</v>
      </c>
      <c r="E46" s="6" t="s">
        <v>1456</v>
      </c>
      <c r="F46" s="6" t="s">
        <v>1457</v>
      </c>
      <c r="G46" s="6" t="s">
        <v>1458</v>
      </c>
      <c r="H46" s="6" t="s">
        <v>1283</v>
      </c>
      <c r="I46" s="6"/>
      <c r="J46" s="6" t="n">
        <v>0.8</v>
      </c>
      <c r="K46" s="6" t="n">
        <v>1</v>
      </c>
      <c r="L46" s="6" t="n">
        <v>0.8</v>
      </c>
    </row>
    <row r="47" customFormat="false" ht="23.85" hidden="false" customHeight="false" outlineLevel="0" collapsed="false">
      <c r="A47" s="6" t="s">
        <v>1459</v>
      </c>
      <c r="B47" s="6" t="n">
        <v>20</v>
      </c>
      <c r="C47" s="6" t="s">
        <v>1460</v>
      </c>
      <c r="D47" s="6" t="s">
        <v>1279</v>
      </c>
      <c r="E47" s="6" t="s">
        <v>1461</v>
      </c>
      <c r="F47" s="6" t="s">
        <v>1462</v>
      </c>
      <c r="G47" s="6" t="s">
        <v>1463</v>
      </c>
      <c r="H47" s="6" t="s">
        <v>1283</v>
      </c>
      <c r="I47" s="6"/>
      <c r="J47" s="6" t="n">
        <v>0.8</v>
      </c>
      <c r="K47" s="6" t="n">
        <v>1</v>
      </c>
      <c r="L47" s="6" t="n">
        <v>0.8</v>
      </c>
    </row>
    <row r="48" customFormat="false" ht="23.85" hidden="false" customHeight="false" outlineLevel="0" collapsed="false">
      <c r="A48" s="6" t="s">
        <v>1464</v>
      </c>
      <c r="B48" s="6" t="n">
        <v>20</v>
      </c>
      <c r="C48" s="6" t="s">
        <v>1323</v>
      </c>
      <c r="D48" s="6" t="s">
        <v>1279</v>
      </c>
      <c r="E48" s="6" t="s">
        <v>1465</v>
      </c>
      <c r="F48" s="6" t="s">
        <v>1462</v>
      </c>
      <c r="G48" s="6" t="s">
        <v>1466</v>
      </c>
      <c r="H48" s="6" t="s">
        <v>1283</v>
      </c>
      <c r="I48" s="6"/>
      <c r="J48" s="6" t="n">
        <v>0.8</v>
      </c>
      <c r="K48" s="6" t="n">
        <v>1</v>
      </c>
      <c r="L48" s="6" t="n">
        <v>0.8</v>
      </c>
    </row>
    <row r="49" customFormat="false" ht="23.85" hidden="false" customHeight="false" outlineLevel="0" collapsed="false">
      <c r="A49" s="6" t="s">
        <v>1467</v>
      </c>
      <c r="B49" s="6" t="n">
        <v>20</v>
      </c>
      <c r="C49" s="6" t="s">
        <v>1468</v>
      </c>
      <c r="D49" s="6" t="s">
        <v>1279</v>
      </c>
      <c r="E49" s="6" t="s">
        <v>1469</v>
      </c>
      <c r="F49" s="6" t="s">
        <v>1470</v>
      </c>
      <c r="G49" s="6" t="s">
        <v>1471</v>
      </c>
      <c r="H49" s="6" t="s">
        <v>1283</v>
      </c>
      <c r="I49" s="6"/>
      <c r="J49" s="6" t="n">
        <v>0.8</v>
      </c>
      <c r="K49" s="6" t="n">
        <v>1</v>
      </c>
      <c r="L49" s="6" t="n">
        <v>0.8</v>
      </c>
    </row>
    <row r="50" customFormat="false" ht="23.85" hidden="false" customHeight="false" outlineLevel="0" collapsed="false">
      <c r="A50" s="6" t="s">
        <v>1472</v>
      </c>
      <c r="B50" s="6" t="n">
        <v>21</v>
      </c>
      <c r="C50" s="6" t="s">
        <v>1473</v>
      </c>
      <c r="D50" s="6" t="s">
        <v>1279</v>
      </c>
      <c r="E50" s="6" t="s">
        <v>1474</v>
      </c>
      <c r="F50" s="6" t="s">
        <v>1475</v>
      </c>
      <c r="G50" s="6" t="s">
        <v>1476</v>
      </c>
      <c r="H50" s="6" t="s">
        <v>1283</v>
      </c>
      <c r="I50" s="6"/>
      <c r="J50" s="6" t="n">
        <v>0.8</v>
      </c>
      <c r="K50" s="6" t="n">
        <v>1</v>
      </c>
      <c r="L50" s="6" t="n">
        <v>0.8</v>
      </c>
    </row>
    <row r="51" customFormat="false" ht="23.85" hidden="false" customHeight="false" outlineLevel="0" collapsed="false">
      <c r="A51" s="6" t="s">
        <v>1477</v>
      </c>
      <c r="B51" s="6" t="n">
        <v>21</v>
      </c>
      <c r="C51" s="6" t="s">
        <v>1478</v>
      </c>
      <c r="D51" s="6" t="s">
        <v>1279</v>
      </c>
      <c r="E51" s="6" t="s">
        <v>1479</v>
      </c>
      <c r="F51" s="6" t="s">
        <v>1480</v>
      </c>
      <c r="G51" s="6" t="s">
        <v>1481</v>
      </c>
      <c r="H51" s="6" t="s">
        <v>1283</v>
      </c>
      <c r="I51" s="6"/>
      <c r="J51" s="6" t="n">
        <v>0.8</v>
      </c>
      <c r="K51" s="6" t="n">
        <v>1</v>
      </c>
      <c r="L51" s="6" t="n">
        <v>0.8</v>
      </c>
    </row>
    <row r="52" customFormat="false" ht="23.85" hidden="false" customHeight="false" outlineLevel="0" collapsed="false">
      <c r="A52" s="6" t="s">
        <v>1482</v>
      </c>
      <c r="B52" s="6" t="n">
        <v>21</v>
      </c>
      <c r="C52" s="6" t="s">
        <v>1323</v>
      </c>
      <c r="D52" s="6" t="s">
        <v>1279</v>
      </c>
      <c r="E52" s="6" t="s">
        <v>1483</v>
      </c>
      <c r="F52" s="6" t="s">
        <v>1484</v>
      </c>
      <c r="G52" s="6" t="s">
        <v>1485</v>
      </c>
      <c r="H52" s="6" t="s">
        <v>1283</v>
      </c>
      <c r="I52" s="6"/>
      <c r="J52" s="6" t="n">
        <v>0.8</v>
      </c>
      <c r="K52" s="6" t="n">
        <v>1</v>
      </c>
      <c r="L52" s="6" t="n">
        <v>0.8</v>
      </c>
    </row>
    <row r="53" customFormat="false" ht="23.85" hidden="false" customHeight="false" outlineLevel="0" collapsed="false">
      <c r="A53" s="6" t="s">
        <v>1486</v>
      </c>
      <c r="B53" s="6" t="n">
        <v>22</v>
      </c>
      <c r="C53" s="6" t="s">
        <v>1323</v>
      </c>
      <c r="D53" s="6" t="s">
        <v>1279</v>
      </c>
      <c r="E53" s="6" t="s">
        <v>1487</v>
      </c>
      <c r="F53" s="6" t="s">
        <v>1488</v>
      </c>
      <c r="G53" s="6" t="s">
        <v>1489</v>
      </c>
      <c r="H53" s="6" t="s">
        <v>1283</v>
      </c>
      <c r="I53" s="6"/>
      <c r="J53" s="6" t="n">
        <v>0.8</v>
      </c>
      <c r="K53" s="6" t="n">
        <v>1</v>
      </c>
      <c r="L53" s="6" t="n">
        <v>0.8</v>
      </c>
    </row>
    <row r="54" customFormat="false" ht="23.85" hidden="false" customHeight="false" outlineLevel="0" collapsed="false">
      <c r="A54" s="6" t="s">
        <v>1490</v>
      </c>
      <c r="B54" s="6" t="n">
        <v>23</v>
      </c>
      <c r="C54" s="6" t="s">
        <v>1491</v>
      </c>
      <c r="D54" s="6" t="s">
        <v>1279</v>
      </c>
      <c r="E54" s="6" t="s">
        <v>1492</v>
      </c>
      <c r="F54" s="6" t="s">
        <v>1493</v>
      </c>
      <c r="G54" s="6" t="s">
        <v>1494</v>
      </c>
      <c r="H54" s="6" t="s">
        <v>1283</v>
      </c>
      <c r="I54" s="6"/>
      <c r="J54" s="6" t="n">
        <v>0.8</v>
      </c>
      <c r="K54" s="6" t="n">
        <v>1</v>
      </c>
      <c r="L54" s="6" t="n">
        <v>0.8</v>
      </c>
    </row>
    <row r="55" customFormat="false" ht="23.85" hidden="false" customHeight="false" outlineLevel="0" collapsed="false">
      <c r="A55" s="6" t="s">
        <v>1495</v>
      </c>
      <c r="B55" s="6" t="n">
        <v>24</v>
      </c>
      <c r="C55" s="6" t="s">
        <v>1447</v>
      </c>
      <c r="D55" s="6" t="s">
        <v>1279</v>
      </c>
      <c r="E55" s="6" t="s">
        <v>1496</v>
      </c>
      <c r="F55" s="6" t="s">
        <v>1493</v>
      </c>
      <c r="G55" s="6" t="s">
        <v>1497</v>
      </c>
      <c r="H55" s="6" t="s">
        <v>1283</v>
      </c>
      <c r="I55" s="6"/>
      <c r="J55" s="6" t="n">
        <v>0.8</v>
      </c>
      <c r="K55" s="6" t="n">
        <v>1</v>
      </c>
      <c r="L55" s="6" t="n">
        <v>0.8</v>
      </c>
    </row>
    <row r="56" customFormat="false" ht="23.85" hidden="false" customHeight="false" outlineLevel="0" collapsed="false">
      <c r="A56" s="6" t="s">
        <v>1498</v>
      </c>
      <c r="B56" s="6" t="n">
        <v>25</v>
      </c>
      <c r="C56" s="6" t="s">
        <v>1305</v>
      </c>
      <c r="D56" s="6" t="s">
        <v>1279</v>
      </c>
      <c r="E56" s="6" t="s">
        <v>1499</v>
      </c>
      <c r="F56" s="6" t="s">
        <v>1500</v>
      </c>
      <c r="G56" s="6" t="s">
        <v>1501</v>
      </c>
      <c r="H56" s="6" t="s">
        <v>1283</v>
      </c>
      <c r="I56" s="6"/>
      <c r="J56" s="6" t="n">
        <v>0.8</v>
      </c>
      <c r="K56" s="6" t="n">
        <v>1</v>
      </c>
      <c r="L56" s="6" t="n">
        <v>0.8</v>
      </c>
    </row>
    <row r="57" customFormat="false" ht="23.85" hidden="false" customHeight="false" outlineLevel="0" collapsed="false">
      <c r="A57" s="6" t="s">
        <v>1502</v>
      </c>
      <c r="B57" s="6" t="n">
        <v>25</v>
      </c>
      <c r="C57" s="6" t="s">
        <v>1503</v>
      </c>
      <c r="D57" s="6" t="s">
        <v>1279</v>
      </c>
      <c r="E57" s="6" t="s">
        <v>1504</v>
      </c>
      <c r="F57" s="6" t="s">
        <v>1505</v>
      </c>
      <c r="G57" s="6" t="s">
        <v>1506</v>
      </c>
      <c r="H57" s="6" t="s">
        <v>1283</v>
      </c>
      <c r="I57" s="6"/>
      <c r="J57" s="6" t="n">
        <v>0.8</v>
      </c>
      <c r="K57" s="6" t="n">
        <v>1</v>
      </c>
      <c r="L57" s="6" t="n">
        <v>0.8</v>
      </c>
    </row>
    <row r="58" customFormat="false" ht="23.85" hidden="false" customHeight="false" outlineLevel="0" collapsed="false">
      <c r="A58" s="6" t="s">
        <v>1507</v>
      </c>
      <c r="B58" s="6" t="n">
        <v>25</v>
      </c>
      <c r="C58" s="6" t="s">
        <v>1323</v>
      </c>
      <c r="D58" s="6" t="s">
        <v>1279</v>
      </c>
      <c r="E58" s="6" t="s">
        <v>1508</v>
      </c>
      <c r="F58" s="6" t="s">
        <v>1457</v>
      </c>
      <c r="G58" s="6" t="s">
        <v>1509</v>
      </c>
      <c r="H58" s="6" t="s">
        <v>1283</v>
      </c>
      <c r="I58" s="6"/>
      <c r="J58" s="6" t="n">
        <v>0.8</v>
      </c>
      <c r="K58" s="6" t="n">
        <v>1</v>
      </c>
      <c r="L58" s="6" t="n">
        <v>0.8</v>
      </c>
    </row>
    <row r="59" customFormat="false" ht="23.85" hidden="false" customHeight="false" outlineLevel="0" collapsed="false">
      <c r="A59" s="6" t="s">
        <v>1510</v>
      </c>
      <c r="B59" s="6" t="n">
        <v>26</v>
      </c>
      <c r="C59" s="6" t="s">
        <v>1511</v>
      </c>
      <c r="D59" s="6" t="s">
        <v>1279</v>
      </c>
      <c r="E59" s="6" t="s">
        <v>1512</v>
      </c>
      <c r="F59" s="6" t="s">
        <v>1513</v>
      </c>
      <c r="G59" s="6" t="s">
        <v>1514</v>
      </c>
      <c r="H59" s="6" t="s">
        <v>1283</v>
      </c>
      <c r="I59" s="6"/>
      <c r="J59" s="6" t="n">
        <v>0.8</v>
      </c>
      <c r="K59" s="6" t="n">
        <v>1</v>
      </c>
      <c r="L59" s="6" t="n">
        <v>0.8</v>
      </c>
    </row>
    <row r="60" customFormat="false" ht="23.85" hidden="false" customHeight="false" outlineLevel="0" collapsed="false">
      <c r="A60" s="6" t="s">
        <v>1515</v>
      </c>
      <c r="B60" s="6" t="n">
        <v>27</v>
      </c>
      <c r="C60" s="6" t="s">
        <v>1323</v>
      </c>
      <c r="D60" s="6" t="s">
        <v>1279</v>
      </c>
      <c r="E60" s="6" t="s">
        <v>1456</v>
      </c>
      <c r="F60" s="6" t="s">
        <v>1457</v>
      </c>
      <c r="G60" s="6" t="s">
        <v>1458</v>
      </c>
      <c r="H60" s="6" t="s">
        <v>1283</v>
      </c>
      <c r="I60" s="6"/>
      <c r="J60" s="6" t="n">
        <v>0.8</v>
      </c>
      <c r="K60" s="6" t="n">
        <v>1</v>
      </c>
      <c r="L60" s="6" t="n">
        <v>0.8</v>
      </c>
    </row>
    <row r="61" customFormat="false" ht="23.85" hidden="false" customHeight="false" outlineLevel="0" collapsed="false">
      <c r="A61" s="6" t="s">
        <v>1516</v>
      </c>
      <c r="B61" s="6" t="n">
        <v>27</v>
      </c>
      <c r="C61" s="6" t="s">
        <v>1517</v>
      </c>
      <c r="D61" s="6" t="s">
        <v>1279</v>
      </c>
      <c r="E61" s="6" t="s">
        <v>1518</v>
      </c>
      <c r="F61" s="6" t="s">
        <v>1457</v>
      </c>
      <c r="G61" s="6" t="s">
        <v>1519</v>
      </c>
      <c r="H61" s="6" t="s">
        <v>1283</v>
      </c>
      <c r="I61" s="6"/>
      <c r="J61" s="6" t="n">
        <v>0.8</v>
      </c>
      <c r="K61" s="6" t="n">
        <v>1</v>
      </c>
      <c r="L61" s="6" t="n">
        <v>0.8</v>
      </c>
    </row>
    <row r="62" customFormat="false" ht="23.85" hidden="false" customHeight="false" outlineLevel="0" collapsed="false">
      <c r="A62" s="6" t="s">
        <v>1520</v>
      </c>
      <c r="B62" s="6" t="n">
        <v>27</v>
      </c>
      <c r="C62" s="6" t="s">
        <v>1521</v>
      </c>
      <c r="D62" s="6" t="s">
        <v>1279</v>
      </c>
      <c r="E62" s="6" t="s">
        <v>1522</v>
      </c>
      <c r="F62" s="6" t="s">
        <v>1457</v>
      </c>
      <c r="G62" s="6" t="s">
        <v>1523</v>
      </c>
      <c r="H62" s="6" t="s">
        <v>1283</v>
      </c>
      <c r="I62" s="6"/>
      <c r="J62" s="6" t="n">
        <v>0.8</v>
      </c>
      <c r="K62" s="6" t="n">
        <v>1</v>
      </c>
      <c r="L62" s="6" t="n">
        <v>0.8</v>
      </c>
    </row>
    <row r="63" customFormat="false" ht="23.85" hidden="false" customHeight="false" outlineLevel="0" collapsed="false">
      <c r="A63" s="6" t="s">
        <v>1524</v>
      </c>
      <c r="B63" s="6" t="n">
        <v>28</v>
      </c>
      <c r="C63" s="6" t="s">
        <v>1525</v>
      </c>
      <c r="D63" s="6" t="s">
        <v>1279</v>
      </c>
      <c r="E63" s="6" t="s">
        <v>1526</v>
      </c>
      <c r="F63" s="6" t="s">
        <v>1527</v>
      </c>
      <c r="G63" s="6" t="s">
        <v>1528</v>
      </c>
      <c r="H63" s="6" t="s">
        <v>1283</v>
      </c>
      <c r="I63" s="6"/>
      <c r="J63" s="6" t="n">
        <v>0.8</v>
      </c>
      <c r="K63" s="6" t="n">
        <v>1</v>
      </c>
      <c r="L63" s="6" t="n">
        <v>0.8</v>
      </c>
    </row>
    <row r="64" customFormat="false" ht="23.85" hidden="false" customHeight="false" outlineLevel="0" collapsed="false">
      <c r="A64" s="6" t="s">
        <v>1529</v>
      </c>
      <c r="B64" s="6" t="n">
        <v>28</v>
      </c>
      <c r="C64" s="6" t="s">
        <v>1530</v>
      </c>
      <c r="D64" s="6" t="s">
        <v>1279</v>
      </c>
      <c r="E64" s="6" t="s">
        <v>1531</v>
      </c>
      <c r="F64" s="6" t="s">
        <v>1527</v>
      </c>
      <c r="G64" s="6" t="s">
        <v>1532</v>
      </c>
      <c r="H64" s="6" t="s">
        <v>1283</v>
      </c>
      <c r="I64" s="6"/>
      <c r="J64" s="6" t="n">
        <v>0.8</v>
      </c>
      <c r="K64" s="6" t="n">
        <v>1</v>
      </c>
      <c r="L64" s="6" t="n">
        <v>0.8</v>
      </c>
    </row>
    <row r="65" customFormat="false" ht="23.85" hidden="false" customHeight="false" outlineLevel="0" collapsed="false">
      <c r="A65" s="6" t="s">
        <v>1533</v>
      </c>
      <c r="B65" s="6" t="n">
        <v>28</v>
      </c>
      <c r="C65" s="6" t="s">
        <v>1525</v>
      </c>
      <c r="D65" s="6" t="s">
        <v>1279</v>
      </c>
      <c r="E65" s="6" t="s">
        <v>1526</v>
      </c>
      <c r="F65" s="6" t="s">
        <v>1527</v>
      </c>
      <c r="G65" s="6" t="s">
        <v>1528</v>
      </c>
      <c r="H65" s="6" t="s">
        <v>1283</v>
      </c>
      <c r="I65" s="6" t="n">
        <v>29</v>
      </c>
      <c r="J65" s="6" t="n">
        <v>0.8</v>
      </c>
      <c r="K65" s="6" t="n">
        <v>1</v>
      </c>
      <c r="L65" s="6" t="n">
        <v>0.8</v>
      </c>
    </row>
    <row r="66" customFormat="false" ht="23.85" hidden="false" customHeight="false" outlineLevel="0" collapsed="false">
      <c r="A66" s="6" t="s">
        <v>1534</v>
      </c>
      <c r="B66" s="6" t="n">
        <v>28</v>
      </c>
      <c r="C66" s="6" t="s">
        <v>1530</v>
      </c>
      <c r="D66" s="6" t="s">
        <v>1279</v>
      </c>
      <c r="E66" s="6" t="s">
        <v>1531</v>
      </c>
      <c r="F66" s="6" t="s">
        <v>1527</v>
      </c>
      <c r="G66" s="6" t="s">
        <v>1532</v>
      </c>
      <c r="H66" s="6" t="s">
        <v>1283</v>
      </c>
      <c r="I66" s="6" t="n">
        <v>29</v>
      </c>
      <c r="J66" s="6" t="n">
        <v>0.8</v>
      </c>
      <c r="K66" s="6" t="n">
        <v>1</v>
      </c>
      <c r="L66" s="6" t="n">
        <v>0.8</v>
      </c>
    </row>
    <row r="67" customFormat="false" ht="23.85" hidden="false" customHeight="false" outlineLevel="0" collapsed="false">
      <c r="A67" s="6" t="s">
        <v>1535</v>
      </c>
      <c r="B67" s="6" t="n">
        <v>28</v>
      </c>
      <c r="C67" s="6" t="s">
        <v>1536</v>
      </c>
      <c r="D67" s="6" t="s">
        <v>1279</v>
      </c>
      <c r="E67" s="6" t="s">
        <v>1537</v>
      </c>
      <c r="F67" s="6" t="s">
        <v>1538</v>
      </c>
      <c r="G67" s="6" t="s">
        <v>1539</v>
      </c>
      <c r="H67" s="6" t="s">
        <v>1283</v>
      </c>
      <c r="I67" s="6"/>
      <c r="J67" s="6" t="n">
        <v>0.8</v>
      </c>
      <c r="K67" s="6" t="n">
        <v>1</v>
      </c>
      <c r="L67" s="6" t="n">
        <v>0.8</v>
      </c>
    </row>
    <row r="68" customFormat="false" ht="23.85" hidden="false" customHeight="false" outlineLevel="0" collapsed="false">
      <c r="A68" s="6" t="s">
        <v>1540</v>
      </c>
      <c r="B68" s="6" t="n">
        <v>28</v>
      </c>
      <c r="C68" s="6" t="s">
        <v>1536</v>
      </c>
      <c r="D68" s="6" t="s">
        <v>1279</v>
      </c>
      <c r="E68" s="6" t="s">
        <v>1537</v>
      </c>
      <c r="F68" s="6" t="s">
        <v>1538</v>
      </c>
      <c r="G68" s="6" t="s">
        <v>1539</v>
      </c>
      <c r="H68" s="6" t="s">
        <v>1283</v>
      </c>
      <c r="I68" s="6" t="n">
        <v>29</v>
      </c>
      <c r="J68" s="6" t="n">
        <v>0.8</v>
      </c>
      <c r="K68" s="6" t="n">
        <v>1</v>
      </c>
      <c r="L68" s="6" t="n">
        <v>0.8</v>
      </c>
    </row>
    <row r="69" customFormat="false" ht="23.85" hidden="false" customHeight="false" outlineLevel="0" collapsed="false">
      <c r="A69" s="6" t="s">
        <v>1541</v>
      </c>
      <c r="B69" s="6" t="n">
        <v>30</v>
      </c>
      <c r="C69" s="6" t="s">
        <v>1542</v>
      </c>
      <c r="D69" s="6" t="s">
        <v>1279</v>
      </c>
      <c r="E69" s="6" t="s">
        <v>1543</v>
      </c>
      <c r="F69" s="6" t="s">
        <v>1538</v>
      </c>
      <c r="G69" s="6" t="s">
        <v>1544</v>
      </c>
      <c r="H69" s="6" t="s">
        <v>1283</v>
      </c>
      <c r="I69" s="6"/>
      <c r="J69" s="6" t="n">
        <v>0.8</v>
      </c>
      <c r="K69" s="6" t="n">
        <v>1</v>
      </c>
      <c r="L69" s="6" t="n">
        <v>0.8</v>
      </c>
    </row>
    <row r="70" customFormat="false" ht="23.85" hidden="false" customHeight="false" outlineLevel="0" collapsed="false">
      <c r="A70" s="6" t="s">
        <v>1545</v>
      </c>
      <c r="B70" s="6" t="n">
        <v>30</v>
      </c>
      <c r="C70" s="6" t="s">
        <v>1323</v>
      </c>
      <c r="D70" s="6" t="s">
        <v>1279</v>
      </c>
      <c r="E70" s="6" t="s">
        <v>1546</v>
      </c>
      <c r="F70" s="6" t="s">
        <v>1538</v>
      </c>
      <c r="G70" s="6" t="s">
        <v>1547</v>
      </c>
      <c r="H70" s="6" t="s">
        <v>1283</v>
      </c>
      <c r="I70" s="6"/>
      <c r="J70" s="6" t="n">
        <v>0.8</v>
      </c>
      <c r="K70" s="6" t="n">
        <v>1</v>
      </c>
      <c r="L70" s="6" t="n">
        <v>0.8</v>
      </c>
    </row>
    <row r="71" customFormat="false" ht="23.85" hidden="false" customHeight="false" outlineLevel="0" collapsed="false">
      <c r="A71" s="6" t="s">
        <v>1548</v>
      </c>
      <c r="B71" s="6" t="n">
        <v>30</v>
      </c>
      <c r="C71" s="6" t="s">
        <v>1549</v>
      </c>
      <c r="D71" s="6" t="s">
        <v>1279</v>
      </c>
      <c r="E71" s="6" t="s">
        <v>1550</v>
      </c>
      <c r="F71" s="6" t="s">
        <v>1551</v>
      </c>
      <c r="G71" s="6" t="s">
        <v>1552</v>
      </c>
      <c r="H71" s="6" t="s">
        <v>1283</v>
      </c>
      <c r="I71" s="6"/>
      <c r="J71" s="6" t="n">
        <v>0.8</v>
      </c>
      <c r="K71" s="6" t="n">
        <v>1</v>
      </c>
      <c r="L71" s="6" t="n">
        <v>0.8</v>
      </c>
    </row>
    <row r="72" customFormat="false" ht="23.85" hidden="false" customHeight="false" outlineLevel="0" collapsed="false">
      <c r="A72" s="6" t="s">
        <v>1553</v>
      </c>
      <c r="B72" s="6" t="n">
        <v>31</v>
      </c>
      <c r="C72" s="6" t="s">
        <v>1536</v>
      </c>
      <c r="D72" s="6" t="s">
        <v>1279</v>
      </c>
      <c r="E72" s="6" t="s">
        <v>1537</v>
      </c>
      <c r="F72" s="6" t="s">
        <v>1538</v>
      </c>
      <c r="G72" s="6" t="s">
        <v>1539</v>
      </c>
      <c r="H72" s="6" t="s">
        <v>1283</v>
      </c>
      <c r="I72" s="6"/>
      <c r="J72" s="6" t="n">
        <v>0.8</v>
      </c>
      <c r="K72" s="6" t="n">
        <v>1</v>
      </c>
      <c r="L72" s="6" t="n">
        <v>0.8</v>
      </c>
    </row>
    <row r="73" customFormat="false" ht="23.85" hidden="false" customHeight="false" outlineLevel="0" collapsed="false">
      <c r="A73" s="6" t="s">
        <v>1554</v>
      </c>
      <c r="B73" s="6" t="n">
        <v>31</v>
      </c>
      <c r="C73" s="6" t="s">
        <v>1549</v>
      </c>
      <c r="D73" s="6" t="s">
        <v>1279</v>
      </c>
      <c r="E73" s="6" t="s">
        <v>1550</v>
      </c>
      <c r="F73" s="6" t="s">
        <v>1551</v>
      </c>
      <c r="G73" s="6" t="s">
        <v>1552</v>
      </c>
      <c r="H73" s="6" t="s">
        <v>1283</v>
      </c>
      <c r="I73" s="6"/>
      <c r="J73" s="6" t="n">
        <v>0.8</v>
      </c>
      <c r="K73" s="6" t="n">
        <v>1</v>
      </c>
      <c r="L73" s="6" t="n">
        <v>0.8</v>
      </c>
    </row>
    <row r="74" customFormat="false" ht="23.85" hidden="false" customHeight="false" outlineLevel="0" collapsed="false">
      <c r="A74" s="6" t="s">
        <v>1555</v>
      </c>
      <c r="B74" s="6" t="n">
        <v>31</v>
      </c>
      <c r="C74" s="6" t="s">
        <v>1305</v>
      </c>
      <c r="D74" s="6" t="s">
        <v>1279</v>
      </c>
      <c r="E74" s="6" t="s">
        <v>1556</v>
      </c>
      <c r="F74" s="6" t="s">
        <v>1551</v>
      </c>
      <c r="G74" s="6" t="s">
        <v>1557</v>
      </c>
      <c r="H74" s="6" t="s">
        <v>1283</v>
      </c>
      <c r="I74" s="6"/>
      <c r="J74" s="6" t="n">
        <v>0.8</v>
      </c>
      <c r="K74" s="6" t="n">
        <v>1</v>
      </c>
      <c r="L74" s="6" t="n">
        <v>0.8</v>
      </c>
    </row>
    <row r="75" customFormat="false" ht="23.85" hidden="false" customHeight="false" outlineLevel="0" collapsed="false">
      <c r="A75" s="6" t="s">
        <v>1558</v>
      </c>
      <c r="B75" s="6" t="n">
        <v>32</v>
      </c>
      <c r="C75" s="6" t="s">
        <v>1327</v>
      </c>
      <c r="D75" s="6" t="s">
        <v>1279</v>
      </c>
      <c r="E75" s="6" t="s">
        <v>1559</v>
      </c>
      <c r="F75" s="6" t="s">
        <v>1538</v>
      </c>
      <c r="G75" s="6" t="s">
        <v>1560</v>
      </c>
      <c r="H75" s="6" t="s">
        <v>1283</v>
      </c>
      <c r="I75" s="6"/>
      <c r="J75" s="6" t="n">
        <v>0.8</v>
      </c>
      <c r="K75" s="6" t="n">
        <v>1</v>
      </c>
      <c r="L75" s="6" t="n">
        <v>0.8</v>
      </c>
    </row>
    <row r="76" customFormat="false" ht="23.85" hidden="false" customHeight="false" outlineLevel="0" collapsed="false">
      <c r="A76" s="6" t="s">
        <v>1561</v>
      </c>
      <c r="B76" s="6" t="n">
        <v>32</v>
      </c>
      <c r="C76" s="6" t="s">
        <v>1331</v>
      </c>
      <c r="D76" s="6" t="s">
        <v>1279</v>
      </c>
      <c r="E76" s="6" t="s">
        <v>1562</v>
      </c>
      <c r="F76" s="6" t="s">
        <v>1538</v>
      </c>
      <c r="G76" s="6" t="s">
        <v>1563</v>
      </c>
      <c r="H76" s="6" t="s">
        <v>1283</v>
      </c>
      <c r="I76" s="6"/>
      <c r="J76" s="6" t="n">
        <v>0.8</v>
      </c>
      <c r="K76" s="6" t="n">
        <v>1</v>
      </c>
      <c r="L76" s="6" t="n">
        <v>0.8</v>
      </c>
    </row>
    <row r="77" customFormat="false" ht="23.85" hidden="false" customHeight="false" outlineLevel="0" collapsed="false">
      <c r="A77" s="6" t="s">
        <v>1564</v>
      </c>
      <c r="B77" s="6" t="n">
        <v>32</v>
      </c>
      <c r="C77" s="6" t="s">
        <v>1565</v>
      </c>
      <c r="D77" s="6" t="s">
        <v>1279</v>
      </c>
      <c r="E77" s="6" t="s">
        <v>1566</v>
      </c>
      <c r="F77" s="6" t="s">
        <v>1567</v>
      </c>
      <c r="G77" s="6" t="s">
        <v>1568</v>
      </c>
      <c r="H77" s="6" t="s">
        <v>1283</v>
      </c>
      <c r="I77" s="6"/>
      <c r="J77" s="6" t="n">
        <v>0.8</v>
      </c>
      <c r="K77" s="6" t="n">
        <v>1</v>
      </c>
      <c r="L77" s="6" t="n">
        <v>0.8</v>
      </c>
    </row>
    <row r="78" customFormat="false" ht="23.85" hidden="false" customHeight="false" outlineLevel="0" collapsed="false">
      <c r="A78" s="6" t="s">
        <v>1569</v>
      </c>
      <c r="B78" s="6" t="n">
        <v>32</v>
      </c>
      <c r="C78" s="6" t="s">
        <v>1565</v>
      </c>
      <c r="D78" s="6" t="s">
        <v>1279</v>
      </c>
      <c r="E78" s="6" t="s">
        <v>1570</v>
      </c>
      <c r="F78" s="6" t="s">
        <v>1571</v>
      </c>
      <c r="G78" s="6" t="s">
        <v>1572</v>
      </c>
      <c r="H78" s="6" t="s">
        <v>1283</v>
      </c>
      <c r="I78" s="6"/>
      <c r="J78" s="6" t="n">
        <v>0.8</v>
      </c>
      <c r="K78" s="6" t="n">
        <v>1</v>
      </c>
      <c r="L78" s="6" t="n">
        <v>0.8</v>
      </c>
    </row>
    <row r="79" customFormat="false" ht="15" hidden="false" customHeight="false" outlineLevel="0" collapsed="false">
      <c r="A79" s="6" t="s">
        <v>1573</v>
      </c>
      <c r="B79" s="6" t="n">
        <v>33</v>
      </c>
      <c r="C79" s="6" t="s">
        <v>1447</v>
      </c>
      <c r="D79" s="6" t="s">
        <v>1279</v>
      </c>
      <c r="E79" s="6" t="s">
        <v>1574</v>
      </c>
      <c r="F79" s="6" t="s">
        <v>1575</v>
      </c>
      <c r="G79" s="6" t="s">
        <v>1576</v>
      </c>
      <c r="H79" s="6" t="s">
        <v>1283</v>
      </c>
      <c r="I79" s="6"/>
      <c r="J79" s="6" t="n">
        <v>0.8</v>
      </c>
      <c r="K79" s="6" t="n">
        <v>1</v>
      </c>
      <c r="L79" s="6" t="n">
        <v>0.8</v>
      </c>
    </row>
    <row r="80" customFormat="false" ht="23.85" hidden="false" customHeight="false" outlineLevel="0" collapsed="false">
      <c r="A80" s="6" t="s">
        <v>1577</v>
      </c>
      <c r="B80" s="6" t="n">
        <v>33</v>
      </c>
      <c r="C80" s="6" t="s">
        <v>1309</v>
      </c>
      <c r="D80" s="6" t="s">
        <v>1279</v>
      </c>
      <c r="E80" s="6" t="s">
        <v>1578</v>
      </c>
      <c r="F80" s="6" t="s">
        <v>1575</v>
      </c>
      <c r="G80" s="6" t="s">
        <v>1579</v>
      </c>
      <c r="H80" s="6" t="s">
        <v>1283</v>
      </c>
      <c r="I80" s="6"/>
      <c r="J80" s="6" t="n">
        <v>0.8</v>
      </c>
      <c r="K80" s="6" t="n">
        <v>1</v>
      </c>
      <c r="L80" s="6" t="n">
        <v>0.8</v>
      </c>
    </row>
    <row r="81" customFormat="false" ht="23.85" hidden="false" customHeight="false" outlineLevel="0" collapsed="false">
      <c r="A81" s="6" t="s">
        <v>1580</v>
      </c>
      <c r="B81" s="6" t="n">
        <v>34</v>
      </c>
      <c r="C81" s="6" t="s">
        <v>1581</v>
      </c>
      <c r="D81" s="6" t="s">
        <v>1279</v>
      </c>
      <c r="E81" s="6" t="s">
        <v>1582</v>
      </c>
      <c r="F81" s="6" t="s">
        <v>1575</v>
      </c>
      <c r="G81" s="6" t="s">
        <v>1583</v>
      </c>
      <c r="H81" s="6" t="s">
        <v>1283</v>
      </c>
      <c r="I81" s="6"/>
      <c r="J81" s="6" t="n">
        <v>0.8</v>
      </c>
      <c r="K81" s="6" t="n">
        <v>1</v>
      </c>
      <c r="L81" s="6" t="n">
        <v>0.8</v>
      </c>
    </row>
    <row r="82" customFormat="false" ht="15" hidden="false" customHeight="false" outlineLevel="0" collapsed="false">
      <c r="A82" s="6" t="s">
        <v>1584</v>
      </c>
      <c r="B82" s="6" t="n">
        <v>34</v>
      </c>
      <c r="C82" s="6" t="s">
        <v>1447</v>
      </c>
      <c r="D82" s="6" t="s">
        <v>1279</v>
      </c>
      <c r="E82" s="6" t="s">
        <v>1585</v>
      </c>
      <c r="F82" s="6" t="s">
        <v>1586</v>
      </c>
      <c r="G82" s="6" t="s">
        <v>1587</v>
      </c>
      <c r="H82" s="6" t="s">
        <v>1283</v>
      </c>
      <c r="I82" s="6"/>
      <c r="J82" s="6" t="n">
        <v>0.8</v>
      </c>
      <c r="K82" s="6" t="n">
        <v>1</v>
      </c>
      <c r="L82" s="6" t="n">
        <v>0.8</v>
      </c>
    </row>
    <row r="83" customFormat="false" ht="23.85" hidden="false" customHeight="false" outlineLevel="0" collapsed="false">
      <c r="A83" s="6" t="s">
        <v>1588</v>
      </c>
      <c r="B83" s="6" t="n">
        <v>34</v>
      </c>
      <c r="C83" s="6" t="s">
        <v>1327</v>
      </c>
      <c r="D83" s="6" t="s">
        <v>1279</v>
      </c>
      <c r="E83" s="6" t="s">
        <v>1589</v>
      </c>
      <c r="F83" s="6" t="s">
        <v>1586</v>
      </c>
      <c r="G83" s="6" t="s">
        <v>1590</v>
      </c>
      <c r="H83" s="6" t="s">
        <v>1283</v>
      </c>
      <c r="I83" s="6"/>
      <c r="J83" s="6" t="n">
        <v>0.8</v>
      </c>
      <c r="K83" s="6" t="n">
        <v>1</v>
      </c>
      <c r="L83" s="6" t="n">
        <v>0.8</v>
      </c>
    </row>
    <row r="84" customFormat="false" ht="23.85" hidden="false" customHeight="false" outlineLevel="0" collapsed="false">
      <c r="A84" s="6" t="s">
        <v>1591</v>
      </c>
      <c r="B84" s="6" t="n">
        <v>35</v>
      </c>
      <c r="C84" s="6" t="s">
        <v>1309</v>
      </c>
      <c r="D84" s="6" t="s">
        <v>1279</v>
      </c>
      <c r="E84" s="6" t="s">
        <v>1578</v>
      </c>
      <c r="F84" s="6" t="s">
        <v>1575</v>
      </c>
      <c r="G84" s="6" t="s">
        <v>1579</v>
      </c>
      <c r="H84" s="6" t="s">
        <v>1283</v>
      </c>
      <c r="I84" s="6"/>
      <c r="J84" s="6" t="n">
        <v>0.8</v>
      </c>
      <c r="K84" s="6" t="n">
        <v>1</v>
      </c>
      <c r="L84" s="6" t="n">
        <v>0.8</v>
      </c>
    </row>
    <row r="85" customFormat="false" ht="23.85" hidden="false" customHeight="false" outlineLevel="0" collapsed="false">
      <c r="A85" s="6" t="s">
        <v>1592</v>
      </c>
      <c r="B85" s="6" t="n">
        <v>35</v>
      </c>
      <c r="C85" s="6" t="s">
        <v>1447</v>
      </c>
      <c r="D85" s="6" t="s">
        <v>1279</v>
      </c>
      <c r="E85" s="6" t="s">
        <v>1593</v>
      </c>
      <c r="F85" s="6" t="s">
        <v>1586</v>
      </c>
      <c r="G85" s="6" t="s">
        <v>1594</v>
      </c>
      <c r="H85" s="6" t="s">
        <v>1283</v>
      </c>
      <c r="I85" s="6"/>
      <c r="J85" s="6" t="n">
        <v>0.8</v>
      </c>
      <c r="K85" s="6" t="n">
        <v>1</v>
      </c>
      <c r="L85" s="6" t="n">
        <v>0.8</v>
      </c>
    </row>
    <row r="86" customFormat="false" ht="23.85" hidden="false" customHeight="false" outlineLevel="0" collapsed="false">
      <c r="A86" s="6" t="s">
        <v>1595</v>
      </c>
      <c r="B86" s="6" t="n">
        <v>35</v>
      </c>
      <c r="C86" s="6" t="s">
        <v>1323</v>
      </c>
      <c r="D86" s="6" t="s">
        <v>1279</v>
      </c>
      <c r="E86" s="6" t="s">
        <v>1596</v>
      </c>
      <c r="F86" s="6" t="s">
        <v>1597</v>
      </c>
      <c r="G86" s="6" t="s">
        <v>1598</v>
      </c>
      <c r="H86" s="6" t="s">
        <v>1283</v>
      </c>
      <c r="I86" s="6"/>
      <c r="J86" s="6" t="n">
        <v>0.8</v>
      </c>
      <c r="K86" s="6" t="n">
        <v>1</v>
      </c>
      <c r="L86" s="6" t="n">
        <v>0.8</v>
      </c>
    </row>
    <row r="87" customFormat="false" ht="23.85" hidden="false" customHeight="false" outlineLevel="0" collapsed="false">
      <c r="A87" s="6" t="s">
        <v>1599</v>
      </c>
      <c r="B87" s="6" t="n">
        <v>36</v>
      </c>
      <c r="C87" s="6" t="s">
        <v>1600</v>
      </c>
      <c r="D87" s="6" t="s">
        <v>1279</v>
      </c>
      <c r="E87" s="6" t="s">
        <v>1601</v>
      </c>
      <c r="F87" s="6" t="s">
        <v>1602</v>
      </c>
      <c r="G87" s="6" t="s">
        <v>1603</v>
      </c>
      <c r="H87" s="6" t="s">
        <v>1283</v>
      </c>
      <c r="I87" s="6"/>
      <c r="J87" s="6" t="n">
        <v>0.8</v>
      </c>
      <c r="K87" s="6" t="n">
        <v>1</v>
      </c>
      <c r="L87" s="6" t="n">
        <v>0.8</v>
      </c>
    </row>
    <row r="88" customFormat="false" ht="23.85" hidden="false" customHeight="false" outlineLevel="0" collapsed="false">
      <c r="A88" s="6" t="s">
        <v>1604</v>
      </c>
      <c r="B88" s="6" t="n">
        <v>37</v>
      </c>
      <c r="C88" s="6" t="s">
        <v>1309</v>
      </c>
      <c r="D88" s="6" t="s">
        <v>1279</v>
      </c>
      <c r="E88" s="6" t="s">
        <v>1605</v>
      </c>
      <c r="F88" s="6" t="s">
        <v>1606</v>
      </c>
      <c r="G88" s="6" t="s">
        <v>1607</v>
      </c>
      <c r="H88" s="6" t="s">
        <v>1283</v>
      </c>
      <c r="I88" s="6"/>
      <c r="J88" s="6" t="n">
        <v>0.8</v>
      </c>
      <c r="K88" s="6" t="n">
        <v>1</v>
      </c>
      <c r="L88" s="6" t="n">
        <v>0.8</v>
      </c>
    </row>
    <row r="89" customFormat="false" ht="23.85" hidden="false" customHeight="false" outlineLevel="0" collapsed="false">
      <c r="A89" s="6" t="s">
        <v>1608</v>
      </c>
      <c r="B89" s="6" t="n">
        <v>38</v>
      </c>
      <c r="C89" s="6" t="s">
        <v>1432</v>
      </c>
      <c r="D89" s="6" t="s">
        <v>1279</v>
      </c>
      <c r="E89" s="6" t="s">
        <v>1609</v>
      </c>
      <c r="F89" s="6" t="s">
        <v>1610</v>
      </c>
      <c r="G89" s="6" t="s">
        <v>1611</v>
      </c>
      <c r="H89" s="6" t="s">
        <v>1283</v>
      </c>
      <c r="I89" s="6"/>
      <c r="J89" s="6" t="n">
        <v>0.8</v>
      </c>
      <c r="K89" s="6" t="n">
        <v>1</v>
      </c>
      <c r="L89" s="6" t="n">
        <v>0.8</v>
      </c>
    </row>
    <row r="90" customFormat="false" ht="23.85" hidden="false" customHeight="false" outlineLevel="0" collapsed="false">
      <c r="A90" s="6" t="s">
        <v>1612</v>
      </c>
      <c r="B90" s="6" t="n">
        <v>38</v>
      </c>
      <c r="C90" s="6" t="s">
        <v>1401</v>
      </c>
      <c r="D90" s="6" t="s">
        <v>1279</v>
      </c>
      <c r="E90" s="6" t="s">
        <v>1613</v>
      </c>
      <c r="F90" s="6" t="s">
        <v>1614</v>
      </c>
      <c r="G90" s="6" t="s">
        <v>1615</v>
      </c>
      <c r="H90" s="6" t="s">
        <v>1283</v>
      </c>
      <c r="I90" s="6"/>
      <c r="J90" s="6" t="n">
        <v>0.8</v>
      </c>
      <c r="K90" s="6" t="n">
        <v>1</v>
      </c>
      <c r="L90" s="6" t="n">
        <v>0.8</v>
      </c>
    </row>
    <row r="91" customFormat="false" ht="23.85" hidden="false" customHeight="false" outlineLevel="0" collapsed="false">
      <c r="A91" s="6" t="s">
        <v>1616</v>
      </c>
      <c r="B91" s="6" t="n">
        <v>39</v>
      </c>
      <c r="C91" s="6" t="s">
        <v>1617</v>
      </c>
      <c r="D91" s="6" t="s">
        <v>1279</v>
      </c>
      <c r="E91" s="6" t="s">
        <v>1618</v>
      </c>
      <c r="F91" s="6" t="s">
        <v>1567</v>
      </c>
      <c r="G91" s="6" t="s">
        <v>1619</v>
      </c>
      <c r="H91" s="6" t="s">
        <v>1283</v>
      </c>
      <c r="I91" s="6"/>
      <c r="J91" s="6" t="n">
        <v>0.8</v>
      </c>
      <c r="K91" s="6" t="n">
        <v>1</v>
      </c>
      <c r="L91" s="6" t="n">
        <v>0.8</v>
      </c>
    </row>
    <row r="92" customFormat="false" ht="23.85" hidden="false" customHeight="false" outlineLevel="0" collapsed="false">
      <c r="A92" s="6" t="s">
        <v>1620</v>
      </c>
      <c r="B92" s="6" t="n">
        <v>39</v>
      </c>
      <c r="C92" s="6" t="s">
        <v>1323</v>
      </c>
      <c r="D92" s="6" t="s">
        <v>1279</v>
      </c>
      <c r="E92" s="6" t="s">
        <v>1621</v>
      </c>
      <c r="F92" s="6" t="s">
        <v>1567</v>
      </c>
      <c r="G92" s="6" t="s">
        <v>1622</v>
      </c>
      <c r="H92" s="6" t="s">
        <v>1283</v>
      </c>
      <c r="I92" s="6"/>
      <c r="J92" s="6" t="n">
        <v>0.8</v>
      </c>
      <c r="K92" s="6" t="n">
        <v>1</v>
      </c>
      <c r="L92" s="6" t="n">
        <v>0.8</v>
      </c>
    </row>
    <row r="93" customFormat="false" ht="23.85" hidden="false" customHeight="false" outlineLevel="0" collapsed="false">
      <c r="A93" s="6" t="s">
        <v>1623</v>
      </c>
      <c r="B93" s="6" t="n">
        <v>40</v>
      </c>
      <c r="C93" s="6" t="s">
        <v>1323</v>
      </c>
      <c r="D93" s="6" t="s">
        <v>1279</v>
      </c>
      <c r="E93" s="6" t="s">
        <v>1624</v>
      </c>
      <c r="F93" s="6" t="s">
        <v>1625</v>
      </c>
      <c r="G93" s="6" t="s">
        <v>1626</v>
      </c>
      <c r="H93" s="6" t="s">
        <v>1283</v>
      </c>
      <c r="I93" s="6"/>
      <c r="J93" s="6" t="n">
        <v>0.8</v>
      </c>
      <c r="K93" s="6" t="n">
        <v>1</v>
      </c>
      <c r="L93" s="6" t="n">
        <v>0.8</v>
      </c>
    </row>
    <row r="94" customFormat="false" ht="23.85" hidden="false" customHeight="false" outlineLevel="0" collapsed="false">
      <c r="A94" s="6" t="s">
        <v>1627</v>
      </c>
      <c r="B94" s="6" t="n">
        <v>40</v>
      </c>
      <c r="C94" s="6" t="s">
        <v>1628</v>
      </c>
      <c r="D94" s="6" t="s">
        <v>1279</v>
      </c>
      <c r="E94" s="6" t="s">
        <v>1629</v>
      </c>
      <c r="F94" s="6" t="s">
        <v>1630</v>
      </c>
      <c r="G94" s="6" t="s">
        <v>1631</v>
      </c>
      <c r="H94" s="6" t="s">
        <v>1283</v>
      </c>
      <c r="I94" s="6"/>
      <c r="J94" s="6" t="n">
        <v>0.8</v>
      </c>
      <c r="K94" s="6" t="n">
        <v>1</v>
      </c>
      <c r="L94" s="6" t="n">
        <v>0.8</v>
      </c>
    </row>
    <row r="95" customFormat="false" ht="23.85" hidden="false" customHeight="false" outlineLevel="0" collapsed="false">
      <c r="A95" s="6" t="s">
        <v>1632</v>
      </c>
      <c r="B95" s="6" t="n">
        <v>40</v>
      </c>
      <c r="C95" s="6" t="s">
        <v>1633</v>
      </c>
      <c r="D95" s="6" t="s">
        <v>1279</v>
      </c>
      <c r="E95" s="6" t="s">
        <v>1634</v>
      </c>
      <c r="F95" s="6" t="s">
        <v>1635</v>
      </c>
      <c r="G95" s="6" t="s">
        <v>1636</v>
      </c>
      <c r="H95" s="6" t="s">
        <v>1283</v>
      </c>
      <c r="I95" s="6"/>
      <c r="J95" s="6" t="n">
        <v>0.8</v>
      </c>
      <c r="K95" s="6" t="n">
        <v>1</v>
      </c>
      <c r="L95" s="6" t="n">
        <v>0.8</v>
      </c>
    </row>
    <row r="96" customFormat="false" ht="23.85" hidden="false" customHeight="false" outlineLevel="0" collapsed="false">
      <c r="A96" s="6" t="s">
        <v>1637</v>
      </c>
      <c r="B96" s="6" t="n">
        <v>41</v>
      </c>
      <c r="C96" s="6" t="s">
        <v>1638</v>
      </c>
      <c r="D96" s="6" t="s">
        <v>1279</v>
      </c>
      <c r="E96" s="6" t="s">
        <v>1639</v>
      </c>
      <c r="F96" s="6" t="s">
        <v>1640</v>
      </c>
      <c r="G96" s="6" t="s">
        <v>1641</v>
      </c>
      <c r="H96" s="6" t="s">
        <v>1283</v>
      </c>
      <c r="I96" s="6"/>
      <c r="J96" s="6" t="n">
        <v>0.8</v>
      </c>
      <c r="K96" s="6" t="n">
        <v>1</v>
      </c>
      <c r="L96" s="6" t="n">
        <v>0.8</v>
      </c>
    </row>
    <row r="97" customFormat="false" ht="23.85" hidden="false" customHeight="false" outlineLevel="0" collapsed="false">
      <c r="A97" s="6" t="s">
        <v>1642</v>
      </c>
      <c r="B97" s="6" t="n">
        <v>41</v>
      </c>
      <c r="C97" s="6" t="s">
        <v>1305</v>
      </c>
      <c r="D97" s="6" t="s">
        <v>1279</v>
      </c>
      <c r="E97" s="6" t="s">
        <v>1643</v>
      </c>
      <c r="F97" s="6" t="s">
        <v>1640</v>
      </c>
      <c r="G97" s="6" t="s">
        <v>1644</v>
      </c>
      <c r="H97" s="6" t="s">
        <v>1283</v>
      </c>
      <c r="I97" s="6"/>
      <c r="J97" s="6" t="n">
        <v>0.8</v>
      </c>
      <c r="K97" s="6" t="n">
        <v>1</v>
      </c>
      <c r="L97" s="6" t="n">
        <v>0.8</v>
      </c>
    </row>
    <row r="98" customFormat="false" ht="23.85" hidden="false" customHeight="false" outlineLevel="0" collapsed="false">
      <c r="A98" s="6" t="s">
        <v>1645</v>
      </c>
      <c r="B98" s="6" t="n">
        <v>42</v>
      </c>
      <c r="C98" s="6" t="s">
        <v>1638</v>
      </c>
      <c r="D98" s="6" t="s">
        <v>1279</v>
      </c>
      <c r="E98" s="6" t="s">
        <v>1639</v>
      </c>
      <c r="F98" s="6" t="s">
        <v>1640</v>
      </c>
      <c r="G98" s="6" t="s">
        <v>1641</v>
      </c>
      <c r="H98" s="6" t="s">
        <v>1283</v>
      </c>
      <c r="I98" s="6"/>
      <c r="J98" s="6" t="n">
        <v>0.8</v>
      </c>
      <c r="K98" s="6" t="n">
        <v>1</v>
      </c>
      <c r="L98" s="6" t="n">
        <v>0.8</v>
      </c>
    </row>
    <row r="99" customFormat="false" ht="23.85" hidden="false" customHeight="false" outlineLevel="0" collapsed="false">
      <c r="A99" s="6" t="s">
        <v>1646</v>
      </c>
      <c r="B99" s="6" t="n">
        <v>42</v>
      </c>
      <c r="C99" s="6" t="s">
        <v>1305</v>
      </c>
      <c r="D99" s="6" t="s">
        <v>1279</v>
      </c>
      <c r="E99" s="6" t="s">
        <v>1643</v>
      </c>
      <c r="F99" s="6" t="s">
        <v>1640</v>
      </c>
      <c r="G99" s="6" t="s">
        <v>1644</v>
      </c>
      <c r="H99" s="6" t="s">
        <v>1283</v>
      </c>
      <c r="I99" s="6"/>
      <c r="J99" s="6" t="n">
        <v>0.8</v>
      </c>
      <c r="K99" s="6" t="n">
        <v>1</v>
      </c>
      <c r="L99" s="6" t="n">
        <v>0.8</v>
      </c>
    </row>
    <row r="100" customFormat="false" ht="23.85" hidden="false" customHeight="false" outlineLevel="0" collapsed="false">
      <c r="A100" s="6" t="s">
        <v>1647</v>
      </c>
      <c r="B100" s="6" t="n">
        <v>43</v>
      </c>
      <c r="C100" s="6" t="s">
        <v>1648</v>
      </c>
      <c r="D100" s="6" t="s">
        <v>1279</v>
      </c>
      <c r="E100" s="6" t="s">
        <v>1649</v>
      </c>
      <c r="F100" s="6" t="s">
        <v>1650</v>
      </c>
      <c r="G100" s="6" t="s">
        <v>1651</v>
      </c>
      <c r="H100" s="6" t="s">
        <v>1283</v>
      </c>
      <c r="I100" s="6"/>
      <c r="J100" s="6" t="n">
        <v>0.8</v>
      </c>
      <c r="K100" s="6" t="n">
        <v>1</v>
      </c>
      <c r="L100" s="6" t="n">
        <v>0.8</v>
      </c>
    </row>
    <row r="101" customFormat="false" ht="23.85" hidden="false" customHeight="false" outlineLevel="0" collapsed="false">
      <c r="A101" s="6" t="s">
        <v>1652</v>
      </c>
      <c r="B101" s="6" t="n">
        <v>44</v>
      </c>
      <c r="C101" s="6" t="s">
        <v>1355</v>
      </c>
      <c r="D101" s="6" t="s">
        <v>1279</v>
      </c>
      <c r="E101" s="6" t="s">
        <v>1653</v>
      </c>
      <c r="F101" s="6" t="s">
        <v>1654</v>
      </c>
      <c r="G101" s="6" t="s">
        <v>1655</v>
      </c>
      <c r="H101" s="6" t="s">
        <v>1283</v>
      </c>
      <c r="I101" s="6"/>
      <c r="J101" s="6" t="n">
        <v>0.8</v>
      </c>
      <c r="K101" s="6" t="n">
        <v>1</v>
      </c>
      <c r="L101" s="6" t="n">
        <v>0.8</v>
      </c>
    </row>
    <row r="102" customFormat="false" ht="23.85" hidden="false" customHeight="false" outlineLevel="0" collapsed="false">
      <c r="A102" s="6" t="s">
        <v>1656</v>
      </c>
      <c r="B102" s="6" t="n">
        <v>45</v>
      </c>
      <c r="C102" s="6" t="s">
        <v>1657</v>
      </c>
      <c r="D102" s="6" t="s">
        <v>1279</v>
      </c>
      <c r="E102" s="6" t="s">
        <v>1658</v>
      </c>
      <c r="F102" s="6" t="s">
        <v>1654</v>
      </c>
      <c r="G102" s="6" t="s">
        <v>1659</v>
      </c>
      <c r="H102" s="6" t="s">
        <v>1283</v>
      </c>
      <c r="I102" s="6"/>
      <c r="J102" s="6" t="n">
        <v>0.8</v>
      </c>
      <c r="K102" s="6" t="n">
        <v>1</v>
      </c>
      <c r="L102" s="6" t="n">
        <v>0.8</v>
      </c>
    </row>
    <row r="103" customFormat="false" ht="23.85" hidden="false" customHeight="false" outlineLevel="0" collapsed="false">
      <c r="A103" s="6" t="s">
        <v>1660</v>
      </c>
      <c r="B103" s="6" t="n">
        <v>46</v>
      </c>
      <c r="C103" s="6" t="s">
        <v>1661</v>
      </c>
      <c r="D103" s="6" t="s">
        <v>1662</v>
      </c>
      <c r="E103" s="6" t="s">
        <v>1663</v>
      </c>
      <c r="F103" s="6" t="s">
        <v>1654</v>
      </c>
      <c r="G103" s="6" t="s">
        <v>1664</v>
      </c>
      <c r="H103" s="6" t="s">
        <v>1377</v>
      </c>
      <c r="I103" s="6"/>
      <c r="J103" s="6" t="n">
        <v>0.8</v>
      </c>
      <c r="K103" s="6" t="n">
        <v>0.8</v>
      </c>
      <c r="L103" s="6" t="n">
        <v>0.64</v>
      </c>
    </row>
    <row r="104" customFormat="false" ht="23.85" hidden="false" customHeight="false" outlineLevel="0" collapsed="false">
      <c r="A104" s="6" t="s">
        <v>1665</v>
      </c>
      <c r="B104" s="6" t="n">
        <v>46</v>
      </c>
      <c r="C104" s="6" t="s">
        <v>1666</v>
      </c>
      <c r="D104" s="6" t="s">
        <v>1279</v>
      </c>
      <c r="E104" s="6" t="s">
        <v>1667</v>
      </c>
      <c r="F104" s="6" t="s">
        <v>1654</v>
      </c>
      <c r="G104" s="6" t="s">
        <v>1668</v>
      </c>
      <c r="H104" s="6" t="s">
        <v>1283</v>
      </c>
      <c r="I104" s="6"/>
      <c r="J104" s="6" t="n">
        <v>0.8</v>
      </c>
      <c r="K104" s="6" t="n">
        <v>1</v>
      </c>
      <c r="L104" s="6" t="n">
        <v>0.8</v>
      </c>
    </row>
    <row r="105" customFormat="false" ht="35.05" hidden="false" customHeight="false" outlineLevel="0" collapsed="false">
      <c r="A105" s="6" t="s">
        <v>1669</v>
      </c>
      <c r="B105" s="6" t="n">
        <v>47</v>
      </c>
      <c r="C105" s="6" t="s">
        <v>1670</v>
      </c>
      <c r="D105" s="6" t="s">
        <v>1279</v>
      </c>
      <c r="E105" s="6" t="s">
        <v>1671</v>
      </c>
      <c r="F105" s="6" t="s">
        <v>1672</v>
      </c>
      <c r="G105" s="6" t="s">
        <v>1673</v>
      </c>
      <c r="H105" s="6" t="s">
        <v>1283</v>
      </c>
      <c r="I105" s="6"/>
      <c r="J105" s="6" t="n">
        <v>0.8</v>
      </c>
      <c r="K105" s="6" t="n">
        <v>1</v>
      </c>
      <c r="L105" s="6" t="n">
        <v>0.8</v>
      </c>
    </row>
    <row r="106" customFormat="false" ht="23.85" hidden="false" customHeight="false" outlineLevel="0" collapsed="false">
      <c r="A106" s="6" t="s">
        <v>1674</v>
      </c>
      <c r="B106" s="6" t="n">
        <v>47</v>
      </c>
      <c r="C106" s="6" t="s">
        <v>1675</v>
      </c>
      <c r="D106" s="6" t="s">
        <v>1279</v>
      </c>
      <c r="E106" s="6" t="s">
        <v>1676</v>
      </c>
      <c r="F106" s="6" t="s">
        <v>1672</v>
      </c>
      <c r="G106" s="6" t="s">
        <v>1677</v>
      </c>
      <c r="H106" s="6" t="s">
        <v>1283</v>
      </c>
      <c r="I106" s="6"/>
      <c r="J106" s="6" t="n">
        <v>0.8</v>
      </c>
      <c r="K106" s="6" t="n">
        <v>1</v>
      </c>
      <c r="L106" s="6" t="n">
        <v>0.8</v>
      </c>
    </row>
    <row r="107" customFormat="false" ht="23.85" hidden="false" customHeight="false" outlineLevel="0" collapsed="false">
      <c r="A107" s="6" t="s">
        <v>1678</v>
      </c>
      <c r="B107" s="6" t="n">
        <v>47</v>
      </c>
      <c r="C107" s="6" t="s">
        <v>1679</v>
      </c>
      <c r="D107" s="6" t="s">
        <v>1662</v>
      </c>
      <c r="E107" s="6" t="s">
        <v>1680</v>
      </c>
      <c r="F107" s="6" t="s">
        <v>1681</v>
      </c>
      <c r="G107" s="6" t="s">
        <v>1682</v>
      </c>
      <c r="H107" s="6" t="s">
        <v>1283</v>
      </c>
      <c r="I107" s="6"/>
      <c r="J107" s="6" t="n">
        <v>0.8</v>
      </c>
      <c r="K107" s="6" t="n">
        <v>1</v>
      </c>
      <c r="L107" s="6" t="n">
        <v>0.8</v>
      </c>
    </row>
    <row r="108" customFormat="false" ht="23.85" hidden="false" customHeight="false" outlineLevel="0" collapsed="false">
      <c r="A108" s="6" t="s">
        <v>1683</v>
      </c>
      <c r="B108" s="6" t="n">
        <v>48</v>
      </c>
      <c r="C108" s="6" t="s">
        <v>1679</v>
      </c>
      <c r="D108" s="6" t="s">
        <v>1662</v>
      </c>
      <c r="E108" s="6" t="s">
        <v>1684</v>
      </c>
      <c r="F108" s="6" t="s">
        <v>1681</v>
      </c>
      <c r="G108" s="6" t="s">
        <v>1682</v>
      </c>
      <c r="H108" s="6" t="s">
        <v>1283</v>
      </c>
      <c r="I108" s="6"/>
      <c r="J108" s="6" t="n">
        <v>0.8</v>
      </c>
      <c r="K108" s="6" t="n">
        <v>1</v>
      </c>
      <c r="L108" s="6" t="n">
        <v>0.8</v>
      </c>
    </row>
    <row r="109" customFormat="false" ht="23.85" hidden="false" customHeight="false" outlineLevel="0" collapsed="false">
      <c r="A109" s="6" t="s">
        <v>1685</v>
      </c>
      <c r="B109" s="6" t="n">
        <v>48</v>
      </c>
      <c r="C109" s="6" t="s">
        <v>1686</v>
      </c>
      <c r="D109" s="6" t="s">
        <v>1279</v>
      </c>
      <c r="E109" s="6" t="s">
        <v>1687</v>
      </c>
      <c r="F109" s="6" t="s">
        <v>1688</v>
      </c>
      <c r="G109" s="6" t="s">
        <v>1689</v>
      </c>
      <c r="H109" s="6" t="s">
        <v>1283</v>
      </c>
      <c r="I109" s="6"/>
      <c r="J109" s="6" t="n">
        <v>0.8</v>
      </c>
      <c r="K109" s="6" t="n">
        <v>1</v>
      </c>
      <c r="L109" s="6" t="n">
        <v>0.8</v>
      </c>
    </row>
    <row r="110" customFormat="false" ht="15" hidden="false" customHeight="false" outlineLevel="0" collapsed="false">
      <c r="A110" s="6" t="s">
        <v>1690</v>
      </c>
      <c r="B110" s="6" t="n">
        <v>50</v>
      </c>
      <c r="C110" s="6" t="s">
        <v>1447</v>
      </c>
      <c r="D110" s="6" t="s">
        <v>1279</v>
      </c>
      <c r="E110" s="6" t="s">
        <v>1691</v>
      </c>
      <c r="F110" s="6" t="s">
        <v>1681</v>
      </c>
      <c r="G110" s="6" t="s">
        <v>1692</v>
      </c>
      <c r="H110" s="6" t="s">
        <v>1283</v>
      </c>
      <c r="I110" s="6" t="n">
        <v>49</v>
      </c>
      <c r="J110" s="6" t="n">
        <v>0.8</v>
      </c>
      <c r="K110" s="6" t="n">
        <v>1</v>
      </c>
      <c r="L110" s="6" t="n">
        <v>0.8</v>
      </c>
    </row>
    <row r="111" customFormat="false" ht="23.85" hidden="false" customHeight="false" outlineLevel="0" collapsed="false">
      <c r="A111" s="6" t="s">
        <v>1693</v>
      </c>
      <c r="B111" s="6" t="n">
        <v>50</v>
      </c>
      <c r="C111" s="6" t="s">
        <v>1628</v>
      </c>
      <c r="D111" s="6" t="s">
        <v>1279</v>
      </c>
      <c r="E111" s="6" t="s">
        <v>1694</v>
      </c>
      <c r="F111" s="6" t="s">
        <v>1695</v>
      </c>
      <c r="G111" s="6" t="s">
        <v>1696</v>
      </c>
      <c r="H111" s="6" t="s">
        <v>1377</v>
      </c>
      <c r="I111" s="6" t="n">
        <v>49</v>
      </c>
      <c r="J111" s="6" t="n">
        <v>0.8</v>
      </c>
      <c r="K111" s="6" t="n">
        <v>0.8</v>
      </c>
      <c r="L111" s="6" t="n">
        <v>0.64</v>
      </c>
    </row>
    <row r="112" customFormat="false" ht="23.85" hidden="false" customHeight="false" outlineLevel="0" collapsed="false">
      <c r="A112" s="6" t="s">
        <v>1697</v>
      </c>
      <c r="B112" s="6" t="n">
        <v>50</v>
      </c>
      <c r="C112" s="6" t="s">
        <v>1698</v>
      </c>
      <c r="D112" s="6" t="s">
        <v>1279</v>
      </c>
      <c r="E112" s="6" t="s">
        <v>1699</v>
      </c>
      <c r="F112" s="6" t="s">
        <v>1700</v>
      </c>
      <c r="G112" s="6" t="s">
        <v>1701</v>
      </c>
      <c r="H112" s="6" t="s">
        <v>1283</v>
      </c>
      <c r="I112" s="6" t="n">
        <v>49</v>
      </c>
      <c r="J112" s="6" t="n">
        <v>0.8</v>
      </c>
      <c r="K112" s="6" t="n">
        <v>1</v>
      </c>
      <c r="L112" s="6" t="n">
        <v>0.8</v>
      </c>
    </row>
    <row r="113" customFormat="false" ht="23.85" hidden="false" customHeight="false" outlineLevel="0" collapsed="false">
      <c r="A113" s="6" t="s">
        <v>1702</v>
      </c>
      <c r="B113" s="6" t="n">
        <v>50</v>
      </c>
      <c r="C113" s="6" t="s">
        <v>1323</v>
      </c>
      <c r="D113" s="6" t="s">
        <v>1279</v>
      </c>
      <c r="E113" s="6" t="s">
        <v>1703</v>
      </c>
      <c r="F113" s="6" t="s">
        <v>1700</v>
      </c>
      <c r="G113" s="6" t="s">
        <v>1704</v>
      </c>
      <c r="H113" s="6" t="s">
        <v>1283</v>
      </c>
      <c r="I113" s="6"/>
      <c r="J113" s="6" t="n">
        <v>0.8</v>
      </c>
      <c r="K113" s="6" t="n">
        <v>1</v>
      </c>
      <c r="L113" s="6" t="n">
        <v>0.8</v>
      </c>
    </row>
    <row r="114" customFormat="false" ht="15" hidden="false" customHeight="false" outlineLevel="0" collapsed="false">
      <c r="A114" s="6" t="s">
        <v>1705</v>
      </c>
      <c r="B114" s="6" t="n">
        <v>50</v>
      </c>
      <c r="C114" s="6" t="s">
        <v>1706</v>
      </c>
      <c r="D114" s="6" t="s">
        <v>1279</v>
      </c>
      <c r="E114" s="6" t="s">
        <v>1707</v>
      </c>
      <c r="F114" s="6" t="s">
        <v>1700</v>
      </c>
      <c r="G114" s="6" t="s">
        <v>1708</v>
      </c>
      <c r="H114" s="6" t="s">
        <v>1283</v>
      </c>
      <c r="I114" s="6"/>
      <c r="J114" s="6" t="n">
        <v>0.8</v>
      </c>
      <c r="K114" s="6" t="n">
        <v>1</v>
      </c>
      <c r="L114" s="6" t="n">
        <v>0.8</v>
      </c>
    </row>
    <row r="115" customFormat="false" ht="23.85" hidden="false" customHeight="false" outlineLevel="0" collapsed="false">
      <c r="A115" s="6" t="s">
        <v>1709</v>
      </c>
      <c r="B115" s="6" t="n">
        <v>50</v>
      </c>
      <c r="C115" s="6" t="s">
        <v>1323</v>
      </c>
      <c r="D115" s="6" t="s">
        <v>1279</v>
      </c>
      <c r="E115" s="6" t="s">
        <v>1710</v>
      </c>
      <c r="F115" s="6" t="s">
        <v>1711</v>
      </c>
      <c r="G115" s="6" t="s">
        <v>1712</v>
      </c>
      <c r="H115" s="6" t="s">
        <v>1283</v>
      </c>
      <c r="I115" s="6"/>
      <c r="J115" s="6" t="n">
        <v>0.8</v>
      </c>
      <c r="K115" s="6" t="n">
        <v>1</v>
      </c>
      <c r="L115" s="6" t="n">
        <v>0.8</v>
      </c>
    </row>
    <row r="116" customFormat="false" ht="23.85" hidden="false" customHeight="false" outlineLevel="0" collapsed="false">
      <c r="A116" s="6" t="s">
        <v>1713</v>
      </c>
      <c r="B116" s="6" t="n">
        <v>50</v>
      </c>
      <c r="C116" s="6" t="s">
        <v>1706</v>
      </c>
      <c r="D116" s="6" t="s">
        <v>1279</v>
      </c>
      <c r="E116" s="6" t="s">
        <v>1714</v>
      </c>
      <c r="F116" s="6" t="s">
        <v>1715</v>
      </c>
      <c r="G116" s="6" t="s">
        <v>1716</v>
      </c>
      <c r="H116" s="6" t="s">
        <v>1283</v>
      </c>
      <c r="I116" s="6"/>
      <c r="J116" s="6" t="n">
        <v>0.8</v>
      </c>
      <c r="K116" s="6" t="n">
        <v>1</v>
      </c>
      <c r="L116" s="6" t="n">
        <v>0.8</v>
      </c>
    </row>
    <row r="117" customFormat="false" ht="23.85" hidden="false" customHeight="false" outlineLevel="0" collapsed="false">
      <c r="A117" s="6" t="s">
        <v>1717</v>
      </c>
      <c r="B117" s="6" t="n">
        <v>51</v>
      </c>
      <c r="C117" s="6" t="s">
        <v>1323</v>
      </c>
      <c r="D117" s="6" t="s">
        <v>1279</v>
      </c>
      <c r="E117" s="6" t="s">
        <v>1718</v>
      </c>
      <c r="F117" s="6" t="s">
        <v>1711</v>
      </c>
      <c r="G117" s="6" t="s">
        <v>1719</v>
      </c>
      <c r="H117" s="6" t="s">
        <v>1283</v>
      </c>
      <c r="I117" s="6"/>
      <c r="J117" s="6" t="n">
        <v>0.8</v>
      </c>
      <c r="K117" s="6" t="n">
        <v>1</v>
      </c>
      <c r="L117" s="6" t="n">
        <v>0.8</v>
      </c>
    </row>
    <row r="118" customFormat="false" ht="23.85" hidden="false" customHeight="false" outlineLevel="0" collapsed="false">
      <c r="A118" s="6" t="s">
        <v>1720</v>
      </c>
      <c r="B118" s="6" t="n">
        <v>52</v>
      </c>
      <c r="C118" s="6" t="s">
        <v>1721</v>
      </c>
      <c r="D118" s="6" t="s">
        <v>1279</v>
      </c>
      <c r="E118" s="6" t="s">
        <v>1722</v>
      </c>
      <c r="F118" s="6" t="s">
        <v>1715</v>
      </c>
      <c r="G118" s="6" t="s">
        <v>1723</v>
      </c>
      <c r="H118" s="6" t="s">
        <v>1283</v>
      </c>
      <c r="I118" s="6"/>
      <c r="J118" s="6" t="n">
        <v>0.8</v>
      </c>
      <c r="K118" s="6" t="n">
        <v>1</v>
      </c>
      <c r="L118" s="6" t="n">
        <v>0.8</v>
      </c>
    </row>
    <row r="119" customFormat="false" ht="15" hidden="false" customHeight="false" outlineLevel="0" collapsed="false">
      <c r="A119" s="6" t="s">
        <v>1724</v>
      </c>
      <c r="B119" s="6" t="n">
        <v>52</v>
      </c>
      <c r="C119" s="6" t="s">
        <v>1725</v>
      </c>
      <c r="D119" s="6" t="s">
        <v>1279</v>
      </c>
      <c r="E119" s="6" t="s">
        <v>1726</v>
      </c>
      <c r="F119" s="6" t="s">
        <v>1727</v>
      </c>
      <c r="G119" s="6" t="s">
        <v>1728</v>
      </c>
      <c r="H119" s="6" t="s">
        <v>1283</v>
      </c>
      <c r="I119" s="6"/>
      <c r="J119" s="6" t="n">
        <v>0.8</v>
      </c>
      <c r="K119" s="6" t="n">
        <v>1</v>
      </c>
      <c r="L119" s="6" t="n">
        <v>0.8</v>
      </c>
    </row>
    <row r="120" customFormat="false" ht="23.85" hidden="false" customHeight="false" outlineLevel="0" collapsed="false">
      <c r="A120" s="6" t="s">
        <v>1729</v>
      </c>
      <c r="B120" s="6" t="n">
        <v>52</v>
      </c>
      <c r="C120" s="6" t="s">
        <v>1721</v>
      </c>
      <c r="D120" s="6" t="s">
        <v>1279</v>
      </c>
      <c r="E120" s="6" t="s">
        <v>1730</v>
      </c>
      <c r="F120" s="6" t="s">
        <v>1727</v>
      </c>
      <c r="G120" s="6" t="s">
        <v>1731</v>
      </c>
      <c r="H120" s="6" t="s">
        <v>1283</v>
      </c>
      <c r="I120" s="6"/>
      <c r="J120" s="6" t="n">
        <v>0.8</v>
      </c>
      <c r="K120" s="6" t="n">
        <v>1</v>
      </c>
      <c r="L120" s="6" t="n">
        <v>0.8</v>
      </c>
    </row>
    <row r="121" customFormat="false" ht="15" hidden="false" customHeight="false" outlineLevel="0" collapsed="false">
      <c r="A121" s="6" t="s">
        <v>1732</v>
      </c>
      <c r="B121" s="6" t="n">
        <v>53</v>
      </c>
      <c r="C121" s="6" t="s">
        <v>1725</v>
      </c>
      <c r="D121" s="6" t="s">
        <v>1279</v>
      </c>
      <c r="E121" s="6" t="s">
        <v>1726</v>
      </c>
      <c r="F121" s="6" t="s">
        <v>1727</v>
      </c>
      <c r="G121" s="6" t="s">
        <v>1728</v>
      </c>
      <c r="H121" s="6" t="s">
        <v>1283</v>
      </c>
      <c r="I121" s="6"/>
      <c r="J121" s="6" t="n">
        <v>0.8</v>
      </c>
      <c r="K121" s="6" t="n">
        <v>1</v>
      </c>
      <c r="L121" s="6" t="n">
        <v>0.8</v>
      </c>
    </row>
    <row r="122" customFormat="false" ht="35.05" hidden="false" customHeight="false" outlineLevel="0" collapsed="false">
      <c r="A122" s="6" t="s">
        <v>1733</v>
      </c>
      <c r="B122" s="6" t="n">
        <v>53</v>
      </c>
      <c r="C122" s="6" t="s">
        <v>1323</v>
      </c>
      <c r="D122" s="6" t="s">
        <v>1279</v>
      </c>
      <c r="E122" s="6" t="s">
        <v>1734</v>
      </c>
      <c r="F122" s="6" t="s">
        <v>1727</v>
      </c>
      <c r="G122" s="6" t="s">
        <v>1735</v>
      </c>
      <c r="H122" s="6" t="s">
        <v>1377</v>
      </c>
      <c r="I122" s="6"/>
      <c r="J122" s="6" t="n">
        <v>0.8</v>
      </c>
      <c r="K122" s="6" t="n">
        <v>0.8</v>
      </c>
      <c r="L122" s="6" t="n">
        <v>0.64</v>
      </c>
    </row>
    <row r="123" customFormat="false" ht="23.85" hidden="false" customHeight="false" outlineLevel="0" collapsed="false">
      <c r="A123" s="6" t="s">
        <v>1736</v>
      </c>
      <c r="B123" s="6" t="n">
        <v>54</v>
      </c>
      <c r="C123" s="6" t="s">
        <v>1323</v>
      </c>
      <c r="D123" s="6" t="s">
        <v>1279</v>
      </c>
      <c r="E123" s="6" t="s">
        <v>1737</v>
      </c>
      <c r="F123" s="6" t="s">
        <v>1738</v>
      </c>
      <c r="G123" s="6" t="s">
        <v>1739</v>
      </c>
      <c r="H123" s="6" t="s">
        <v>1283</v>
      </c>
      <c r="I123" s="6"/>
      <c r="J123" s="6" t="n">
        <v>0.8</v>
      </c>
      <c r="K123" s="6" t="n">
        <v>1</v>
      </c>
      <c r="L123" s="6" t="n">
        <v>0.8</v>
      </c>
    </row>
    <row r="124" customFormat="false" ht="35.05" hidden="false" customHeight="false" outlineLevel="0" collapsed="false">
      <c r="A124" s="6" t="s">
        <v>1740</v>
      </c>
      <c r="B124" s="6" t="n">
        <v>55</v>
      </c>
      <c r="C124" s="6" t="s">
        <v>1741</v>
      </c>
      <c r="D124" s="6" t="s">
        <v>1662</v>
      </c>
      <c r="E124" s="6" t="s">
        <v>1742</v>
      </c>
      <c r="F124" s="6" t="s">
        <v>1743</v>
      </c>
      <c r="G124" s="6" t="s">
        <v>1744</v>
      </c>
      <c r="H124" s="6" t="s">
        <v>1283</v>
      </c>
      <c r="I124" s="6"/>
      <c r="J124" s="6" t="n">
        <v>0.8</v>
      </c>
      <c r="K124" s="6" t="n">
        <v>1</v>
      </c>
      <c r="L124" s="6" t="n">
        <v>0.8</v>
      </c>
    </row>
    <row r="125" customFormat="false" ht="15" hidden="false" customHeight="false" outlineLevel="0" collapsed="false">
      <c r="A125" s="6" t="s">
        <v>1745</v>
      </c>
      <c r="B125" s="6" t="n">
        <v>55</v>
      </c>
      <c r="C125" s="6" t="s">
        <v>1746</v>
      </c>
      <c r="D125" s="6" t="s">
        <v>1279</v>
      </c>
      <c r="E125" s="6" t="s">
        <v>1747</v>
      </c>
      <c r="F125" s="6" t="s">
        <v>1743</v>
      </c>
      <c r="G125" s="6" t="s">
        <v>1748</v>
      </c>
      <c r="H125" s="6" t="s">
        <v>1283</v>
      </c>
      <c r="I125" s="6"/>
      <c r="J125" s="6" t="n">
        <v>0.8</v>
      </c>
      <c r="K125" s="6" t="n">
        <v>1</v>
      </c>
      <c r="L125" s="6" t="n">
        <v>0.8</v>
      </c>
    </row>
    <row r="126" customFormat="false" ht="23.85" hidden="false" customHeight="false" outlineLevel="0" collapsed="false">
      <c r="A126" s="6" t="s">
        <v>1749</v>
      </c>
      <c r="B126" s="6" t="n">
        <v>55</v>
      </c>
      <c r="C126" s="6" t="s">
        <v>1323</v>
      </c>
      <c r="D126" s="6" t="s">
        <v>1279</v>
      </c>
      <c r="E126" s="6" t="s">
        <v>1750</v>
      </c>
      <c r="F126" s="6" t="s">
        <v>1751</v>
      </c>
      <c r="G126" s="6" t="s">
        <v>1752</v>
      </c>
      <c r="H126" s="6" t="s">
        <v>1283</v>
      </c>
      <c r="I126" s="6"/>
      <c r="J126" s="6" t="n">
        <v>0.8</v>
      </c>
      <c r="K126" s="6" t="n">
        <v>1</v>
      </c>
      <c r="L126" s="6" t="n">
        <v>0.8</v>
      </c>
    </row>
    <row r="127" customFormat="false" ht="35.05" hidden="false" customHeight="false" outlineLevel="0" collapsed="false">
      <c r="A127" s="6" t="s">
        <v>1753</v>
      </c>
      <c r="B127" s="6" t="n">
        <v>56</v>
      </c>
      <c r="C127" s="6" t="s">
        <v>1741</v>
      </c>
      <c r="D127" s="6" t="s">
        <v>1662</v>
      </c>
      <c r="E127" s="6" t="s">
        <v>1742</v>
      </c>
      <c r="F127" s="6" t="s">
        <v>1743</v>
      </c>
      <c r="G127" s="6" t="s">
        <v>1744</v>
      </c>
      <c r="H127" s="6" t="s">
        <v>1283</v>
      </c>
      <c r="I127" s="6"/>
      <c r="J127" s="6" t="n">
        <v>0.8</v>
      </c>
      <c r="K127" s="6" t="n">
        <v>1</v>
      </c>
      <c r="L127" s="6" t="n">
        <v>0.8</v>
      </c>
    </row>
    <row r="128" customFormat="false" ht="15" hidden="false" customHeight="false" outlineLevel="0" collapsed="false">
      <c r="A128" s="6" t="s">
        <v>1754</v>
      </c>
      <c r="B128" s="6" t="n">
        <v>56</v>
      </c>
      <c r="C128" s="6" t="s">
        <v>1755</v>
      </c>
      <c r="D128" s="6" t="s">
        <v>1279</v>
      </c>
      <c r="E128" s="6" t="s">
        <v>1756</v>
      </c>
      <c r="F128" s="6" t="s">
        <v>1751</v>
      </c>
      <c r="G128" s="6" t="s">
        <v>1757</v>
      </c>
      <c r="H128" s="6" t="s">
        <v>1283</v>
      </c>
      <c r="I128" s="6"/>
      <c r="J128" s="6" t="n">
        <v>0.8</v>
      </c>
      <c r="K128" s="6" t="n">
        <v>1</v>
      </c>
      <c r="L128" s="6" t="n">
        <v>0.8</v>
      </c>
    </row>
    <row r="129" customFormat="false" ht="23.85" hidden="false" customHeight="false" outlineLevel="0" collapsed="false">
      <c r="A129" s="6" t="s">
        <v>1758</v>
      </c>
      <c r="B129" s="6" t="n">
        <v>56</v>
      </c>
      <c r="C129" s="6" t="s">
        <v>1759</v>
      </c>
      <c r="D129" s="6" t="s">
        <v>1279</v>
      </c>
      <c r="E129" s="6" t="s">
        <v>1756</v>
      </c>
      <c r="F129" s="6" t="s">
        <v>1751</v>
      </c>
      <c r="G129" s="6" t="s">
        <v>1760</v>
      </c>
      <c r="H129" s="6" t="s">
        <v>1283</v>
      </c>
      <c r="I129" s="6"/>
      <c r="J129" s="6" t="n">
        <v>0.8</v>
      </c>
      <c r="K129" s="6" t="n">
        <v>1</v>
      </c>
      <c r="L129" s="6" t="n">
        <v>0.8</v>
      </c>
    </row>
    <row r="130" customFormat="false" ht="23.85" hidden="false" customHeight="false" outlineLevel="0" collapsed="false">
      <c r="A130" s="6" t="s">
        <v>1761</v>
      </c>
      <c r="B130" s="6" t="n">
        <v>56</v>
      </c>
      <c r="C130" s="6" t="s">
        <v>1323</v>
      </c>
      <c r="D130" s="6" t="s">
        <v>1279</v>
      </c>
      <c r="E130" s="6" t="s">
        <v>1750</v>
      </c>
      <c r="F130" s="6" t="s">
        <v>1751</v>
      </c>
      <c r="G130" s="6" t="s">
        <v>1752</v>
      </c>
      <c r="H130" s="6" t="s">
        <v>1283</v>
      </c>
      <c r="I130" s="6"/>
      <c r="J130" s="6" t="n">
        <v>0.8</v>
      </c>
      <c r="K130" s="6" t="n">
        <v>1</v>
      </c>
      <c r="L130" s="6" t="n">
        <v>0.8</v>
      </c>
    </row>
    <row r="131" customFormat="false" ht="15" hidden="false" customHeight="false" outlineLevel="0" collapsed="false">
      <c r="A131" s="6" t="s">
        <v>1762</v>
      </c>
      <c r="B131" s="6" t="n">
        <v>57</v>
      </c>
      <c r="C131" s="6" t="s">
        <v>1447</v>
      </c>
      <c r="D131" s="6" t="s">
        <v>1279</v>
      </c>
      <c r="E131" s="6" t="s">
        <v>1763</v>
      </c>
      <c r="F131" s="6" t="s">
        <v>1764</v>
      </c>
      <c r="G131" s="6" t="s">
        <v>1765</v>
      </c>
      <c r="H131" s="6" t="s">
        <v>1283</v>
      </c>
      <c r="I131" s="6"/>
      <c r="J131" s="6" t="n">
        <v>0.8</v>
      </c>
      <c r="K131" s="6" t="n">
        <v>1</v>
      </c>
      <c r="L131" s="6" t="n">
        <v>0.8</v>
      </c>
    </row>
    <row r="132" customFormat="false" ht="23.85" hidden="false" customHeight="false" outlineLevel="0" collapsed="false">
      <c r="A132" s="6" t="s">
        <v>1766</v>
      </c>
      <c r="B132" s="6" t="n">
        <v>57</v>
      </c>
      <c r="C132" s="6" t="s">
        <v>1767</v>
      </c>
      <c r="D132" s="6" t="s">
        <v>1279</v>
      </c>
      <c r="E132" s="6" t="s">
        <v>1768</v>
      </c>
      <c r="F132" s="6" t="s">
        <v>1764</v>
      </c>
      <c r="G132" s="6" t="s">
        <v>1769</v>
      </c>
      <c r="H132" s="6" t="s">
        <v>1283</v>
      </c>
      <c r="I132" s="6"/>
      <c r="J132" s="6" t="n">
        <v>0.8</v>
      </c>
      <c r="K132" s="6" t="n">
        <v>1</v>
      </c>
      <c r="L132" s="6" t="n">
        <v>0.8</v>
      </c>
    </row>
    <row r="133" customFormat="false" ht="23.85" hidden="false" customHeight="false" outlineLevel="0" collapsed="false">
      <c r="A133" s="6" t="s">
        <v>1770</v>
      </c>
      <c r="B133" s="6" t="n">
        <v>58</v>
      </c>
      <c r="C133" s="6" t="s">
        <v>1767</v>
      </c>
      <c r="D133" s="6" t="s">
        <v>1279</v>
      </c>
      <c r="E133" s="6" t="s">
        <v>1768</v>
      </c>
      <c r="F133" s="6" t="s">
        <v>1764</v>
      </c>
      <c r="G133" s="6" t="s">
        <v>1769</v>
      </c>
      <c r="H133" s="6" t="s">
        <v>1283</v>
      </c>
      <c r="I133" s="6"/>
      <c r="J133" s="6" t="n">
        <v>0.8</v>
      </c>
      <c r="K133" s="6" t="n">
        <v>1</v>
      </c>
      <c r="L133" s="6" t="n">
        <v>0.8</v>
      </c>
    </row>
    <row r="134" customFormat="false" ht="23.85" hidden="false" customHeight="false" outlineLevel="0" collapsed="false">
      <c r="A134" s="6" t="s">
        <v>1771</v>
      </c>
      <c r="B134" s="6" t="n">
        <v>59</v>
      </c>
      <c r="C134" s="6" t="s">
        <v>1706</v>
      </c>
      <c r="D134" s="6" t="s">
        <v>1279</v>
      </c>
      <c r="E134" s="6" t="s">
        <v>1772</v>
      </c>
      <c r="F134" s="6" t="s">
        <v>1773</v>
      </c>
      <c r="G134" s="6" t="s">
        <v>1774</v>
      </c>
      <c r="H134" s="6" t="s">
        <v>1283</v>
      </c>
      <c r="I134" s="6"/>
      <c r="J134" s="6" t="n">
        <v>0.8</v>
      </c>
      <c r="K134" s="6" t="n">
        <v>1</v>
      </c>
      <c r="L134" s="6" t="n">
        <v>0.8</v>
      </c>
    </row>
    <row r="135" customFormat="false" ht="23.85" hidden="false" customHeight="false" outlineLevel="0" collapsed="false">
      <c r="A135" s="6" t="s">
        <v>1775</v>
      </c>
      <c r="B135" s="6" t="n">
        <v>60</v>
      </c>
      <c r="C135" s="6" t="s">
        <v>1661</v>
      </c>
      <c r="D135" s="6" t="s">
        <v>1662</v>
      </c>
      <c r="E135" s="6" t="s">
        <v>1776</v>
      </c>
      <c r="F135" s="6" t="s">
        <v>1773</v>
      </c>
      <c r="G135" s="6" t="s">
        <v>1777</v>
      </c>
      <c r="H135" s="6" t="s">
        <v>1283</v>
      </c>
      <c r="I135" s="6"/>
      <c r="J135" s="6" t="n">
        <v>0.8</v>
      </c>
      <c r="K135" s="6" t="n">
        <v>1</v>
      </c>
      <c r="L135" s="6" t="n">
        <v>0.8</v>
      </c>
    </row>
    <row r="136" customFormat="false" ht="23.85" hidden="false" customHeight="false" outlineLevel="0" collapsed="false">
      <c r="A136" s="6" t="s">
        <v>1778</v>
      </c>
      <c r="B136" s="6" t="n">
        <v>60</v>
      </c>
      <c r="C136" s="6" t="s">
        <v>1779</v>
      </c>
      <c r="D136" s="6" t="s">
        <v>1279</v>
      </c>
      <c r="E136" s="6" t="s">
        <v>1780</v>
      </c>
      <c r="F136" s="6" t="s">
        <v>1688</v>
      </c>
      <c r="G136" s="6" t="s">
        <v>1781</v>
      </c>
      <c r="H136" s="6" t="s">
        <v>1283</v>
      </c>
      <c r="I136" s="6"/>
      <c r="J136" s="6" t="n">
        <v>0.8</v>
      </c>
      <c r="K136" s="6" t="n">
        <v>1</v>
      </c>
      <c r="L136" s="6" t="n">
        <v>0.8</v>
      </c>
    </row>
    <row r="137" customFormat="false" ht="15" hidden="false" customHeight="false" outlineLevel="0" collapsed="false">
      <c r="A137" s="6" t="s">
        <v>1782</v>
      </c>
      <c r="B137" s="6" t="n">
        <v>61</v>
      </c>
      <c r="C137" s="6" t="s">
        <v>1783</v>
      </c>
      <c r="D137" s="6" t="s">
        <v>1279</v>
      </c>
      <c r="E137" s="6" t="s">
        <v>1687</v>
      </c>
      <c r="F137" s="6" t="s">
        <v>1688</v>
      </c>
      <c r="G137" s="6" t="s">
        <v>1689</v>
      </c>
      <c r="H137" s="6" t="s">
        <v>1283</v>
      </c>
      <c r="I137" s="6"/>
      <c r="J137" s="6" t="n">
        <v>0.8</v>
      </c>
      <c r="K137" s="6" t="n">
        <v>1</v>
      </c>
      <c r="L137" s="6" t="n">
        <v>0.8</v>
      </c>
    </row>
    <row r="138" customFormat="false" ht="15" hidden="false" customHeight="false" outlineLevel="0" collapsed="false">
      <c r="A138" s="6" t="s">
        <v>1784</v>
      </c>
      <c r="B138" s="6" t="n">
        <v>61</v>
      </c>
      <c r="C138" s="6" t="s">
        <v>1785</v>
      </c>
      <c r="D138" s="6" t="s">
        <v>1279</v>
      </c>
      <c r="E138" s="6" t="s">
        <v>1786</v>
      </c>
      <c r="F138" s="6" t="s">
        <v>1688</v>
      </c>
      <c r="G138" s="6" t="s">
        <v>1787</v>
      </c>
      <c r="H138" s="6" t="s">
        <v>1283</v>
      </c>
      <c r="I138" s="6"/>
      <c r="J138" s="6" t="n">
        <v>0.8</v>
      </c>
      <c r="K138" s="6" t="n">
        <v>1</v>
      </c>
      <c r="L138" s="6" t="n">
        <v>0.8</v>
      </c>
    </row>
    <row r="139" customFormat="false" ht="23.85" hidden="false" customHeight="false" outlineLevel="0" collapsed="false">
      <c r="A139" s="6" t="s">
        <v>1788</v>
      </c>
      <c r="B139" s="6" t="n">
        <v>62</v>
      </c>
      <c r="C139" s="6" t="s">
        <v>1323</v>
      </c>
      <c r="D139" s="6" t="s">
        <v>1279</v>
      </c>
      <c r="E139" s="6" t="s">
        <v>1789</v>
      </c>
      <c r="F139" s="6" t="s">
        <v>1790</v>
      </c>
      <c r="G139" s="6" t="s">
        <v>1791</v>
      </c>
      <c r="H139" s="6" t="s">
        <v>1283</v>
      </c>
      <c r="I139" s="6"/>
      <c r="J139" s="6" t="n">
        <v>0.8</v>
      </c>
      <c r="K139" s="6" t="n">
        <v>1</v>
      </c>
      <c r="L139" s="6" t="n">
        <v>0.8</v>
      </c>
    </row>
    <row r="140" customFormat="false" ht="23.85" hidden="false" customHeight="false" outlineLevel="0" collapsed="false">
      <c r="A140" s="6" t="s">
        <v>1792</v>
      </c>
      <c r="B140" s="6" t="n">
        <v>63</v>
      </c>
      <c r="C140" s="6" t="s">
        <v>1323</v>
      </c>
      <c r="D140" s="6" t="s">
        <v>1279</v>
      </c>
      <c r="E140" s="6" t="s">
        <v>1789</v>
      </c>
      <c r="F140" s="6" t="s">
        <v>1790</v>
      </c>
      <c r="G140" s="6" t="s">
        <v>1791</v>
      </c>
      <c r="H140" s="6" t="s">
        <v>1283</v>
      </c>
      <c r="I140" s="6"/>
      <c r="J140" s="6" t="n">
        <v>0.8</v>
      </c>
      <c r="K140" s="6" t="n">
        <v>1</v>
      </c>
      <c r="L140" s="6" t="n">
        <v>0.8</v>
      </c>
    </row>
    <row r="141" customFormat="false" ht="23.85" hidden="false" customHeight="false" outlineLevel="0" collapsed="false">
      <c r="A141" s="6" t="s">
        <v>1793</v>
      </c>
      <c r="B141" s="6" t="n">
        <v>64</v>
      </c>
      <c r="C141" s="6" t="s">
        <v>1794</v>
      </c>
      <c r="D141" s="11" t="s">
        <v>1795</v>
      </c>
      <c r="E141" s="6" t="s">
        <v>1796</v>
      </c>
      <c r="F141" s="6" t="s">
        <v>1797</v>
      </c>
      <c r="G141" s="6" t="s">
        <v>1798</v>
      </c>
      <c r="H141" s="6" t="s">
        <v>1377</v>
      </c>
      <c r="I141" s="6"/>
      <c r="J141" s="6" t="n">
        <v>0.3</v>
      </c>
      <c r="K141" s="6" t="n">
        <v>0.8</v>
      </c>
      <c r="L141" s="6" t="n">
        <v>0.24</v>
      </c>
    </row>
    <row r="142" customFormat="false" ht="35.05" hidden="false" customHeight="false" outlineLevel="0" collapsed="false">
      <c r="A142" s="6" t="s">
        <v>1799</v>
      </c>
      <c r="B142" s="6" t="n">
        <v>65</v>
      </c>
      <c r="C142" s="6" t="s">
        <v>1800</v>
      </c>
      <c r="D142" s="6" t="s">
        <v>1279</v>
      </c>
      <c r="E142" s="6" t="s">
        <v>1801</v>
      </c>
      <c r="F142" s="6" t="s">
        <v>1802</v>
      </c>
      <c r="G142" s="6" t="s">
        <v>1803</v>
      </c>
      <c r="H142" s="6" t="s">
        <v>1283</v>
      </c>
      <c r="I142" s="6"/>
      <c r="J142" s="6" t="n">
        <v>0.8</v>
      </c>
      <c r="K142" s="6" t="n">
        <v>1</v>
      </c>
      <c r="L142" s="6" t="n">
        <v>0.8</v>
      </c>
    </row>
    <row r="143" customFormat="false" ht="23.85" hidden="false" customHeight="false" outlineLevel="0" collapsed="false">
      <c r="A143" s="6" t="s">
        <v>1804</v>
      </c>
      <c r="B143" s="6" t="n">
        <v>65</v>
      </c>
      <c r="C143" s="6" t="s">
        <v>1391</v>
      </c>
      <c r="D143" s="6" t="s">
        <v>1279</v>
      </c>
      <c r="E143" s="6" t="s">
        <v>1805</v>
      </c>
      <c r="F143" s="6" t="s">
        <v>1806</v>
      </c>
      <c r="G143" s="6" t="s">
        <v>1807</v>
      </c>
      <c r="H143" s="6" t="s">
        <v>1283</v>
      </c>
      <c r="I143" s="6"/>
      <c r="J143" s="6" t="n">
        <v>0.8</v>
      </c>
      <c r="K143" s="6" t="n">
        <v>1</v>
      </c>
      <c r="L143" s="6" t="n">
        <v>0.8</v>
      </c>
    </row>
    <row r="144" customFormat="false" ht="23.85" hidden="false" customHeight="false" outlineLevel="0" collapsed="false">
      <c r="A144" s="6" t="s">
        <v>1808</v>
      </c>
      <c r="B144" s="6" t="n">
        <v>65</v>
      </c>
      <c r="C144" s="6" t="s">
        <v>1809</v>
      </c>
      <c r="D144" s="6" t="s">
        <v>1662</v>
      </c>
      <c r="E144" s="6" t="s">
        <v>1810</v>
      </c>
      <c r="F144" s="6" t="s">
        <v>1393</v>
      </c>
      <c r="G144" s="6" t="s">
        <v>1811</v>
      </c>
      <c r="H144" s="6" t="s">
        <v>1283</v>
      </c>
      <c r="I144" s="6"/>
      <c r="J144" s="6" t="n">
        <v>0.8</v>
      </c>
      <c r="K144" s="6" t="n">
        <v>1</v>
      </c>
      <c r="L144" s="6" t="n">
        <v>0.8</v>
      </c>
    </row>
    <row r="145" customFormat="false" ht="15" hidden="false" customHeight="false" outlineLevel="0" collapsed="false">
      <c r="A145" s="6" t="s">
        <v>1812</v>
      </c>
      <c r="B145" s="6" t="n">
        <v>66</v>
      </c>
      <c r="C145" s="6" t="s">
        <v>1783</v>
      </c>
      <c r="D145" s="6" t="s">
        <v>1279</v>
      </c>
      <c r="E145" s="6" t="s">
        <v>1813</v>
      </c>
      <c r="F145" s="6" t="s">
        <v>1814</v>
      </c>
      <c r="G145" s="6" t="s">
        <v>1815</v>
      </c>
      <c r="H145" s="6" t="s">
        <v>1283</v>
      </c>
      <c r="I145" s="6"/>
      <c r="J145" s="6" t="n">
        <v>0.8</v>
      </c>
      <c r="K145" s="6" t="n">
        <v>1</v>
      </c>
      <c r="L145" s="6" t="n">
        <v>0.8</v>
      </c>
    </row>
    <row r="146" customFormat="false" ht="15" hidden="false" customHeight="false" outlineLevel="0" collapsed="false">
      <c r="A146" s="6" t="s">
        <v>1816</v>
      </c>
      <c r="B146" s="6" t="n">
        <v>66</v>
      </c>
      <c r="C146" s="6" t="s">
        <v>1817</v>
      </c>
      <c r="D146" s="6" t="s">
        <v>1279</v>
      </c>
      <c r="E146" s="6" t="s">
        <v>1818</v>
      </c>
      <c r="F146" s="6" t="s">
        <v>1814</v>
      </c>
      <c r="G146" s="6" t="s">
        <v>1819</v>
      </c>
      <c r="H146" s="6" t="s">
        <v>1283</v>
      </c>
      <c r="I146" s="6"/>
      <c r="J146" s="6" t="n">
        <v>0.8</v>
      </c>
      <c r="K146" s="6" t="n">
        <v>1</v>
      </c>
      <c r="L146" s="6" t="n">
        <v>0.8</v>
      </c>
    </row>
    <row r="147" customFormat="false" ht="23.85" hidden="false" customHeight="false" outlineLevel="0" collapsed="false">
      <c r="A147" s="6" t="s">
        <v>1820</v>
      </c>
      <c r="B147" s="6" t="n">
        <v>66</v>
      </c>
      <c r="C147" s="6" t="s">
        <v>1379</v>
      </c>
      <c r="D147" s="6" t="s">
        <v>1279</v>
      </c>
      <c r="E147" s="6" t="s">
        <v>1821</v>
      </c>
      <c r="F147" s="6" t="s">
        <v>1806</v>
      </c>
      <c r="G147" s="6" t="s">
        <v>1822</v>
      </c>
      <c r="H147" s="6" t="s">
        <v>1283</v>
      </c>
      <c r="I147" s="6"/>
      <c r="J147" s="6" t="n">
        <v>0.8</v>
      </c>
      <c r="K147" s="6" t="n">
        <v>1</v>
      </c>
      <c r="L147" s="6" t="n">
        <v>0.8</v>
      </c>
    </row>
    <row r="148" customFormat="false" ht="23.85" hidden="false" customHeight="false" outlineLevel="0" collapsed="false">
      <c r="A148" s="6" t="s">
        <v>1823</v>
      </c>
      <c r="B148" s="6" t="n">
        <v>68</v>
      </c>
      <c r="C148" s="6" t="s">
        <v>1824</v>
      </c>
      <c r="D148" s="6" t="s">
        <v>1279</v>
      </c>
      <c r="E148" s="6" t="s">
        <v>1825</v>
      </c>
      <c r="F148" s="6" t="s">
        <v>1826</v>
      </c>
      <c r="G148" s="6" t="s">
        <v>1827</v>
      </c>
      <c r="H148" s="6" t="s">
        <v>1283</v>
      </c>
      <c r="I148" s="6"/>
      <c r="J148" s="6" t="n">
        <v>0.8</v>
      </c>
      <c r="K148" s="6" t="n">
        <v>1</v>
      </c>
      <c r="L148" s="6" t="n">
        <v>0.8</v>
      </c>
    </row>
    <row r="149" customFormat="false" ht="15" hidden="false" customHeight="false" outlineLevel="0" collapsed="false">
      <c r="A149" s="6" t="s">
        <v>1828</v>
      </c>
      <c r="B149" s="6" t="n">
        <v>69</v>
      </c>
      <c r="C149" s="6" t="s">
        <v>1447</v>
      </c>
      <c r="D149" s="6" t="s">
        <v>1279</v>
      </c>
      <c r="E149" s="6" t="s">
        <v>1829</v>
      </c>
      <c r="F149" s="6" t="s">
        <v>1830</v>
      </c>
      <c r="G149" s="6" t="s">
        <v>1831</v>
      </c>
      <c r="H149" s="6" t="s">
        <v>1283</v>
      </c>
      <c r="I149" s="6"/>
      <c r="J149" s="6" t="n">
        <v>0.8</v>
      </c>
      <c r="K149" s="6" t="n">
        <v>1</v>
      </c>
      <c r="L149" s="6" t="n">
        <v>0.8</v>
      </c>
    </row>
    <row r="150" customFormat="false" ht="23.85" hidden="false" customHeight="false" outlineLevel="0" collapsed="false">
      <c r="A150" s="6" t="s">
        <v>1832</v>
      </c>
      <c r="B150" s="6" t="n">
        <v>70</v>
      </c>
      <c r="C150" s="6" t="s">
        <v>1833</v>
      </c>
      <c r="D150" s="6" t="s">
        <v>1279</v>
      </c>
      <c r="E150" s="6" t="s">
        <v>1834</v>
      </c>
      <c r="F150" s="6" t="s">
        <v>1835</v>
      </c>
      <c r="G150" s="6" t="s">
        <v>1836</v>
      </c>
      <c r="H150" s="6" t="s">
        <v>1283</v>
      </c>
      <c r="I150" s="6"/>
      <c r="J150" s="6" t="n">
        <v>0.8</v>
      </c>
      <c r="K150" s="6" t="n">
        <v>1</v>
      </c>
      <c r="L150" s="6" t="n">
        <v>0.8</v>
      </c>
    </row>
    <row r="151" customFormat="false" ht="23.85" hidden="false" customHeight="false" outlineLevel="0" collapsed="false">
      <c r="A151" s="6" t="s">
        <v>1837</v>
      </c>
      <c r="B151" s="6" t="n">
        <v>71</v>
      </c>
      <c r="C151" s="6" t="s">
        <v>1323</v>
      </c>
      <c r="D151" s="6" t="s">
        <v>1279</v>
      </c>
      <c r="E151" s="6" t="s">
        <v>1838</v>
      </c>
      <c r="F151" s="6" t="s">
        <v>1835</v>
      </c>
      <c r="G151" s="6" t="s">
        <v>1839</v>
      </c>
      <c r="H151" s="6" t="s">
        <v>1283</v>
      </c>
      <c r="I151" s="6"/>
      <c r="J151" s="6" t="n">
        <v>0.8</v>
      </c>
      <c r="K151" s="6" t="n">
        <v>1</v>
      </c>
      <c r="L151" s="6" t="n">
        <v>0.8</v>
      </c>
    </row>
    <row r="152" customFormat="false" ht="23.85" hidden="false" customHeight="false" outlineLevel="0" collapsed="false">
      <c r="A152" s="6" t="s">
        <v>1840</v>
      </c>
      <c r="B152" s="6" t="n">
        <v>71</v>
      </c>
      <c r="C152" s="6" t="s">
        <v>1657</v>
      </c>
      <c r="D152" s="6" t="s">
        <v>1279</v>
      </c>
      <c r="E152" s="6" t="s">
        <v>1841</v>
      </c>
      <c r="F152" s="6"/>
      <c r="G152" s="6" t="s">
        <v>1842</v>
      </c>
      <c r="H152" s="6" t="s">
        <v>1283</v>
      </c>
      <c r="I152" s="6"/>
      <c r="J152" s="6" t="n">
        <v>0.8</v>
      </c>
      <c r="K152" s="6" t="n">
        <v>1</v>
      </c>
      <c r="L152" s="6" t="n">
        <v>0.8</v>
      </c>
    </row>
    <row r="153" customFormat="false" ht="23.85" hidden="false" customHeight="false" outlineLevel="0" collapsed="false">
      <c r="A153" s="6" t="s">
        <v>1843</v>
      </c>
      <c r="B153" s="6" t="n">
        <v>72</v>
      </c>
      <c r="C153" s="6" t="s">
        <v>1844</v>
      </c>
      <c r="D153" s="6" t="s">
        <v>1279</v>
      </c>
      <c r="E153" s="6" t="s">
        <v>1845</v>
      </c>
      <c r="F153" s="6" t="s">
        <v>1846</v>
      </c>
      <c r="G153" s="6" t="s">
        <v>1847</v>
      </c>
      <c r="H153" s="6" t="s">
        <v>1283</v>
      </c>
      <c r="I153" s="6"/>
      <c r="J153" s="6" t="n">
        <v>0.8</v>
      </c>
      <c r="K153" s="6" t="n">
        <v>1</v>
      </c>
      <c r="L153" s="6" t="n">
        <v>0.8</v>
      </c>
    </row>
    <row r="154" customFormat="false" ht="23.85" hidden="false" customHeight="false" outlineLevel="0" collapsed="false">
      <c r="A154" s="6" t="s">
        <v>1848</v>
      </c>
      <c r="B154" s="6" t="n">
        <v>72</v>
      </c>
      <c r="C154" s="6" t="s">
        <v>1849</v>
      </c>
      <c r="D154" s="6" t="s">
        <v>1279</v>
      </c>
      <c r="E154" s="6" t="s">
        <v>1850</v>
      </c>
      <c r="F154" s="6" t="s">
        <v>1851</v>
      </c>
      <c r="G154" s="6" t="s">
        <v>1852</v>
      </c>
      <c r="H154" s="6" t="s">
        <v>1283</v>
      </c>
      <c r="I154" s="6"/>
      <c r="J154" s="6" t="n">
        <v>0.8</v>
      </c>
      <c r="K154" s="6" t="n">
        <v>1</v>
      </c>
      <c r="L154" s="6" t="n">
        <v>0.8</v>
      </c>
    </row>
    <row r="155" customFormat="false" ht="23.85" hidden="false" customHeight="false" outlineLevel="0" collapsed="false">
      <c r="A155" s="6" t="s">
        <v>1853</v>
      </c>
      <c r="B155" s="6" t="n">
        <v>72</v>
      </c>
      <c r="C155" s="6" t="s">
        <v>1657</v>
      </c>
      <c r="D155" s="6" t="s">
        <v>1279</v>
      </c>
      <c r="E155" s="6" t="s">
        <v>1841</v>
      </c>
      <c r="F155" s="6"/>
      <c r="G155" s="6" t="s">
        <v>1842</v>
      </c>
      <c r="H155" s="6" t="s">
        <v>1283</v>
      </c>
      <c r="I155" s="6"/>
      <c r="J155" s="6" t="n">
        <v>0.8</v>
      </c>
      <c r="K155" s="6" t="n">
        <v>1</v>
      </c>
      <c r="L155" s="6" t="n">
        <v>0.8</v>
      </c>
    </row>
    <row r="156" customFormat="false" ht="23.85" hidden="false" customHeight="false" outlineLevel="0" collapsed="false">
      <c r="A156" s="6" t="s">
        <v>1854</v>
      </c>
      <c r="B156" s="6" t="n">
        <v>73</v>
      </c>
      <c r="C156" s="6" t="s">
        <v>1323</v>
      </c>
      <c r="D156" s="6" t="s">
        <v>1279</v>
      </c>
      <c r="E156" s="6" t="s">
        <v>1855</v>
      </c>
      <c r="F156" s="6" t="s">
        <v>1846</v>
      </c>
      <c r="G156" s="6" t="s">
        <v>1856</v>
      </c>
      <c r="H156" s="6" t="s">
        <v>1283</v>
      </c>
      <c r="I156" s="6"/>
      <c r="J156" s="6" t="n">
        <v>0.8</v>
      </c>
      <c r="K156" s="6" t="n">
        <v>1</v>
      </c>
      <c r="L156" s="6" t="n">
        <v>0.8</v>
      </c>
    </row>
    <row r="157" customFormat="false" ht="23.85" hidden="false" customHeight="false" outlineLevel="0" collapsed="false">
      <c r="A157" s="6" t="s">
        <v>1857</v>
      </c>
      <c r="B157" s="6" t="n">
        <v>73</v>
      </c>
      <c r="C157" s="6" t="s">
        <v>1858</v>
      </c>
      <c r="D157" s="6" t="s">
        <v>1662</v>
      </c>
      <c r="E157" s="6" t="s">
        <v>1859</v>
      </c>
      <c r="F157" s="6" t="s">
        <v>1846</v>
      </c>
      <c r="G157" s="6" t="s">
        <v>1860</v>
      </c>
      <c r="H157" s="6" t="s">
        <v>1283</v>
      </c>
      <c r="I157" s="6"/>
      <c r="J157" s="6" t="n">
        <v>0.8</v>
      </c>
      <c r="K157" s="6" t="n">
        <v>1</v>
      </c>
      <c r="L157" s="6" t="n">
        <v>0.8</v>
      </c>
    </row>
    <row r="158" customFormat="false" ht="23.85" hidden="false" customHeight="false" outlineLevel="0" collapsed="false">
      <c r="A158" s="6" t="s">
        <v>1861</v>
      </c>
      <c r="B158" s="6" t="n">
        <v>73</v>
      </c>
      <c r="C158" s="6" t="s">
        <v>1657</v>
      </c>
      <c r="D158" s="6" t="s">
        <v>1279</v>
      </c>
      <c r="E158" s="6" t="s">
        <v>1862</v>
      </c>
      <c r="F158" s="6" t="s">
        <v>1851</v>
      </c>
      <c r="G158" s="6" t="s">
        <v>1863</v>
      </c>
      <c r="H158" s="6" t="s">
        <v>1283</v>
      </c>
      <c r="I158" s="6"/>
      <c r="J158" s="6" t="n">
        <v>0.8</v>
      </c>
      <c r="K158" s="6" t="n">
        <v>1</v>
      </c>
      <c r="L158" s="6" t="n">
        <v>0.8</v>
      </c>
    </row>
    <row r="159" customFormat="false" ht="23.85" hidden="false" customHeight="false" outlineLevel="0" collapsed="false">
      <c r="A159" s="6" t="s">
        <v>1864</v>
      </c>
      <c r="B159" s="6" t="n">
        <v>74</v>
      </c>
      <c r="C159" s="6" t="s">
        <v>1849</v>
      </c>
      <c r="D159" s="6" t="s">
        <v>1279</v>
      </c>
      <c r="E159" s="6" t="s">
        <v>1865</v>
      </c>
      <c r="F159" s="6" t="s">
        <v>1851</v>
      </c>
      <c r="G159" s="6" t="s">
        <v>1866</v>
      </c>
      <c r="H159" s="6" t="s">
        <v>1283</v>
      </c>
      <c r="I159" s="6"/>
      <c r="J159" s="6" t="n">
        <v>0.8</v>
      </c>
      <c r="K159" s="6" t="n">
        <v>1</v>
      </c>
      <c r="L159" s="6" t="n">
        <v>0.8</v>
      </c>
    </row>
    <row r="160" customFormat="false" ht="23.85" hidden="false" customHeight="false" outlineLevel="0" collapsed="false">
      <c r="A160" s="6" t="s">
        <v>1867</v>
      </c>
      <c r="B160" s="6" t="n">
        <v>74</v>
      </c>
      <c r="C160" s="6" t="s">
        <v>1323</v>
      </c>
      <c r="D160" s="6" t="s">
        <v>1279</v>
      </c>
      <c r="E160" s="6" t="s">
        <v>1868</v>
      </c>
      <c r="F160" s="6" t="s">
        <v>1851</v>
      </c>
      <c r="G160" s="6" t="s">
        <v>1869</v>
      </c>
      <c r="H160" s="6" t="s">
        <v>1283</v>
      </c>
      <c r="I160" s="6"/>
      <c r="J160" s="6" t="n">
        <v>0.8</v>
      </c>
      <c r="K160" s="6" t="n">
        <v>1</v>
      </c>
      <c r="L160" s="6" t="n">
        <v>0.8</v>
      </c>
    </row>
    <row r="161" customFormat="false" ht="23.85" hidden="false" customHeight="false" outlineLevel="0" collapsed="false">
      <c r="A161" s="6" t="s">
        <v>1870</v>
      </c>
      <c r="B161" s="6" t="n">
        <v>74</v>
      </c>
      <c r="C161" s="6" t="s">
        <v>1657</v>
      </c>
      <c r="D161" s="6" t="s">
        <v>1279</v>
      </c>
      <c r="E161" s="6" t="s">
        <v>1862</v>
      </c>
      <c r="F161" s="6" t="s">
        <v>1851</v>
      </c>
      <c r="G161" s="6" t="s">
        <v>1863</v>
      </c>
      <c r="H161" s="6" t="s">
        <v>1283</v>
      </c>
      <c r="I161" s="6"/>
      <c r="J161" s="6" t="n">
        <v>0.8</v>
      </c>
      <c r="K161" s="6" t="n">
        <v>1</v>
      </c>
      <c r="L161" s="6" t="n">
        <v>0.8</v>
      </c>
    </row>
    <row r="162" customFormat="false" ht="23.85" hidden="false" customHeight="false" outlineLevel="0" collapsed="false">
      <c r="A162" s="6" t="s">
        <v>1871</v>
      </c>
      <c r="B162" s="6" t="n">
        <v>75</v>
      </c>
      <c r="C162" s="6" t="s">
        <v>1323</v>
      </c>
      <c r="D162" s="6" t="s">
        <v>1279</v>
      </c>
      <c r="E162" s="6" t="s">
        <v>1855</v>
      </c>
      <c r="F162" s="6" t="s">
        <v>1846</v>
      </c>
      <c r="G162" s="6" t="s">
        <v>1856</v>
      </c>
      <c r="H162" s="6" t="s">
        <v>1283</v>
      </c>
      <c r="I162" s="6"/>
      <c r="J162" s="6" t="n">
        <v>0.8</v>
      </c>
      <c r="K162" s="6" t="n">
        <v>1</v>
      </c>
      <c r="L162" s="6" t="n">
        <v>0.8</v>
      </c>
    </row>
    <row r="163" customFormat="false" ht="23.85" hidden="false" customHeight="false" outlineLevel="0" collapsed="false">
      <c r="A163" s="6" t="s">
        <v>1872</v>
      </c>
      <c r="B163" s="6" t="n">
        <v>75</v>
      </c>
      <c r="C163" s="6" t="s">
        <v>1323</v>
      </c>
      <c r="D163" s="6" t="s">
        <v>1279</v>
      </c>
      <c r="E163" s="6" t="s">
        <v>1855</v>
      </c>
      <c r="F163" s="6" t="s">
        <v>1846</v>
      </c>
      <c r="G163" s="6" t="s">
        <v>1856</v>
      </c>
      <c r="H163" s="6" t="s">
        <v>1283</v>
      </c>
      <c r="I163" s="6" t="n">
        <v>76</v>
      </c>
      <c r="J163" s="6" t="n">
        <v>0.8</v>
      </c>
      <c r="K163" s="6" t="n">
        <v>1</v>
      </c>
      <c r="L163" s="6" t="n">
        <v>0.8</v>
      </c>
    </row>
    <row r="164" customFormat="false" ht="23.85" hidden="false" customHeight="false" outlineLevel="0" collapsed="false">
      <c r="A164" s="6" t="s">
        <v>1873</v>
      </c>
      <c r="B164" s="6" t="n">
        <v>75</v>
      </c>
      <c r="C164" s="6" t="s">
        <v>1323</v>
      </c>
      <c r="D164" s="6" t="s">
        <v>1279</v>
      </c>
      <c r="E164" s="6" t="s">
        <v>1874</v>
      </c>
      <c r="F164" s="6" t="s">
        <v>1851</v>
      </c>
      <c r="G164" s="6" t="s">
        <v>1875</v>
      </c>
      <c r="H164" s="6" t="s">
        <v>1283</v>
      </c>
      <c r="I164" s="6"/>
      <c r="J164" s="6" t="n">
        <v>0.8</v>
      </c>
      <c r="K164" s="6" t="n">
        <v>1</v>
      </c>
      <c r="L164" s="6" t="n">
        <v>0.8</v>
      </c>
    </row>
    <row r="165" customFormat="false" ht="23.85" hidden="false" customHeight="false" outlineLevel="0" collapsed="false">
      <c r="A165" s="6" t="s">
        <v>1876</v>
      </c>
      <c r="B165" s="6" t="n">
        <v>75</v>
      </c>
      <c r="C165" s="6" t="s">
        <v>1877</v>
      </c>
      <c r="D165" s="6" t="s">
        <v>1279</v>
      </c>
      <c r="E165" s="6" t="s">
        <v>1878</v>
      </c>
      <c r="F165" s="6" t="s">
        <v>1851</v>
      </c>
      <c r="G165" s="6" t="s">
        <v>1879</v>
      </c>
      <c r="H165" s="6" t="s">
        <v>1283</v>
      </c>
      <c r="I165" s="6"/>
      <c r="J165" s="6" t="n">
        <v>0.8</v>
      </c>
      <c r="K165" s="6" t="n">
        <v>1</v>
      </c>
      <c r="L165" s="6" t="n">
        <v>0.8</v>
      </c>
    </row>
    <row r="166" customFormat="false" ht="23.85" hidden="false" customHeight="false" outlineLevel="0" collapsed="false">
      <c r="A166" s="6" t="s">
        <v>1880</v>
      </c>
      <c r="B166" s="6" t="n">
        <v>75</v>
      </c>
      <c r="C166" s="6" t="s">
        <v>1323</v>
      </c>
      <c r="D166" s="6" t="s">
        <v>1279</v>
      </c>
      <c r="E166" s="6" t="s">
        <v>1874</v>
      </c>
      <c r="F166" s="6" t="s">
        <v>1851</v>
      </c>
      <c r="G166" s="6" t="s">
        <v>1875</v>
      </c>
      <c r="H166" s="6" t="s">
        <v>1283</v>
      </c>
      <c r="I166" s="6" t="n">
        <v>76</v>
      </c>
      <c r="J166" s="6" t="n">
        <v>0.8</v>
      </c>
      <c r="K166" s="6" t="n">
        <v>1</v>
      </c>
      <c r="L166" s="6" t="n">
        <v>0.8</v>
      </c>
    </row>
    <row r="167" customFormat="false" ht="23.85" hidden="false" customHeight="false" outlineLevel="0" collapsed="false">
      <c r="A167" s="6" t="s">
        <v>1881</v>
      </c>
      <c r="B167" s="6" t="n">
        <v>75</v>
      </c>
      <c r="C167" s="6" t="s">
        <v>1877</v>
      </c>
      <c r="D167" s="6" t="s">
        <v>1279</v>
      </c>
      <c r="E167" s="6" t="s">
        <v>1878</v>
      </c>
      <c r="F167" s="6" t="s">
        <v>1851</v>
      </c>
      <c r="G167" s="6" t="s">
        <v>1879</v>
      </c>
      <c r="H167" s="6" t="s">
        <v>1283</v>
      </c>
      <c r="I167" s="6" t="n">
        <v>76</v>
      </c>
      <c r="J167" s="6" t="n">
        <v>0.8</v>
      </c>
      <c r="K167" s="6" t="n">
        <v>1</v>
      </c>
      <c r="L167" s="6" t="n">
        <v>0.8</v>
      </c>
    </row>
    <row r="168" customFormat="false" ht="23.85" hidden="false" customHeight="false" outlineLevel="0" collapsed="false">
      <c r="A168" s="6" t="s">
        <v>1882</v>
      </c>
      <c r="B168" s="6" t="n">
        <v>77</v>
      </c>
      <c r="C168" s="6" t="s">
        <v>1661</v>
      </c>
      <c r="D168" s="6" t="s">
        <v>1662</v>
      </c>
      <c r="E168" s="6" t="s">
        <v>1883</v>
      </c>
      <c r="F168" s="6" t="s">
        <v>1884</v>
      </c>
      <c r="G168" s="6" t="s">
        <v>1885</v>
      </c>
      <c r="H168" s="6" t="s">
        <v>1283</v>
      </c>
      <c r="I168" s="6"/>
      <c r="J168" s="6" t="n">
        <v>0.8</v>
      </c>
      <c r="K168" s="6" t="n">
        <v>1</v>
      </c>
      <c r="L168" s="6" t="n">
        <v>0.8</v>
      </c>
    </row>
    <row r="169" customFormat="false" ht="23.85" hidden="false" customHeight="false" outlineLevel="0" collapsed="false">
      <c r="A169" s="6" t="s">
        <v>1886</v>
      </c>
      <c r="B169" s="6" t="n">
        <v>78</v>
      </c>
      <c r="C169" s="6" t="s">
        <v>1858</v>
      </c>
      <c r="D169" s="6" t="s">
        <v>1662</v>
      </c>
      <c r="E169" s="6" t="s">
        <v>1887</v>
      </c>
      <c r="F169" s="6" t="s">
        <v>1888</v>
      </c>
      <c r="G169" s="6" t="s">
        <v>1889</v>
      </c>
      <c r="H169" s="6" t="s">
        <v>1283</v>
      </c>
      <c r="I169" s="6"/>
      <c r="J169" s="6" t="n">
        <v>0.8</v>
      </c>
      <c r="K169" s="6" t="n">
        <v>1</v>
      </c>
      <c r="L169" s="6" t="n">
        <v>0.8</v>
      </c>
    </row>
    <row r="170" customFormat="false" ht="23.85" hidden="false" customHeight="false" outlineLevel="0" collapsed="false">
      <c r="A170" s="6" t="s">
        <v>1890</v>
      </c>
      <c r="B170" s="6" t="n">
        <v>78</v>
      </c>
      <c r="C170" s="6" t="s">
        <v>1323</v>
      </c>
      <c r="D170" s="6" t="s">
        <v>1279</v>
      </c>
      <c r="E170" s="6" t="s">
        <v>1891</v>
      </c>
      <c r="F170" s="6" t="s">
        <v>1892</v>
      </c>
      <c r="G170" s="6" t="s">
        <v>1893</v>
      </c>
      <c r="H170" s="6" t="s">
        <v>1283</v>
      </c>
      <c r="I170" s="6"/>
      <c r="J170" s="6" t="n">
        <v>0.8</v>
      </c>
      <c r="K170" s="6" t="n">
        <v>1</v>
      </c>
      <c r="L170" s="6" t="n">
        <v>0.8</v>
      </c>
    </row>
    <row r="171" customFormat="false" ht="23.85" hidden="false" customHeight="false" outlineLevel="0" collapsed="false">
      <c r="A171" s="6" t="s">
        <v>1894</v>
      </c>
      <c r="B171" s="6" t="n">
        <v>78</v>
      </c>
      <c r="C171" s="6" t="s">
        <v>1895</v>
      </c>
      <c r="D171" s="6" t="s">
        <v>1279</v>
      </c>
      <c r="E171" s="6" t="s">
        <v>1896</v>
      </c>
      <c r="F171" s="6" t="s">
        <v>1892</v>
      </c>
      <c r="G171" s="6" t="s">
        <v>1897</v>
      </c>
      <c r="H171" s="6" t="s">
        <v>1377</v>
      </c>
      <c r="I171" s="6"/>
      <c r="J171" s="6" t="n">
        <v>0.8</v>
      </c>
      <c r="K171" s="6" t="n">
        <v>0.8</v>
      </c>
      <c r="L171" s="6" t="n">
        <v>0.64</v>
      </c>
    </row>
    <row r="172" customFormat="false" ht="23.85" hidden="false" customHeight="false" outlineLevel="0" collapsed="false">
      <c r="A172" s="6" t="s">
        <v>1898</v>
      </c>
      <c r="B172" s="6" t="n">
        <v>79</v>
      </c>
      <c r="C172" s="6" t="s">
        <v>1858</v>
      </c>
      <c r="D172" s="6" t="s">
        <v>1662</v>
      </c>
      <c r="E172" s="6" t="s">
        <v>1887</v>
      </c>
      <c r="F172" s="6" t="s">
        <v>1888</v>
      </c>
      <c r="G172" s="6" t="s">
        <v>1889</v>
      </c>
      <c r="H172" s="6" t="s">
        <v>1283</v>
      </c>
      <c r="I172" s="6"/>
      <c r="J172" s="6" t="n">
        <v>0.8</v>
      </c>
      <c r="K172" s="6" t="n">
        <v>1</v>
      </c>
      <c r="L172" s="6" t="n">
        <v>0.8</v>
      </c>
    </row>
    <row r="173" customFormat="false" ht="23.85" hidden="false" customHeight="false" outlineLevel="0" collapsed="false">
      <c r="A173" s="6" t="s">
        <v>1899</v>
      </c>
      <c r="B173" s="6" t="n">
        <v>79</v>
      </c>
      <c r="C173" s="6" t="s">
        <v>1323</v>
      </c>
      <c r="D173" s="6" t="s">
        <v>1279</v>
      </c>
      <c r="E173" s="6" t="s">
        <v>1891</v>
      </c>
      <c r="F173" s="6" t="s">
        <v>1892</v>
      </c>
      <c r="G173" s="6" t="s">
        <v>1893</v>
      </c>
      <c r="H173" s="6" t="s">
        <v>1283</v>
      </c>
      <c r="I173" s="6"/>
      <c r="J173" s="6" t="n">
        <v>0.8</v>
      </c>
      <c r="K173" s="6" t="n">
        <v>1</v>
      </c>
      <c r="L173" s="6" t="n">
        <v>0.8</v>
      </c>
    </row>
    <row r="174" customFormat="false" ht="23.85" hidden="false" customHeight="false" outlineLevel="0" collapsed="false">
      <c r="A174" s="6" t="s">
        <v>1900</v>
      </c>
      <c r="B174" s="6" t="n">
        <v>79</v>
      </c>
      <c r="C174" s="6" t="s">
        <v>1901</v>
      </c>
      <c r="D174" s="6" t="s">
        <v>1279</v>
      </c>
      <c r="E174" s="6" t="s">
        <v>1902</v>
      </c>
      <c r="F174" s="6" t="s">
        <v>1892</v>
      </c>
      <c r="G174" s="6" t="s">
        <v>1903</v>
      </c>
      <c r="H174" s="6" t="s">
        <v>1283</v>
      </c>
      <c r="I174" s="6"/>
      <c r="J174" s="6" t="n">
        <v>0.8</v>
      </c>
      <c r="K174" s="6" t="n">
        <v>1</v>
      </c>
      <c r="L174" s="6" t="n">
        <v>0.8</v>
      </c>
    </row>
    <row r="175" customFormat="false" ht="23.85" hidden="false" customHeight="false" outlineLevel="0" collapsed="false">
      <c r="A175" s="6" t="s">
        <v>1904</v>
      </c>
      <c r="B175" s="6" t="n">
        <v>79</v>
      </c>
      <c r="C175" s="6" t="s">
        <v>1895</v>
      </c>
      <c r="D175" s="6" t="s">
        <v>1279</v>
      </c>
      <c r="E175" s="6" t="s">
        <v>1896</v>
      </c>
      <c r="F175" s="6" t="s">
        <v>1892</v>
      </c>
      <c r="G175" s="6" t="s">
        <v>1897</v>
      </c>
      <c r="H175" s="6" t="s">
        <v>1377</v>
      </c>
      <c r="I175" s="6"/>
      <c r="J175" s="6" t="n">
        <v>0.8</v>
      </c>
      <c r="K175" s="6" t="n">
        <v>0.8</v>
      </c>
      <c r="L175" s="6" t="n">
        <v>0.64</v>
      </c>
    </row>
    <row r="176" customFormat="false" ht="23.85" hidden="false" customHeight="false" outlineLevel="0" collapsed="false">
      <c r="A176" s="6" t="s">
        <v>1905</v>
      </c>
      <c r="B176" s="6" t="n">
        <v>80</v>
      </c>
      <c r="C176" s="6" t="s">
        <v>1323</v>
      </c>
      <c r="D176" s="6" t="s">
        <v>1279</v>
      </c>
      <c r="E176" s="6" t="s">
        <v>1891</v>
      </c>
      <c r="F176" s="6" t="s">
        <v>1892</v>
      </c>
      <c r="G176" s="6" t="s">
        <v>1893</v>
      </c>
      <c r="H176" s="6" t="s">
        <v>1283</v>
      </c>
      <c r="I176" s="6"/>
      <c r="J176" s="6" t="n">
        <v>0.8</v>
      </c>
      <c r="K176" s="6" t="n">
        <v>1</v>
      </c>
      <c r="L176" s="6" t="n">
        <v>0.8</v>
      </c>
    </row>
    <row r="177" customFormat="false" ht="23.85" hidden="false" customHeight="false" outlineLevel="0" collapsed="false">
      <c r="A177" s="6" t="s">
        <v>1906</v>
      </c>
      <c r="B177" s="6" t="n">
        <v>80</v>
      </c>
      <c r="C177" s="6" t="s">
        <v>1901</v>
      </c>
      <c r="D177" s="6" t="s">
        <v>1279</v>
      </c>
      <c r="E177" s="6" t="s">
        <v>1902</v>
      </c>
      <c r="F177" s="6" t="s">
        <v>1892</v>
      </c>
      <c r="G177" s="6" t="s">
        <v>1903</v>
      </c>
      <c r="H177" s="6" t="s">
        <v>1283</v>
      </c>
      <c r="I177" s="6"/>
      <c r="J177" s="6" t="n">
        <v>0.8</v>
      </c>
      <c r="K177" s="6" t="n">
        <v>1</v>
      </c>
      <c r="L177" s="6" t="n">
        <v>0.8</v>
      </c>
    </row>
    <row r="178" customFormat="false" ht="23.85" hidden="false" customHeight="false" outlineLevel="0" collapsed="false">
      <c r="A178" s="6" t="s">
        <v>1907</v>
      </c>
      <c r="B178" s="6" t="n">
        <v>80</v>
      </c>
      <c r="C178" s="6" t="s">
        <v>1657</v>
      </c>
      <c r="D178" s="6" t="s">
        <v>1279</v>
      </c>
      <c r="E178" s="6" t="s">
        <v>1908</v>
      </c>
      <c r="F178" s="6" t="s">
        <v>1909</v>
      </c>
      <c r="G178" s="6" t="s">
        <v>1910</v>
      </c>
      <c r="H178" s="6" t="s">
        <v>1283</v>
      </c>
      <c r="I178" s="6"/>
      <c r="J178" s="6" t="n">
        <v>0.8</v>
      </c>
      <c r="K178" s="6" t="n">
        <v>1</v>
      </c>
      <c r="L178" s="6" t="n">
        <v>0.8</v>
      </c>
    </row>
    <row r="179" customFormat="false" ht="23.85" hidden="false" customHeight="false" outlineLevel="0" collapsed="false">
      <c r="A179" s="6" t="s">
        <v>1911</v>
      </c>
      <c r="B179" s="6" t="n">
        <v>80</v>
      </c>
      <c r="C179" s="6" t="s">
        <v>1912</v>
      </c>
      <c r="D179" s="6" t="s">
        <v>1279</v>
      </c>
      <c r="E179" s="6" t="s">
        <v>1913</v>
      </c>
      <c r="F179" s="6" t="s">
        <v>1909</v>
      </c>
      <c r="G179" s="6" t="s">
        <v>1914</v>
      </c>
      <c r="H179" s="6" t="s">
        <v>1283</v>
      </c>
      <c r="I179" s="6"/>
      <c r="J179" s="6" t="n">
        <v>0.8</v>
      </c>
      <c r="K179" s="6" t="n">
        <v>1</v>
      </c>
      <c r="L179" s="6" t="n">
        <v>0.8</v>
      </c>
    </row>
    <row r="180" customFormat="false" ht="23.85" hidden="false" customHeight="false" outlineLevel="0" collapsed="false">
      <c r="A180" s="6" t="s">
        <v>1915</v>
      </c>
      <c r="B180" s="6" t="n">
        <v>80</v>
      </c>
      <c r="C180" s="6" t="s">
        <v>1916</v>
      </c>
      <c r="D180" s="6" t="s">
        <v>1279</v>
      </c>
      <c r="E180" s="6" t="s">
        <v>1917</v>
      </c>
      <c r="F180" s="6" t="s">
        <v>1918</v>
      </c>
      <c r="G180" s="6" t="s">
        <v>1919</v>
      </c>
      <c r="H180" s="6" t="s">
        <v>1283</v>
      </c>
      <c r="I180" s="6"/>
      <c r="J180" s="6" t="n">
        <v>0.8</v>
      </c>
      <c r="K180" s="6" t="n">
        <v>1</v>
      </c>
      <c r="L180" s="6" t="n">
        <v>0.8</v>
      </c>
    </row>
    <row r="181" customFormat="false" ht="23.85" hidden="false" customHeight="false" outlineLevel="0" collapsed="false">
      <c r="A181" s="6" t="s">
        <v>1920</v>
      </c>
      <c r="B181" s="6" t="n">
        <v>81</v>
      </c>
      <c r="C181" s="6" t="s">
        <v>1921</v>
      </c>
      <c r="D181" s="6" t="s">
        <v>1279</v>
      </c>
      <c r="E181" s="6" t="s">
        <v>1922</v>
      </c>
      <c r="F181" s="6" t="s">
        <v>1923</v>
      </c>
      <c r="G181" s="6" t="s">
        <v>1924</v>
      </c>
      <c r="H181" s="6" t="s">
        <v>1283</v>
      </c>
      <c r="I181" s="6"/>
      <c r="J181" s="6" t="n">
        <v>0.8</v>
      </c>
      <c r="K181" s="6" t="n">
        <v>1</v>
      </c>
      <c r="L181" s="6" t="n">
        <v>0.8</v>
      </c>
    </row>
    <row r="182" customFormat="false" ht="23.85" hidden="false" customHeight="false" outlineLevel="0" collapsed="false">
      <c r="A182" s="6" t="s">
        <v>1925</v>
      </c>
      <c r="B182" s="6" t="n">
        <v>82</v>
      </c>
      <c r="C182" s="6" t="s">
        <v>1921</v>
      </c>
      <c r="D182" s="6" t="s">
        <v>1279</v>
      </c>
      <c r="E182" s="6" t="s">
        <v>1922</v>
      </c>
      <c r="F182" s="6" t="s">
        <v>1923</v>
      </c>
      <c r="G182" s="6" t="s">
        <v>1924</v>
      </c>
      <c r="H182" s="6" t="s">
        <v>1283</v>
      </c>
      <c r="I182" s="6"/>
      <c r="J182" s="6" t="n">
        <v>0.8</v>
      </c>
      <c r="K182" s="6" t="n">
        <v>1</v>
      </c>
      <c r="L182" s="6" t="n">
        <v>0.8</v>
      </c>
    </row>
    <row r="183" customFormat="false" ht="23.85" hidden="false" customHeight="false" outlineLevel="0" collapsed="false">
      <c r="A183" s="6" t="s">
        <v>1926</v>
      </c>
      <c r="B183" s="6" t="n">
        <v>82</v>
      </c>
      <c r="C183" s="6" t="s">
        <v>1927</v>
      </c>
      <c r="D183" s="6" t="s">
        <v>1279</v>
      </c>
      <c r="E183" s="6" t="s">
        <v>1928</v>
      </c>
      <c r="F183" s="6" t="s">
        <v>1923</v>
      </c>
      <c r="G183" s="6" t="s">
        <v>1929</v>
      </c>
      <c r="H183" s="6" t="s">
        <v>1283</v>
      </c>
      <c r="I183" s="6"/>
      <c r="J183" s="6" t="n">
        <v>0.8</v>
      </c>
      <c r="K183" s="6" t="n">
        <v>1</v>
      </c>
      <c r="L183" s="6" t="n">
        <v>0.8</v>
      </c>
    </row>
    <row r="184" customFormat="false" ht="23.85" hidden="false" customHeight="false" outlineLevel="0" collapsed="false">
      <c r="A184" s="6" t="s">
        <v>1930</v>
      </c>
      <c r="B184" s="6" t="n">
        <v>83</v>
      </c>
      <c r="C184" s="6" t="s">
        <v>1391</v>
      </c>
      <c r="D184" s="6" t="s">
        <v>1279</v>
      </c>
      <c r="E184" s="6" t="s">
        <v>1931</v>
      </c>
      <c r="F184" s="6" t="s">
        <v>1932</v>
      </c>
      <c r="G184" s="6" t="s">
        <v>1933</v>
      </c>
      <c r="H184" s="6" t="s">
        <v>1283</v>
      </c>
      <c r="I184" s="6"/>
      <c r="J184" s="6" t="n">
        <v>0.8</v>
      </c>
      <c r="K184" s="6" t="n">
        <v>1</v>
      </c>
      <c r="L184" s="6" t="n">
        <v>0.8</v>
      </c>
    </row>
    <row r="185" customFormat="false" ht="23.85" hidden="false" customHeight="false" outlineLevel="0" collapsed="false">
      <c r="A185" s="6" t="s">
        <v>1934</v>
      </c>
      <c r="B185" s="6" t="n">
        <v>84</v>
      </c>
      <c r="C185" s="6" t="s">
        <v>1935</v>
      </c>
      <c r="D185" s="6" t="s">
        <v>1279</v>
      </c>
      <c r="E185" s="6" t="s">
        <v>1936</v>
      </c>
      <c r="F185" s="6"/>
      <c r="G185" s="6"/>
      <c r="H185" s="12" t="s">
        <v>1937</v>
      </c>
      <c r="I185" s="6"/>
      <c r="J185" s="6" t="n">
        <v>0.8</v>
      </c>
      <c r="K185" s="6" t="n">
        <v>0.65</v>
      </c>
      <c r="L185" s="6" t="n">
        <v>0.52</v>
      </c>
    </row>
    <row r="186" customFormat="false" ht="23.85" hidden="false" customHeight="false" outlineLevel="0" collapsed="false">
      <c r="A186" s="6" t="s">
        <v>1938</v>
      </c>
      <c r="B186" s="6" t="n">
        <v>85</v>
      </c>
      <c r="C186" s="6" t="s">
        <v>1939</v>
      </c>
      <c r="D186" s="6" t="s">
        <v>1279</v>
      </c>
      <c r="E186" s="6" t="s">
        <v>1940</v>
      </c>
      <c r="F186" s="6" t="s">
        <v>1941</v>
      </c>
      <c r="G186" s="6" t="s">
        <v>1942</v>
      </c>
      <c r="H186" s="6" t="s">
        <v>1283</v>
      </c>
      <c r="I186" s="6"/>
      <c r="J186" s="6" t="n">
        <v>0.8</v>
      </c>
      <c r="K186" s="6" t="n">
        <v>1</v>
      </c>
      <c r="L186" s="6" t="n">
        <v>0.8</v>
      </c>
    </row>
    <row r="187" customFormat="false" ht="23.85" hidden="false" customHeight="false" outlineLevel="0" collapsed="false">
      <c r="A187" s="6" t="s">
        <v>1943</v>
      </c>
      <c r="B187" s="6" t="n">
        <v>85</v>
      </c>
      <c r="C187" s="6" t="s">
        <v>1323</v>
      </c>
      <c r="D187" s="6" t="s">
        <v>1279</v>
      </c>
      <c r="E187" s="6" t="s">
        <v>1944</v>
      </c>
      <c r="F187" s="6" t="s">
        <v>1941</v>
      </c>
      <c r="G187" s="6" t="s">
        <v>1945</v>
      </c>
      <c r="H187" s="6" t="s">
        <v>1283</v>
      </c>
      <c r="I187" s="6"/>
      <c r="J187" s="6" t="n">
        <v>0.8</v>
      </c>
      <c r="K187" s="6" t="n">
        <v>1</v>
      </c>
      <c r="L187" s="6" t="n">
        <v>0.8</v>
      </c>
    </row>
    <row r="188" customFormat="false" ht="23.85" hidden="false" customHeight="false" outlineLevel="0" collapsed="false">
      <c r="A188" s="6" t="s">
        <v>1946</v>
      </c>
      <c r="B188" s="6" t="n">
        <v>86</v>
      </c>
      <c r="C188" s="6" t="s">
        <v>1935</v>
      </c>
      <c r="D188" s="6" t="s">
        <v>1279</v>
      </c>
      <c r="E188" s="6" t="s">
        <v>1936</v>
      </c>
      <c r="F188" s="6"/>
      <c r="G188" s="6"/>
      <c r="H188" s="12" t="s">
        <v>1937</v>
      </c>
      <c r="I188" s="6"/>
      <c r="J188" s="6" t="n">
        <v>0.8</v>
      </c>
      <c r="K188" s="6" t="n">
        <v>0.65</v>
      </c>
      <c r="L188" s="6" t="n">
        <v>0.52</v>
      </c>
    </row>
    <row r="189" customFormat="false" ht="23.85" hidden="false" customHeight="false" outlineLevel="0" collapsed="false">
      <c r="A189" s="6" t="s">
        <v>1947</v>
      </c>
      <c r="B189" s="6" t="n">
        <v>86</v>
      </c>
      <c r="C189" s="6" t="s">
        <v>1948</v>
      </c>
      <c r="D189" s="6" t="s">
        <v>1279</v>
      </c>
      <c r="E189" s="6" t="s">
        <v>1936</v>
      </c>
      <c r="F189" s="6"/>
      <c r="G189" s="6"/>
      <c r="H189" s="12" t="s">
        <v>1937</v>
      </c>
      <c r="I189" s="6"/>
      <c r="J189" s="6" t="n">
        <v>0.8</v>
      </c>
      <c r="K189" s="6" t="n">
        <v>0.65</v>
      </c>
      <c r="L189" s="6" t="n">
        <v>0.52</v>
      </c>
    </row>
    <row r="190" customFormat="false" ht="15" hidden="false" customHeight="false" outlineLevel="0" collapsed="false">
      <c r="A190" s="6" t="s">
        <v>1949</v>
      </c>
      <c r="B190" s="6" t="n">
        <v>87</v>
      </c>
      <c r="C190" s="6" t="s">
        <v>1950</v>
      </c>
      <c r="D190" s="6" t="s">
        <v>1662</v>
      </c>
      <c r="E190" s="6" t="s">
        <v>1951</v>
      </c>
      <c r="F190" s="6" t="s">
        <v>1952</v>
      </c>
      <c r="G190" s="6" t="s">
        <v>1953</v>
      </c>
      <c r="H190" s="6" t="s">
        <v>1283</v>
      </c>
      <c r="I190" s="6"/>
      <c r="J190" s="6" t="n">
        <v>0.8</v>
      </c>
      <c r="K190" s="6" t="n">
        <v>1</v>
      </c>
      <c r="L190" s="6" t="n">
        <v>0.8</v>
      </c>
    </row>
    <row r="191" customFormat="false" ht="23.85" hidden="false" customHeight="false" outlineLevel="0" collapsed="false">
      <c r="A191" s="6" t="s">
        <v>1954</v>
      </c>
      <c r="B191" s="6" t="n">
        <v>88</v>
      </c>
      <c r="C191" s="6" t="s">
        <v>1948</v>
      </c>
      <c r="D191" s="6" t="s">
        <v>1279</v>
      </c>
      <c r="E191" s="6" t="s">
        <v>1936</v>
      </c>
      <c r="F191" s="6"/>
      <c r="G191" s="6"/>
      <c r="H191" s="12" t="s">
        <v>1937</v>
      </c>
      <c r="I191" s="6"/>
      <c r="J191" s="6" t="n">
        <v>0.8</v>
      </c>
      <c r="K191" s="6" t="n">
        <v>0.65</v>
      </c>
      <c r="L191" s="6" t="n">
        <v>0.52</v>
      </c>
    </row>
    <row r="192" customFormat="false" ht="23.85" hidden="false" customHeight="false" outlineLevel="0" collapsed="false">
      <c r="A192" s="6" t="s">
        <v>1955</v>
      </c>
      <c r="B192" s="6" t="n">
        <v>88</v>
      </c>
      <c r="C192" s="6" t="s">
        <v>1956</v>
      </c>
      <c r="D192" s="6" t="s">
        <v>1279</v>
      </c>
      <c r="E192" s="6" t="s">
        <v>1936</v>
      </c>
      <c r="F192" s="6"/>
      <c r="G192" s="6"/>
      <c r="H192" s="12" t="s">
        <v>1937</v>
      </c>
      <c r="I192" s="6"/>
      <c r="J192" s="6" t="n">
        <v>0.8</v>
      </c>
      <c r="K192" s="6" t="n">
        <v>0.65</v>
      </c>
      <c r="L192" s="6" t="n">
        <v>0.52</v>
      </c>
    </row>
    <row r="193" customFormat="false" ht="23.85" hidden="false" customHeight="false" outlineLevel="0" collapsed="false">
      <c r="A193" s="6" t="s">
        <v>1957</v>
      </c>
      <c r="B193" s="6" t="n">
        <v>89</v>
      </c>
      <c r="C193" s="6" t="s">
        <v>1948</v>
      </c>
      <c r="D193" s="6" t="s">
        <v>1279</v>
      </c>
      <c r="E193" s="6" t="s">
        <v>1936</v>
      </c>
      <c r="F193" s="6"/>
      <c r="G193" s="6"/>
      <c r="H193" s="12" t="s">
        <v>1937</v>
      </c>
      <c r="I193" s="6"/>
      <c r="J193" s="6" t="n">
        <v>0.8</v>
      </c>
      <c r="K193" s="6" t="n">
        <v>0.65</v>
      </c>
      <c r="L193" s="6" t="n">
        <v>0.52</v>
      </c>
    </row>
    <row r="194" customFormat="false" ht="23.85" hidden="false" customHeight="false" outlineLevel="0" collapsed="false">
      <c r="A194" s="6" t="s">
        <v>1958</v>
      </c>
      <c r="B194" s="6" t="n">
        <v>90</v>
      </c>
      <c r="C194" s="6" t="s">
        <v>1959</v>
      </c>
      <c r="D194" s="6" t="s">
        <v>1279</v>
      </c>
      <c r="E194" s="6" t="s">
        <v>1960</v>
      </c>
      <c r="F194" s="6" t="s">
        <v>1961</v>
      </c>
      <c r="G194" s="6" t="s">
        <v>1962</v>
      </c>
      <c r="H194" s="6" t="s">
        <v>1283</v>
      </c>
      <c r="I194" s="6"/>
      <c r="J194" s="6" t="n">
        <v>0.8</v>
      </c>
      <c r="K194" s="6" t="n">
        <v>1</v>
      </c>
      <c r="L194" s="6" t="n">
        <v>0.8</v>
      </c>
    </row>
    <row r="195" customFormat="false" ht="23.85" hidden="false" customHeight="false" outlineLevel="0" collapsed="false">
      <c r="A195" s="6" t="s">
        <v>1963</v>
      </c>
      <c r="B195" s="6" t="n">
        <v>90</v>
      </c>
      <c r="C195" s="6" t="s">
        <v>1309</v>
      </c>
      <c r="D195" s="6" t="s">
        <v>1279</v>
      </c>
      <c r="E195" s="6" t="s">
        <v>1964</v>
      </c>
      <c r="F195" s="6" t="s">
        <v>1965</v>
      </c>
      <c r="G195" s="6" t="s">
        <v>1966</v>
      </c>
      <c r="H195" s="6" t="s">
        <v>1283</v>
      </c>
      <c r="I195" s="6"/>
      <c r="J195" s="6" t="n">
        <v>0.8</v>
      </c>
      <c r="K195" s="6" t="n">
        <v>1</v>
      </c>
      <c r="L195" s="6" t="n">
        <v>0.8</v>
      </c>
    </row>
    <row r="196" customFormat="false" ht="23.85" hidden="false" customHeight="false" outlineLevel="0" collapsed="false">
      <c r="A196" s="6" t="s">
        <v>1967</v>
      </c>
      <c r="B196" s="6" t="n">
        <v>91</v>
      </c>
      <c r="C196" s="6" t="s">
        <v>1959</v>
      </c>
      <c r="D196" s="6" t="s">
        <v>1279</v>
      </c>
      <c r="E196" s="6" t="s">
        <v>1968</v>
      </c>
      <c r="F196" s="6" t="s">
        <v>1969</v>
      </c>
      <c r="G196" s="6" t="s">
        <v>1970</v>
      </c>
      <c r="H196" s="6" t="s">
        <v>1283</v>
      </c>
      <c r="I196" s="6"/>
      <c r="J196" s="6" t="n">
        <v>0.8</v>
      </c>
      <c r="K196" s="6" t="n">
        <v>1</v>
      </c>
      <c r="L196" s="6" t="n">
        <v>0.8</v>
      </c>
    </row>
    <row r="197" customFormat="false" ht="23.85" hidden="false" customHeight="false" outlineLevel="0" collapsed="false">
      <c r="A197" s="6" t="s">
        <v>1971</v>
      </c>
      <c r="B197" s="6" t="n">
        <v>92</v>
      </c>
      <c r="C197" s="6" t="s">
        <v>1305</v>
      </c>
      <c r="D197" s="6" t="s">
        <v>1279</v>
      </c>
      <c r="E197" s="6" t="s">
        <v>1972</v>
      </c>
      <c r="F197" s="6" t="s">
        <v>1969</v>
      </c>
      <c r="G197" s="6" t="s">
        <v>1973</v>
      </c>
      <c r="H197" s="6" t="s">
        <v>1283</v>
      </c>
      <c r="I197" s="6"/>
      <c r="J197" s="6" t="n">
        <v>0.8</v>
      </c>
      <c r="K197" s="6" t="n">
        <v>1</v>
      </c>
      <c r="L197" s="6" t="n">
        <v>0.8</v>
      </c>
    </row>
    <row r="198" customFormat="false" ht="23.85" hidden="false" customHeight="false" outlineLevel="0" collapsed="false">
      <c r="A198" s="6" t="s">
        <v>1974</v>
      </c>
      <c r="B198" s="6" t="n">
        <v>93</v>
      </c>
      <c r="C198" s="6" t="s">
        <v>1323</v>
      </c>
      <c r="D198" s="6" t="s">
        <v>1279</v>
      </c>
      <c r="E198" s="6" t="s">
        <v>1975</v>
      </c>
      <c r="F198" s="6" t="s">
        <v>1961</v>
      </c>
      <c r="G198" s="6" t="s">
        <v>1976</v>
      </c>
      <c r="H198" s="6" t="s">
        <v>1283</v>
      </c>
      <c r="I198" s="6"/>
      <c r="J198" s="6" t="n">
        <v>0.8</v>
      </c>
      <c r="K198" s="6" t="n">
        <v>1</v>
      </c>
      <c r="L198" s="6" t="n">
        <v>0.8</v>
      </c>
    </row>
    <row r="199" customFormat="false" ht="23.85" hidden="false" customHeight="false" outlineLevel="0" collapsed="false">
      <c r="A199" s="6" t="s">
        <v>1977</v>
      </c>
      <c r="B199" s="6" t="n">
        <v>93</v>
      </c>
      <c r="C199" s="6" t="s">
        <v>1323</v>
      </c>
      <c r="D199" s="6" t="s">
        <v>1279</v>
      </c>
      <c r="E199" s="6" t="s">
        <v>1978</v>
      </c>
      <c r="F199" s="6" t="s">
        <v>1965</v>
      </c>
      <c r="G199" s="6" t="s">
        <v>1979</v>
      </c>
      <c r="H199" s="6" t="s">
        <v>1283</v>
      </c>
      <c r="I199" s="6"/>
      <c r="J199" s="6" t="n">
        <v>0.8</v>
      </c>
      <c r="K199" s="6" t="n">
        <v>1</v>
      </c>
      <c r="L199" s="6" t="n">
        <v>0.8</v>
      </c>
    </row>
    <row r="200" customFormat="false" ht="23.85" hidden="false" customHeight="false" outlineLevel="0" collapsed="false">
      <c r="A200" s="6" t="s">
        <v>1980</v>
      </c>
      <c r="B200" s="6" t="n">
        <v>94</v>
      </c>
      <c r="C200" s="6" t="s">
        <v>1981</v>
      </c>
      <c r="D200" s="6" t="s">
        <v>1279</v>
      </c>
      <c r="E200" s="6" t="s">
        <v>1982</v>
      </c>
      <c r="F200" s="6" t="s">
        <v>1969</v>
      </c>
      <c r="G200" s="6" t="s">
        <v>1983</v>
      </c>
      <c r="H200" s="6" t="s">
        <v>1283</v>
      </c>
      <c r="I200" s="6"/>
      <c r="J200" s="6" t="n">
        <v>0.8</v>
      </c>
      <c r="K200" s="6" t="n">
        <v>1</v>
      </c>
      <c r="L200" s="6" t="n">
        <v>0.8</v>
      </c>
    </row>
    <row r="201" customFormat="false" ht="23.85" hidden="false" customHeight="false" outlineLevel="0" collapsed="false">
      <c r="A201" s="6" t="s">
        <v>1984</v>
      </c>
      <c r="B201" s="6" t="n">
        <v>94</v>
      </c>
      <c r="C201" s="6" t="s">
        <v>1323</v>
      </c>
      <c r="D201" s="6" t="s">
        <v>1279</v>
      </c>
      <c r="E201" s="6" t="s">
        <v>1975</v>
      </c>
      <c r="F201" s="6" t="s">
        <v>1961</v>
      </c>
      <c r="G201" s="6" t="s">
        <v>1976</v>
      </c>
      <c r="H201" s="6" t="s">
        <v>1283</v>
      </c>
      <c r="I201" s="6"/>
      <c r="J201" s="6" t="n">
        <v>0.8</v>
      </c>
      <c r="K201" s="6" t="n">
        <v>1</v>
      </c>
      <c r="L201" s="6" t="n">
        <v>0.8</v>
      </c>
    </row>
    <row r="202" customFormat="false" ht="23.85" hidden="false" customHeight="false" outlineLevel="0" collapsed="false">
      <c r="A202" s="6" t="s">
        <v>1985</v>
      </c>
      <c r="B202" s="6" t="n">
        <v>94</v>
      </c>
      <c r="C202" s="6" t="s">
        <v>1959</v>
      </c>
      <c r="D202" s="6" t="s">
        <v>1279</v>
      </c>
      <c r="E202" s="6" t="s">
        <v>1960</v>
      </c>
      <c r="F202" s="6" t="s">
        <v>1961</v>
      </c>
      <c r="G202" s="6" t="s">
        <v>1962</v>
      </c>
      <c r="H202" s="6" t="s">
        <v>1283</v>
      </c>
      <c r="I202" s="6"/>
      <c r="J202" s="6" t="n">
        <v>0.8</v>
      </c>
      <c r="K202" s="6" t="n">
        <v>1</v>
      </c>
      <c r="L202" s="6" t="n">
        <v>0.8</v>
      </c>
    </row>
    <row r="203" customFormat="false" ht="23.85" hidden="false" customHeight="false" outlineLevel="0" collapsed="false">
      <c r="A203" s="6" t="s">
        <v>1986</v>
      </c>
      <c r="B203" s="6" t="n">
        <v>95</v>
      </c>
      <c r="C203" s="6" t="s">
        <v>1323</v>
      </c>
      <c r="D203" s="6" t="s">
        <v>1279</v>
      </c>
      <c r="E203" s="6" t="s">
        <v>1975</v>
      </c>
      <c r="F203" s="6" t="s">
        <v>1961</v>
      </c>
      <c r="G203" s="6" t="s">
        <v>1976</v>
      </c>
      <c r="H203" s="6" t="s">
        <v>1283</v>
      </c>
      <c r="I203" s="6"/>
      <c r="J203" s="6" t="n">
        <v>0.8</v>
      </c>
      <c r="K203" s="6" t="n">
        <v>1</v>
      </c>
      <c r="L203" s="6" t="n">
        <v>0.8</v>
      </c>
    </row>
    <row r="204" customFormat="false" ht="23.85" hidden="false" customHeight="false" outlineLevel="0" collapsed="false">
      <c r="A204" s="6" t="s">
        <v>1987</v>
      </c>
      <c r="B204" s="6" t="n">
        <v>95</v>
      </c>
      <c r="C204" s="6" t="s">
        <v>1323</v>
      </c>
      <c r="D204" s="6" t="s">
        <v>1279</v>
      </c>
      <c r="E204" s="6" t="s">
        <v>1978</v>
      </c>
      <c r="F204" s="6" t="s">
        <v>1965</v>
      </c>
      <c r="G204" s="6" t="s">
        <v>1979</v>
      </c>
      <c r="H204" s="6" t="s">
        <v>1283</v>
      </c>
      <c r="I204" s="6"/>
      <c r="J204" s="6" t="n">
        <v>0.8</v>
      </c>
      <c r="K204" s="6" t="n">
        <v>1</v>
      </c>
      <c r="L204" s="6" t="n">
        <v>0.8</v>
      </c>
    </row>
    <row r="205" customFormat="false" ht="23.85" hidden="false" customHeight="false" outlineLevel="0" collapsed="false">
      <c r="A205" s="6" t="s">
        <v>1988</v>
      </c>
      <c r="B205" s="6" t="n">
        <v>96</v>
      </c>
      <c r="C205" s="6" t="s">
        <v>1989</v>
      </c>
      <c r="D205" s="6" t="s">
        <v>1279</v>
      </c>
      <c r="E205" s="6" t="s">
        <v>1990</v>
      </c>
      <c r="F205" s="6" t="s">
        <v>1965</v>
      </c>
      <c r="G205" s="6" t="s">
        <v>1991</v>
      </c>
      <c r="H205" s="6" t="s">
        <v>1283</v>
      </c>
      <c r="I205" s="6"/>
      <c r="J205" s="6" t="n">
        <v>0.8</v>
      </c>
      <c r="K205" s="6" t="n">
        <v>1</v>
      </c>
      <c r="L205" s="6" t="n">
        <v>0.8</v>
      </c>
    </row>
    <row r="206" customFormat="false" ht="23.85" hidden="false" customHeight="false" outlineLevel="0" collapsed="false">
      <c r="A206" s="6" t="s">
        <v>1992</v>
      </c>
      <c r="B206" s="6" t="n">
        <v>96</v>
      </c>
      <c r="C206" s="6" t="s">
        <v>1309</v>
      </c>
      <c r="D206" s="6" t="s">
        <v>1279</v>
      </c>
      <c r="E206" s="6" t="s">
        <v>1964</v>
      </c>
      <c r="F206" s="6" t="s">
        <v>1965</v>
      </c>
      <c r="G206" s="6" t="s">
        <v>1966</v>
      </c>
      <c r="H206" s="6" t="s">
        <v>1283</v>
      </c>
      <c r="I206" s="6"/>
      <c r="J206" s="6" t="n">
        <v>0.8</v>
      </c>
      <c r="K206" s="6" t="n">
        <v>1</v>
      </c>
      <c r="L206" s="6" t="n">
        <v>0.8</v>
      </c>
    </row>
    <row r="207" customFormat="false" ht="23.85" hidden="false" customHeight="false" outlineLevel="0" collapsed="false">
      <c r="A207" s="6" t="s">
        <v>1993</v>
      </c>
      <c r="B207" s="6" t="n">
        <v>97</v>
      </c>
      <c r="C207" s="6" t="s">
        <v>1994</v>
      </c>
      <c r="D207" s="6" t="s">
        <v>1279</v>
      </c>
      <c r="E207" s="6" t="s">
        <v>1995</v>
      </c>
      <c r="F207" s="6" t="s">
        <v>1996</v>
      </c>
      <c r="G207" s="6" t="s">
        <v>1997</v>
      </c>
      <c r="H207" s="6" t="s">
        <v>1283</v>
      </c>
      <c r="I207" s="6"/>
      <c r="J207" s="6" t="n">
        <v>0.8</v>
      </c>
      <c r="K207" s="6" t="n">
        <v>1</v>
      </c>
      <c r="L207" s="6" t="n">
        <v>0.8</v>
      </c>
    </row>
    <row r="208" customFormat="false" ht="23.85" hidden="false" customHeight="false" outlineLevel="0" collapsed="false">
      <c r="A208" s="6" t="s">
        <v>1998</v>
      </c>
      <c r="B208" s="6" t="n">
        <v>97</v>
      </c>
      <c r="C208" s="6" t="s">
        <v>1323</v>
      </c>
      <c r="D208" s="6" t="s">
        <v>1279</v>
      </c>
      <c r="E208" s="6" t="s">
        <v>1978</v>
      </c>
      <c r="F208" s="6" t="s">
        <v>1965</v>
      </c>
      <c r="G208" s="6" t="s">
        <v>1979</v>
      </c>
      <c r="H208" s="6" t="s">
        <v>1283</v>
      </c>
      <c r="I208" s="6"/>
      <c r="J208" s="6" t="n">
        <v>0.8</v>
      </c>
      <c r="K208" s="6" t="n">
        <v>1</v>
      </c>
      <c r="L208" s="6" t="n">
        <v>0.8</v>
      </c>
    </row>
    <row r="209" customFormat="false" ht="23.85" hidden="false" customHeight="false" outlineLevel="0" collapsed="false">
      <c r="A209" s="6" t="s">
        <v>1999</v>
      </c>
      <c r="B209" s="6" t="n">
        <v>98</v>
      </c>
      <c r="C209" s="6" t="s">
        <v>1323</v>
      </c>
      <c r="D209" s="6" t="s">
        <v>1279</v>
      </c>
      <c r="E209" s="6" t="s">
        <v>2000</v>
      </c>
      <c r="F209" s="6" t="s">
        <v>1965</v>
      </c>
      <c r="G209" s="6" t="s">
        <v>2001</v>
      </c>
      <c r="H209" s="6" t="s">
        <v>1283</v>
      </c>
      <c r="I209" s="6"/>
      <c r="J209" s="6" t="n">
        <v>0.8</v>
      </c>
      <c r="K209" s="6" t="n">
        <v>1</v>
      </c>
      <c r="L209" s="6" t="n">
        <v>0.8</v>
      </c>
    </row>
    <row r="210" customFormat="false" ht="23.85" hidden="false" customHeight="false" outlineLevel="0" collapsed="false">
      <c r="A210" s="6" t="s">
        <v>2002</v>
      </c>
      <c r="B210" s="6" t="n">
        <v>99</v>
      </c>
      <c r="C210" s="6" t="s">
        <v>1994</v>
      </c>
      <c r="D210" s="6" t="s">
        <v>1279</v>
      </c>
      <c r="E210" s="6" t="s">
        <v>1995</v>
      </c>
      <c r="F210" s="6" t="s">
        <v>1996</v>
      </c>
      <c r="G210" s="6" t="s">
        <v>1997</v>
      </c>
      <c r="H210" s="6" t="s">
        <v>1283</v>
      </c>
      <c r="I210" s="6"/>
      <c r="J210" s="6" t="n">
        <v>0.8</v>
      </c>
      <c r="K210" s="6" t="n">
        <v>1</v>
      </c>
      <c r="L210" s="6" t="n">
        <v>0.8</v>
      </c>
    </row>
    <row r="211" customFormat="false" ht="23.85" hidden="false" customHeight="false" outlineLevel="0" collapsed="false">
      <c r="A211" s="6" t="s">
        <v>2003</v>
      </c>
      <c r="B211" s="6" t="n">
        <v>99</v>
      </c>
      <c r="C211" s="6" t="s">
        <v>1323</v>
      </c>
      <c r="D211" s="6" t="s">
        <v>1279</v>
      </c>
      <c r="E211" s="6" t="s">
        <v>1978</v>
      </c>
      <c r="F211" s="6" t="s">
        <v>1965</v>
      </c>
      <c r="G211" s="6" t="s">
        <v>1979</v>
      </c>
      <c r="H211" s="6" t="s">
        <v>1283</v>
      </c>
      <c r="I211" s="6"/>
      <c r="J211" s="6" t="n">
        <v>0.8</v>
      </c>
      <c r="K211" s="6" t="n">
        <v>1</v>
      </c>
      <c r="L211" s="6" t="n">
        <v>0.8</v>
      </c>
    </row>
    <row r="212" customFormat="false" ht="23.85" hidden="false" customHeight="false" outlineLevel="0" collapsed="false">
      <c r="A212" s="6" t="s">
        <v>2004</v>
      </c>
      <c r="B212" s="6" t="n">
        <v>100</v>
      </c>
      <c r="C212" s="6" t="s">
        <v>1989</v>
      </c>
      <c r="D212" s="6" t="s">
        <v>1279</v>
      </c>
      <c r="E212" s="6" t="s">
        <v>1990</v>
      </c>
      <c r="F212" s="6" t="s">
        <v>1965</v>
      </c>
      <c r="G212" s="6" t="s">
        <v>1991</v>
      </c>
      <c r="H212" s="6" t="s">
        <v>1283</v>
      </c>
      <c r="I212" s="6"/>
      <c r="J212" s="6" t="n">
        <v>0.8</v>
      </c>
      <c r="K212" s="6" t="n">
        <v>1</v>
      </c>
      <c r="L212" s="6" t="n">
        <v>0.8</v>
      </c>
    </row>
    <row r="213" customFormat="false" ht="23.85" hidden="false" customHeight="false" outlineLevel="0" collapsed="false">
      <c r="A213" s="6" t="s">
        <v>2005</v>
      </c>
      <c r="B213" s="6" t="n">
        <v>100</v>
      </c>
      <c r="C213" s="6" t="s">
        <v>1309</v>
      </c>
      <c r="D213" s="6" t="s">
        <v>1279</v>
      </c>
      <c r="E213" s="6" t="s">
        <v>1964</v>
      </c>
      <c r="F213" s="6" t="s">
        <v>1965</v>
      </c>
      <c r="G213" s="6" t="s">
        <v>1966</v>
      </c>
      <c r="H213" s="6" t="s">
        <v>1283</v>
      </c>
      <c r="I213" s="6"/>
      <c r="J213" s="6" t="n">
        <v>0.8</v>
      </c>
      <c r="K213" s="6" t="n">
        <v>1</v>
      </c>
      <c r="L213" s="6" t="n">
        <v>0.8</v>
      </c>
    </row>
    <row r="214" customFormat="false" ht="23.85" hidden="false" customHeight="false" outlineLevel="0" collapsed="false">
      <c r="A214" s="6" t="s">
        <v>2006</v>
      </c>
      <c r="B214" s="6" t="n">
        <v>101</v>
      </c>
      <c r="C214" s="6" t="s">
        <v>2007</v>
      </c>
      <c r="D214" s="11" t="s">
        <v>1795</v>
      </c>
      <c r="E214" s="6" t="s">
        <v>2008</v>
      </c>
      <c r="F214" s="6" t="s">
        <v>1965</v>
      </c>
      <c r="G214" s="6" t="s">
        <v>2009</v>
      </c>
      <c r="H214" s="6" t="s">
        <v>1283</v>
      </c>
      <c r="I214" s="6"/>
      <c r="J214" s="6" t="n">
        <v>0.3</v>
      </c>
      <c r="K214" s="6" t="n">
        <v>1</v>
      </c>
      <c r="L214" s="6" t="n">
        <v>0.3</v>
      </c>
    </row>
    <row r="215" customFormat="false" ht="23.85" hidden="false" customHeight="false" outlineLevel="0" collapsed="false">
      <c r="A215" s="6" t="s">
        <v>2010</v>
      </c>
      <c r="B215" s="6" t="n">
        <v>102</v>
      </c>
      <c r="C215" s="6" t="s">
        <v>1323</v>
      </c>
      <c r="D215" s="6" t="s">
        <v>1279</v>
      </c>
      <c r="E215" s="6" t="s">
        <v>2011</v>
      </c>
      <c r="F215" s="6" t="s">
        <v>2012</v>
      </c>
      <c r="G215" s="6" t="s">
        <v>2013</v>
      </c>
      <c r="H215" s="6" t="s">
        <v>1283</v>
      </c>
      <c r="I215" s="6"/>
      <c r="J215" s="6" t="n">
        <v>0.8</v>
      </c>
      <c r="K215" s="6" t="n">
        <v>1</v>
      </c>
      <c r="L215" s="6" t="n">
        <v>0.8</v>
      </c>
    </row>
    <row r="216" customFormat="false" ht="23.85" hidden="false" customHeight="false" outlineLevel="0" collapsed="false">
      <c r="A216" s="6" t="s">
        <v>2014</v>
      </c>
      <c r="B216" s="6" t="n">
        <v>102</v>
      </c>
      <c r="C216" s="6" t="s">
        <v>2015</v>
      </c>
      <c r="D216" s="6" t="s">
        <v>1279</v>
      </c>
      <c r="E216" s="6" t="s">
        <v>2016</v>
      </c>
      <c r="F216" s="6" t="s">
        <v>2012</v>
      </c>
      <c r="G216" s="6" t="s">
        <v>2017</v>
      </c>
      <c r="H216" s="6" t="s">
        <v>1377</v>
      </c>
      <c r="I216" s="6"/>
      <c r="J216" s="6" t="n">
        <v>0.8</v>
      </c>
      <c r="K216" s="6" t="n">
        <v>0.8</v>
      </c>
      <c r="L216" s="6" t="n">
        <v>0.64</v>
      </c>
    </row>
    <row r="217" customFormat="false" ht="23.85" hidden="false" customHeight="false" outlineLevel="0" collapsed="false">
      <c r="A217" s="6" t="s">
        <v>2018</v>
      </c>
      <c r="B217" s="6" t="n">
        <v>103</v>
      </c>
      <c r="C217" s="6" t="s">
        <v>1323</v>
      </c>
      <c r="D217" s="6" t="s">
        <v>1279</v>
      </c>
      <c r="E217" s="6" t="s">
        <v>2019</v>
      </c>
      <c r="F217" s="6" t="s">
        <v>2020</v>
      </c>
      <c r="G217" s="6" t="s">
        <v>2021</v>
      </c>
      <c r="H217" s="6" t="s">
        <v>1283</v>
      </c>
      <c r="I217" s="6"/>
      <c r="J217" s="6" t="n">
        <v>0.8</v>
      </c>
      <c r="K217" s="6" t="n">
        <v>1</v>
      </c>
      <c r="L217" s="6" t="n">
        <v>0.8</v>
      </c>
    </row>
    <row r="218" customFormat="false" ht="23.85" hidden="false" customHeight="false" outlineLevel="0" collapsed="false">
      <c r="A218" s="6" t="s">
        <v>2022</v>
      </c>
      <c r="B218" s="6" t="n">
        <v>104</v>
      </c>
      <c r="C218" s="6" t="s">
        <v>1323</v>
      </c>
      <c r="D218" s="6" t="s">
        <v>1279</v>
      </c>
      <c r="E218" s="6" t="s">
        <v>2019</v>
      </c>
      <c r="F218" s="6" t="s">
        <v>2020</v>
      </c>
      <c r="G218" s="6" t="s">
        <v>2021</v>
      </c>
      <c r="H218" s="6" t="s">
        <v>1283</v>
      </c>
      <c r="I218" s="6"/>
      <c r="J218" s="6" t="n">
        <v>0.8</v>
      </c>
      <c r="K218" s="6" t="n">
        <v>1</v>
      </c>
      <c r="L218" s="6" t="n">
        <v>0.8</v>
      </c>
    </row>
    <row r="219" customFormat="false" ht="23.85" hidden="false" customHeight="false" outlineLevel="0" collapsed="false">
      <c r="A219" s="6" t="s">
        <v>2023</v>
      </c>
      <c r="B219" s="6" t="n">
        <v>105</v>
      </c>
      <c r="C219" s="6" t="s">
        <v>1323</v>
      </c>
      <c r="D219" s="6" t="s">
        <v>1279</v>
      </c>
      <c r="E219" s="6" t="s">
        <v>2019</v>
      </c>
      <c r="F219" s="6" t="s">
        <v>2020</v>
      </c>
      <c r="G219" s="6" t="s">
        <v>2021</v>
      </c>
      <c r="H219" s="6" t="s">
        <v>1283</v>
      </c>
      <c r="I219" s="6"/>
      <c r="J219" s="6" t="n">
        <v>0.8</v>
      </c>
      <c r="K219" s="6" t="n">
        <v>1</v>
      </c>
      <c r="L219" s="6" t="n">
        <v>0.8</v>
      </c>
    </row>
    <row r="220" customFormat="false" ht="23.85" hidden="false" customHeight="false" outlineLevel="0" collapsed="false">
      <c r="A220" s="6" t="s">
        <v>2024</v>
      </c>
      <c r="B220" s="6" t="n">
        <v>106</v>
      </c>
      <c r="C220" s="6" t="s">
        <v>1323</v>
      </c>
      <c r="D220" s="6" t="s">
        <v>1279</v>
      </c>
      <c r="E220" s="6" t="s">
        <v>2025</v>
      </c>
      <c r="F220" s="6" t="s">
        <v>2026</v>
      </c>
      <c r="G220" s="6" t="s">
        <v>2027</v>
      </c>
      <c r="H220" s="6" t="s">
        <v>1283</v>
      </c>
      <c r="I220" s="6"/>
      <c r="J220" s="6" t="n">
        <v>0.8</v>
      </c>
      <c r="K220" s="6" t="n">
        <v>1</v>
      </c>
      <c r="L220" s="6" t="n">
        <v>0.8</v>
      </c>
    </row>
    <row r="221" customFormat="false" ht="23.85" hidden="false" customHeight="false" outlineLevel="0" collapsed="false">
      <c r="A221" s="6" t="s">
        <v>2028</v>
      </c>
      <c r="B221" s="6" t="n">
        <v>106</v>
      </c>
      <c r="C221" s="6" t="s">
        <v>2029</v>
      </c>
      <c r="D221" s="6" t="s">
        <v>1279</v>
      </c>
      <c r="E221" s="6" t="s">
        <v>2030</v>
      </c>
      <c r="F221" s="6" t="s">
        <v>2026</v>
      </c>
      <c r="G221" s="6" t="s">
        <v>2031</v>
      </c>
      <c r="H221" s="6" t="s">
        <v>1283</v>
      </c>
      <c r="I221" s="6"/>
      <c r="J221" s="6" t="n">
        <v>0.8</v>
      </c>
      <c r="K221" s="6" t="n">
        <v>1</v>
      </c>
      <c r="L221" s="6" t="n">
        <v>0.8</v>
      </c>
    </row>
    <row r="222" customFormat="false" ht="23.85" hidden="false" customHeight="false" outlineLevel="0" collapsed="false">
      <c r="A222" s="6" t="s">
        <v>2032</v>
      </c>
      <c r="B222" s="6" t="n">
        <v>107</v>
      </c>
      <c r="C222" s="6" t="s">
        <v>2033</v>
      </c>
      <c r="D222" s="6" t="s">
        <v>1662</v>
      </c>
      <c r="E222" s="6" t="s">
        <v>2034</v>
      </c>
      <c r="F222" s="6" t="s">
        <v>1996</v>
      </c>
      <c r="G222" s="6" t="s">
        <v>2035</v>
      </c>
      <c r="H222" s="6" t="s">
        <v>1283</v>
      </c>
      <c r="I222" s="6"/>
      <c r="J222" s="6" t="n">
        <v>0.8</v>
      </c>
      <c r="K222" s="6" t="n">
        <v>1</v>
      </c>
      <c r="L222" s="6" t="n">
        <v>0.8</v>
      </c>
    </row>
    <row r="223" customFormat="false" ht="23.85" hidden="false" customHeight="false" outlineLevel="0" collapsed="false">
      <c r="A223" s="6" t="s">
        <v>2036</v>
      </c>
      <c r="B223" s="6" t="n">
        <v>108</v>
      </c>
      <c r="C223" s="6" t="s">
        <v>2029</v>
      </c>
      <c r="D223" s="6" t="s">
        <v>1279</v>
      </c>
      <c r="E223" s="6" t="s">
        <v>2037</v>
      </c>
      <c r="F223" s="6" t="s">
        <v>2020</v>
      </c>
      <c r="G223" s="6" t="s">
        <v>2038</v>
      </c>
      <c r="H223" s="6" t="s">
        <v>1283</v>
      </c>
      <c r="I223" s="6"/>
      <c r="J223" s="6" t="n">
        <v>0.8</v>
      </c>
      <c r="K223" s="6" t="n">
        <v>1</v>
      </c>
      <c r="L223" s="6" t="n">
        <v>0.8</v>
      </c>
    </row>
    <row r="224" customFormat="false" ht="35.05" hidden="false" customHeight="false" outlineLevel="0" collapsed="false">
      <c r="A224" s="6" t="s">
        <v>2039</v>
      </c>
      <c r="B224" s="6" t="n">
        <v>108</v>
      </c>
      <c r="C224" s="6" t="s">
        <v>2040</v>
      </c>
      <c r="D224" s="6" t="s">
        <v>1279</v>
      </c>
      <c r="E224" s="6" t="s">
        <v>2041</v>
      </c>
      <c r="F224" s="6" t="s">
        <v>2042</v>
      </c>
      <c r="G224" s="6" t="s">
        <v>2043</v>
      </c>
      <c r="H224" s="6" t="s">
        <v>1377</v>
      </c>
      <c r="I224" s="6"/>
      <c r="J224" s="6" t="n">
        <v>0.8</v>
      </c>
      <c r="K224" s="6" t="n">
        <v>0.8</v>
      </c>
      <c r="L224" s="6" t="n">
        <v>0.64</v>
      </c>
    </row>
    <row r="225" customFormat="false" ht="23.85" hidden="false" customHeight="false" outlineLevel="0" collapsed="false">
      <c r="A225" s="6" t="s">
        <v>2044</v>
      </c>
      <c r="B225" s="6" t="n">
        <v>109</v>
      </c>
      <c r="C225" s="6" t="s">
        <v>1323</v>
      </c>
      <c r="D225" s="6" t="s">
        <v>1279</v>
      </c>
      <c r="E225" s="6" t="s">
        <v>2025</v>
      </c>
      <c r="F225" s="6" t="s">
        <v>2026</v>
      </c>
      <c r="G225" s="6" t="s">
        <v>2027</v>
      </c>
      <c r="H225" s="6" t="s">
        <v>1283</v>
      </c>
      <c r="I225" s="6"/>
      <c r="J225" s="6" t="n">
        <v>0.8</v>
      </c>
      <c r="K225" s="6" t="n">
        <v>1</v>
      </c>
      <c r="L225" s="6" t="n">
        <v>0.8</v>
      </c>
    </row>
    <row r="226" customFormat="false" ht="23.85" hidden="false" customHeight="false" outlineLevel="0" collapsed="false">
      <c r="A226" s="6" t="s">
        <v>2045</v>
      </c>
      <c r="B226" s="6" t="n">
        <v>109</v>
      </c>
      <c r="C226" s="6" t="s">
        <v>2046</v>
      </c>
      <c r="D226" s="6" t="s">
        <v>1279</v>
      </c>
      <c r="E226" s="6" t="s">
        <v>2047</v>
      </c>
      <c r="F226" s="6" t="s">
        <v>2026</v>
      </c>
      <c r="G226" s="6" t="s">
        <v>2048</v>
      </c>
      <c r="H226" s="6" t="s">
        <v>1283</v>
      </c>
      <c r="I226" s="6"/>
      <c r="J226" s="6" t="n">
        <v>0.8</v>
      </c>
      <c r="K226" s="6" t="n">
        <v>1</v>
      </c>
      <c r="L226" s="6" t="n">
        <v>0.8</v>
      </c>
    </row>
    <row r="227" customFormat="false" ht="23.85" hidden="false" customHeight="false" outlineLevel="0" collapsed="false">
      <c r="A227" s="6" t="s">
        <v>2049</v>
      </c>
      <c r="B227" s="6" t="n">
        <v>109</v>
      </c>
      <c r="C227" s="6" t="s">
        <v>2015</v>
      </c>
      <c r="D227" s="6" t="s">
        <v>1279</v>
      </c>
      <c r="E227" s="6" t="s">
        <v>2050</v>
      </c>
      <c r="F227" s="6" t="s">
        <v>2051</v>
      </c>
      <c r="G227" s="6" t="s">
        <v>2052</v>
      </c>
      <c r="H227" s="6" t="s">
        <v>1377</v>
      </c>
      <c r="I227" s="6"/>
      <c r="J227" s="6" t="n">
        <v>0.8</v>
      </c>
      <c r="K227" s="6" t="n">
        <v>0.8</v>
      </c>
      <c r="L227" s="6" t="n">
        <v>0.64</v>
      </c>
    </row>
    <row r="228" customFormat="false" ht="23.85" hidden="false" customHeight="false" outlineLevel="0" collapsed="false">
      <c r="A228" s="6" t="s">
        <v>2053</v>
      </c>
      <c r="B228" s="6" t="n">
        <v>109</v>
      </c>
      <c r="C228" s="6" t="s">
        <v>1323</v>
      </c>
      <c r="D228" s="6" t="s">
        <v>1279</v>
      </c>
      <c r="E228" s="6" t="s">
        <v>2054</v>
      </c>
      <c r="F228" s="6" t="s">
        <v>2055</v>
      </c>
      <c r="G228" s="6" t="s">
        <v>2056</v>
      </c>
      <c r="H228" s="6" t="s">
        <v>1283</v>
      </c>
      <c r="I228" s="6"/>
      <c r="J228" s="6" t="n">
        <v>0.8</v>
      </c>
      <c r="K228" s="6" t="n">
        <v>1</v>
      </c>
      <c r="L228" s="6" t="n">
        <v>0.8</v>
      </c>
    </row>
    <row r="229" customFormat="false" ht="23.85" hidden="false" customHeight="false" outlineLevel="0" collapsed="false">
      <c r="A229" s="6" t="s">
        <v>2057</v>
      </c>
      <c r="B229" s="6" t="n">
        <v>110</v>
      </c>
      <c r="C229" s="6" t="s">
        <v>2058</v>
      </c>
      <c r="D229" s="6" t="s">
        <v>1662</v>
      </c>
      <c r="E229" s="6" t="s">
        <v>2059</v>
      </c>
      <c r="F229" s="6" t="s">
        <v>2051</v>
      </c>
      <c r="G229" s="6" t="s">
        <v>2060</v>
      </c>
      <c r="H229" s="6" t="s">
        <v>1283</v>
      </c>
      <c r="I229" s="6"/>
      <c r="J229" s="6" t="n">
        <v>0.8</v>
      </c>
      <c r="K229" s="6" t="n">
        <v>1</v>
      </c>
      <c r="L229" s="6" t="n">
        <v>0.8</v>
      </c>
    </row>
    <row r="230" customFormat="false" ht="23.85" hidden="false" customHeight="false" outlineLevel="0" collapsed="false">
      <c r="A230" s="6" t="s">
        <v>2061</v>
      </c>
      <c r="B230" s="6" t="n">
        <v>110</v>
      </c>
      <c r="C230" s="6" t="s">
        <v>2062</v>
      </c>
      <c r="D230" s="6" t="s">
        <v>1662</v>
      </c>
      <c r="E230" s="6" t="s">
        <v>2063</v>
      </c>
      <c r="F230" s="6" t="s">
        <v>2051</v>
      </c>
      <c r="G230" s="6" t="s">
        <v>2064</v>
      </c>
      <c r="H230" s="6" t="s">
        <v>1377</v>
      </c>
      <c r="I230" s="6"/>
      <c r="J230" s="6" t="n">
        <v>0.8</v>
      </c>
      <c r="K230" s="6" t="n">
        <v>0.8</v>
      </c>
      <c r="L230" s="6" t="n">
        <v>0.64</v>
      </c>
    </row>
    <row r="231" customFormat="false" ht="23.85" hidden="false" customHeight="false" outlineLevel="0" collapsed="false">
      <c r="A231" s="6" t="s">
        <v>2065</v>
      </c>
      <c r="B231" s="6" t="n">
        <v>111</v>
      </c>
      <c r="C231" s="6" t="s">
        <v>1323</v>
      </c>
      <c r="D231" s="6" t="s">
        <v>1279</v>
      </c>
      <c r="E231" s="6" t="s">
        <v>2066</v>
      </c>
      <c r="F231" s="6" t="s">
        <v>2051</v>
      </c>
      <c r="G231" s="6" t="s">
        <v>2067</v>
      </c>
      <c r="H231" s="6" t="s">
        <v>1283</v>
      </c>
      <c r="I231" s="6"/>
      <c r="J231" s="6" t="n">
        <v>0.8</v>
      </c>
      <c r="K231" s="6" t="n">
        <v>1</v>
      </c>
      <c r="L231" s="6" t="n">
        <v>0.8</v>
      </c>
    </row>
    <row r="232" customFormat="false" ht="23.85" hidden="false" customHeight="false" outlineLevel="0" collapsed="false">
      <c r="A232" s="6" t="s">
        <v>2068</v>
      </c>
      <c r="B232" s="6" t="n">
        <v>111</v>
      </c>
      <c r="C232" s="6" t="s">
        <v>2069</v>
      </c>
      <c r="D232" s="6" t="s">
        <v>1279</v>
      </c>
      <c r="E232" s="6" t="s">
        <v>2070</v>
      </c>
      <c r="F232" s="6" t="s">
        <v>2071</v>
      </c>
      <c r="G232" s="6" t="s">
        <v>2072</v>
      </c>
      <c r="H232" s="6" t="s">
        <v>1283</v>
      </c>
      <c r="I232" s="6"/>
      <c r="J232" s="6" t="n">
        <v>0.8</v>
      </c>
      <c r="K232" s="6" t="n">
        <v>1</v>
      </c>
      <c r="L232" s="6" t="n">
        <v>0.8</v>
      </c>
    </row>
    <row r="233" customFormat="false" ht="23.85" hidden="false" customHeight="false" outlineLevel="0" collapsed="false">
      <c r="A233" s="6" t="s">
        <v>2073</v>
      </c>
      <c r="B233" s="6" t="n">
        <v>111</v>
      </c>
      <c r="C233" s="6" t="s">
        <v>1657</v>
      </c>
      <c r="D233" s="6" t="s">
        <v>1279</v>
      </c>
      <c r="E233" s="6" t="s">
        <v>2074</v>
      </c>
      <c r="F233" s="6" t="s">
        <v>2071</v>
      </c>
      <c r="G233" s="6" t="s">
        <v>2075</v>
      </c>
      <c r="H233" s="6" t="s">
        <v>1283</v>
      </c>
      <c r="I233" s="6"/>
      <c r="J233" s="6" t="n">
        <v>0.8</v>
      </c>
      <c r="K233" s="6" t="n">
        <v>1</v>
      </c>
      <c r="L233" s="6" t="n">
        <v>0.8</v>
      </c>
    </row>
    <row r="234" customFormat="false" ht="23.85" hidden="false" customHeight="false" outlineLevel="0" collapsed="false">
      <c r="A234" s="6" t="s">
        <v>2076</v>
      </c>
      <c r="B234" s="6" t="n">
        <v>111</v>
      </c>
      <c r="C234" s="6" t="s">
        <v>2077</v>
      </c>
      <c r="D234" s="6" t="s">
        <v>1279</v>
      </c>
      <c r="E234" s="6" t="s">
        <v>2078</v>
      </c>
      <c r="F234" s="6" t="s">
        <v>2071</v>
      </c>
      <c r="G234" s="6" t="s">
        <v>2079</v>
      </c>
      <c r="H234" s="6" t="s">
        <v>1283</v>
      </c>
      <c r="I234" s="6"/>
      <c r="J234" s="6" t="n">
        <v>0.8</v>
      </c>
      <c r="K234" s="6" t="n">
        <v>1</v>
      </c>
      <c r="L234" s="6" t="n">
        <v>0.8</v>
      </c>
    </row>
    <row r="235" customFormat="false" ht="23.85" hidden="false" customHeight="false" outlineLevel="0" collapsed="false">
      <c r="A235" s="6" t="s">
        <v>2080</v>
      </c>
      <c r="B235" s="6" t="n">
        <v>112</v>
      </c>
      <c r="C235" s="6" t="s">
        <v>1323</v>
      </c>
      <c r="D235" s="6" t="s">
        <v>1279</v>
      </c>
      <c r="E235" s="6" t="s">
        <v>2054</v>
      </c>
      <c r="F235" s="6" t="s">
        <v>2055</v>
      </c>
      <c r="G235" s="6" t="s">
        <v>2056</v>
      </c>
      <c r="H235" s="6" t="s">
        <v>1283</v>
      </c>
      <c r="I235" s="6"/>
      <c r="J235" s="6" t="n">
        <v>0.8</v>
      </c>
      <c r="K235" s="6" t="n">
        <v>1</v>
      </c>
      <c r="L235" s="6" t="n">
        <v>0.8</v>
      </c>
    </row>
    <row r="236" customFormat="false" ht="23.85" hidden="false" customHeight="false" outlineLevel="0" collapsed="false">
      <c r="A236" s="6" t="s">
        <v>2081</v>
      </c>
      <c r="B236" s="6" t="n">
        <v>112</v>
      </c>
      <c r="C236" s="6" t="s">
        <v>2069</v>
      </c>
      <c r="D236" s="6" t="s">
        <v>1279</v>
      </c>
      <c r="E236" s="6" t="s">
        <v>2070</v>
      </c>
      <c r="F236" s="6" t="s">
        <v>2071</v>
      </c>
      <c r="G236" s="6" t="s">
        <v>2072</v>
      </c>
      <c r="H236" s="6" t="s">
        <v>1283</v>
      </c>
      <c r="I236" s="6"/>
      <c r="J236" s="6" t="n">
        <v>0.8</v>
      </c>
      <c r="K236" s="6" t="n">
        <v>1</v>
      </c>
      <c r="L236" s="6" t="n">
        <v>0.8</v>
      </c>
    </row>
    <row r="237" customFormat="false" ht="23.85" hidden="false" customHeight="false" outlineLevel="0" collapsed="false">
      <c r="A237" s="6" t="s">
        <v>2082</v>
      </c>
      <c r="B237" s="6" t="n">
        <v>112</v>
      </c>
      <c r="C237" s="6" t="s">
        <v>1657</v>
      </c>
      <c r="D237" s="6" t="s">
        <v>1279</v>
      </c>
      <c r="E237" s="6" t="s">
        <v>2074</v>
      </c>
      <c r="F237" s="6" t="s">
        <v>2071</v>
      </c>
      <c r="G237" s="6" t="s">
        <v>2075</v>
      </c>
      <c r="H237" s="6" t="s">
        <v>1283</v>
      </c>
      <c r="I237" s="6"/>
      <c r="J237" s="6" t="n">
        <v>0.8</v>
      </c>
      <c r="K237" s="6" t="n">
        <v>1</v>
      </c>
      <c r="L237" s="6" t="n">
        <v>0.8</v>
      </c>
    </row>
    <row r="238" customFormat="false" ht="23.85" hidden="false" customHeight="false" outlineLevel="0" collapsed="false">
      <c r="A238" s="6" t="s">
        <v>2083</v>
      </c>
      <c r="B238" s="6" t="n">
        <v>113</v>
      </c>
      <c r="C238" s="6" t="s">
        <v>1323</v>
      </c>
      <c r="D238" s="6" t="s">
        <v>1279</v>
      </c>
      <c r="E238" s="6" t="s">
        <v>2054</v>
      </c>
      <c r="F238" s="6" t="s">
        <v>2055</v>
      </c>
      <c r="G238" s="6" t="s">
        <v>2056</v>
      </c>
      <c r="H238" s="6" t="s">
        <v>1283</v>
      </c>
      <c r="I238" s="6"/>
      <c r="J238" s="6" t="n">
        <v>0.8</v>
      </c>
      <c r="K238" s="6" t="n">
        <v>1</v>
      </c>
      <c r="L238" s="6" t="n">
        <v>0.8</v>
      </c>
    </row>
    <row r="239" customFormat="false" ht="23.85" hidden="false" customHeight="false" outlineLevel="0" collapsed="false">
      <c r="A239" s="6" t="s">
        <v>2084</v>
      </c>
      <c r="B239" s="6" t="n">
        <v>113</v>
      </c>
      <c r="C239" s="6" t="s">
        <v>2069</v>
      </c>
      <c r="D239" s="6" t="s">
        <v>1279</v>
      </c>
      <c r="E239" s="6" t="s">
        <v>2070</v>
      </c>
      <c r="F239" s="6" t="s">
        <v>2071</v>
      </c>
      <c r="G239" s="6" t="s">
        <v>2072</v>
      </c>
      <c r="H239" s="6" t="s">
        <v>1283</v>
      </c>
      <c r="I239" s="6"/>
      <c r="J239" s="6" t="n">
        <v>0.8</v>
      </c>
      <c r="K239" s="6" t="n">
        <v>1</v>
      </c>
      <c r="L239" s="6" t="n">
        <v>0.8</v>
      </c>
    </row>
    <row r="240" customFormat="false" ht="23.85" hidden="false" customHeight="false" outlineLevel="0" collapsed="false">
      <c r="A240" s="6" t="s">
        <v>2085</v>
      </c>
      <c r="B240" s="6" t="n">
        <v>114</v>
      </c>
      <c r="C240" s="6" t="s">
        <v>1657</v>
      </c>
      <c r="D240" s="6" t="s">
        <v>1279</v>
      </c>
      <c r="E240" s="6" t="s">
        <v>2074</v>
      </c>
      <c r="F240" s="6" t="s">
        <v>2071</v>
      </c>
      <c r="G240" s="6" t="s">
        <v>2075</v>
      </c>
      <c r="H240" s="6" t="s">
        <v>1283</v>
      </c>
      <c r="I240" s="6"/>
      <c r="J240" s="6" t="n">
        <v>0.8</v>
      </c>
      <c r="K240" s="6" t="n">
        <v>1</v>
      </c>
      <c r="L240" s="6" t="n">
        <v>0.8</v>
      </c>
    </row>
    <row r="241" customFormat="false" ht="23.85" hidden="false" customHeight="false" outlineLevel="0" collapsed="false">
      <c r="A241" s="6" t="s">
        <v>2086</v>
      </c>
      <c r="B241" s="6" t="n">
        <v>115</v>
      </c>
      <c r="C241" s="6" t="s">
        <v>1657</v>
      </c>
      <c r="D241" s="6" t="s">
        <v>1279</v>
      </c>
      <c r="E241" s="6" t="s">
        <v>2074</v>
      </c>
      <c r="F241" s="6" t="s">
        <v>2071</v>
      </c>
      <c r="G241" s="6" t="s">
        <v>2075</v>
      </c>
      <c r="H241" s="6" t="s">
        <v>1283</v>
      </c>
      <c r="I241" s="6"/>
      <c r="J241" s="6" t="n">
        <v>0.8</v>
      </c>
      <c r="K241" s="6" t="n">
        <v>1</v>
      </c>
      <c r="L241" s="6" t="n">
        <v>0.8</v>
      </c>
    </row>
    <row r="242" customFormat="false" ht="23.85" hidden="false" customHeight="false" outlineLevel="0" collapsed="false">
      <c r="A242" s="6" t="s">
        <v>2087</v>
      </c>
      <c r="B242" s="6" t="n">
        <v>116</v>
      </c>
      <c r="C242" s="6" t="s">
        <v>1648</v>
      </c>
      <c r="D242" s="6" t="s">
        <v>1279</v>
      </c>
      <c r="E242" s="6" t="s">
        <v>1649</v>
      </c>
      <c r="F242" s="6" t="s">
        <v>1650</v>
      </c>
      <c r="G242" s="6" t="s">
        <v>1651</v>
      </c>
      <c r="H242" s="6" t="s">
        <v>1283</v>
      </c>
      <c r="I242" s="6"/>
      <c r="J242" s="6" t="n">
        <v>0.8</v>
      </c>
      <c r="K242" s="6" t="n">
        <v>1</v>
      </c>
      <c r="L242" s="6" t="n">
        <v>0.8</v>
      </c>
    </row>
    <row r="243" customFormat="false" ht="23.85" hidden="false" customHeight="false" outlineLevel="0" collapsed="false">
      <c r="A243" s="6" t="s">
        <v>2088</v>
      </c>
      <c r="B243" s="6" t="n">
        <v>117</v>
      </c>
      <c r="C243" s="6" t="s">
        <v>2089</v>
      </c>
      <c r="D243" s="6" t="s">
        <v>1279</v>
      </c>
      <c r="E243" s="6" t="s">
        <v>2090</v>
      </c>
      <c r="F243" s="6" t="s">
        <v>2091</v>
      </c>
      <c r="G243" s="6" t="s">
        <v>2092</v>
      </c>
      <c r="H243" s="6" t="s">
        <v>1283</v>
      </c>
      <c r="I243" s="6"/>
      <c r="J243" s="6" t="n">
        <v>0.8</v>
      </c>
      <c r="K243" s="6" t="n">
        <v>1</v>
      </c>
      <c r="L243" s="6" t="n">
        <v>0.8</v>
      </c>
    </row>
    <row r="244" customFormat="false" ht="23.85" hidden="false" customHeight="false" outlineLevel="0" collapsed="false">
      <c r="A244" s="6" t="s">
        <v>2093</v>
      </c>
      <c r="B244" s="6" t="n">
        <v>118</v>
      </c>
      <c r="C244" s="6" t="s">
        <v>2094</v>
      </c>
      <c r="D244" s="6" t="s">
        <v>1279</v>
      </c>
      <c r="E244" s="6" t="s">
        <v>2095</v>
      </c>
      <c r="F244" s="6" t="s">
        <v>2091</v>
      </c>
      <c r="G244" s="6" t="s">
        <v>2096</v>
      </c>
      <c r="H244" s="6" t="s">
        <v>1283</v>
      </c>
      <c r="I244" s="6"/>
      <c r="J244" s="6" t="n">
        <v>0.8</v>
      </c>
      <c r="K244" s="6" t="n">
        <v>1</v>
      </c>
      <c r="L244" s="6" t="n">
        <v>0.8</v>
      </c>
    </row>
    <row r="245" customFormat="false" ht="23.85" hidden="false" customHeight="false" outlineLevel="0" collapsed="false">
      <c r="A245" s="6" t="s">
        <v>2097</v>
      </c>
      <c r="B245" s="6" t="n">
        <v>119</v>
      </c>
      <c r="C245" s="6" t="s">
        <v>2098</v>
      </c>
      <c r="D245" s="6" t="s">
        <v>1662</v>
      </c>
      <c r="E245" s="6" t="s">
        <v>2099</v>
      </c>
      <c r="F245" s="6" t="s">
        <v>2091</v>
      </c>
      <c r="G245" s="6" t="s">
        <v>2100</v>
      </c>
      <c r="H245" s="6" t="s">
        <v>1283</v>
      </c>
      <c r="I245" s="6"/>
      <c r="J245" s="6" t="n">
        <v>0.8</v>
      </c>
      <c r="K245" s="6" t="n">
        <v>1</v>
      </c>
      <c r="L245" s="6" t="n">
        <v>0.8</v>
      </c>
    </row>
    <row r="246" customFormat="false" ht="15" hidden="false" customHeight="false" outlineLevel="0" collapsed="false">
      <c r="A246" s="6" t="s">
        <v>2101</v>
      </c>
      <c r="B246" s="6" t="n">
        <v>119</v>
      </c>
      <c r="C246" s="6" t="s">
        <v>2102</v>
      </c>
      <c r="D246" s="6" t="s">
        <v>1662</v>
      </c>
      <c r="E246" s="6" t="s">
        <v>2103</v>
      </c>
      <c r="F246" s="6" t="s">
        <v>2091</v>
      </c>
      <c r="G246" s="6" t="s">
        <v>2104</v>
      </c>
      <c r="H246" s="6" t="s">
        <v>1283</v>
      </c>
      <c r="I246" s="6"/>
      <c r="J246" s="6" t="n">
        <v>0.8</v>
      </c>
      <c r="K246" s="6" t="n">
        <v>1</v>
      </c>
      <c r="L246" s="6" t="n">
        <v>0.8</v>
      </c>
    </row>
    <row r="247" customFormat="false" ht="23.85" hidden="false" customHeight="false" outlineLevel="0" collapsed="false">
      <c r="A247" s="6" t="s">
        <v>2105</v>
      </c>
      <c r="B247" s="6" t="n">
        <v>120</v>
      </c>
      <c r="C247" s="6" t="s">
        <v>1657</v>
      </c>
      <c r="D247" s="6" t="s">
        <v>1279</v>
      </c>
      <c r="E247" s="6" t="s">
        <v>2106</v>
      </c>
      <c r="F247" s="6" t="s">
        <v>2091</v>
      </c>
      <c r="G247" s="6" t="s">
        <v>2107</v>
      </c>
      <c r="H247" s="6" t="s">
        <v>1283</v>
      </c>
      <c r="I247" s="6"/>
      <c r="J247" s="6" t="n">
        <v>0.8</v>
      </c>
      <c r="K247" s="6" t="n">
        <v>1</v>
      </c>
      <c r="L247" s="6" t="n">
        <v>0.8</v>
      </c>
    </row>
    <row r="248" customFormat="false" ht="35.05" hidden="false" customHeight="false" outlineLevel="0" collapsed="false">
      <c r="A248" s="6" t="s">
        <v>2108</v>
      </c>
      <c r="B248" s="6" t="n">
        <v>120</v>
      </c>
      <c r="C248" s="6" t="s">
        <v>2109</v>
      </c>
      <c r="D248" s="6" t="s">
        <v>1279</v>
      </c>
      <c r="E248" s="6" t="s">
        <v>2110</v>
      </c>
      <c r="F248" s="6" t="s">
        <v>2091</v>
      </c>
      <c r="G248" s="6" t="s">
        <v>2111</v>
      </c>
      <c r="H248" s="6" t="s">
        <v>1283</v>
      </c>
      <c r="I248" s="6"/>
      <c r="J248" s="6" t="n">
        <v>0.8</v>
      </c>
      <c r="K248" s="6" t="n">
        <v>1</v>
      </c>
      <c r="L248" s="6" t="n">
        <v>0.8</v>
      </c>
    </row>
    <row r="249" customFormat="false" ht="23.85" hidden="false" customHeight="false" outlineLevel="0" collapsed="false">
      <c r="A249" s="6" t="s">
        <v>2112</v>
      </c>
      <c r="B249" s="6" t="n">
        <v>120</v>
      </c>
      <c r="C249" s="6" t="s">
        <v>1657</v>
      </c>
      <c r="D249" s="6" t="s">
        <v>1279</v>
      </c>
      <c r="E249" s="6" t="s">
        <v>2113</v>
      </c>
      <c r="F249" s="6" t="s">
        <v>2114</v>
      </c>
      <c r="G249" s="6" t="s">
        <v>2115</v>
      </c>
      <c r="H249" s="6" t="s">
        <v>1283</v>
      </c>
      <c r="I249" s="6"/>
      <c r="J249" s="6" t="n">
        <v>0.8</v>
      </c>
      <c r="K249" s="6" t="n">
        <v>1</v>
      </c>
      <c r="L249" s="6" t="n">
        <v>0.8</v>
      </c>
    </row>
    <row r="250" customFormat="false" ht="23.85" hidden="false" customHeight="false" outlineLevel="0" collapsed="false">
      <c r="A250" s="6" t="s">
        <v>2116</v>
      </c>
      <c r="B250" s="6" t="n">
        <v>121</v>
      </c>
      <c r="C250" s="6" t="s">
        <v>1323</v>
      </c>
      <c r="D250" s="6" t="s">
        <v>1279</v>
      </c>
      <c r="E250" s="6" t="s">
        <v>2117</v>
      </c>
      <c r="F250" s="6" t="s">
        <v>2118</v>
      </c>
      <c r="G250" s="6" t="s">
        <v>2119</v>
      </c>
      <c r="H250" s="6" t="s">
        <v>1283</v>
      </c>
      <c r="I250" s="6"/>
      <c r="J250" s="6" t="n">
        <v>0.8</v>
      </c>
      <c r="K250" s="6" t="n">
        <v>1</v>
      </c>
      <c r="L250" s="6" t="n">
        <v>0.8</v>
      </c>
    </row>
    <row r="251" customFormat="false" ht="23.85" hidden="false" customHeight="false" outlineLevel="0" collapsed="false">
      <c r="A251" s="6" t="s">
        <v>2120</v>
      </c>
      <c r="B251" s="6" t="n">
        <v>121</v>
      </c>
      <c r="C251" s="6" t="s">
        <v>1657</v>
      </c>
      <c r="D251" s="6" t="s">
        <v>1279</v>
      </c>
      <c r="E251" s="6" t="s">
        <v>2113</v>
      </c>
      <c r="F251" s="6" t="s">
        <v>2114</v>
      </c>
      <c r="G251" s="6" t="s">
        <v>2115</v>
      </c>
      <c r="H251" s="6" t="s">
        <v>1283</v>
      </c>
      <c r="I251" s="6"/>
      <c r="J251" s="6" t="n">
        <v>0.8</v>
      </c>
      <c r="K251" s="6" t="n">
        <v>1</v>
      </c>
      <c r="L251" s="6" t="n">
        <v>0.8</v>
      </c>
    </row>
    <row r="252" customFormat="false" ht="23.85" hidden="false" customHeight="false" outlineLevel="0" collapsed="false">
      <c r="A252" s="6" t="s">
        <v>2121</v>
      </c>
      <c r="B252" s="6" t="n">
        <v>122</v>
      </c>
      <c r="C252" s="6" t="s">
        <v>1323</v>
      </c>
      <c r="D252" s="6" t="s">
        <v>1279</v>
      </c>
      <c r="E252" s="6" t="s">
        <v>2122</v>
      </c>
      <c r="F252" s="6" t="s">
        <v>2123</v>
      </c>
      <c r="G252" s="6" t="s">
        <v>2124</v>
      </c>
      <c r="H252" s="6" t="s">
        <v>1283</v>
      </c>
      <c r="I252" s="6"/>
      <c r="J252" s="6" t="n">
        <v>0.8</v>
      </c>
      <c r="K252" s="6" t="n">
        <v>1</v>
      </c>
      <c r="L252" s="6" t="n">
        <v>0.8</v>
      </c>
    </row>
    <row r="253" customFormat="false" ht="23.85" hidden="false" customHeight="false" outlineLevel="0" collapsed="false">
      <c r="A253" s="6" t="s">
        <v>2125</v>
      </c>
      <c r="B253" s="6" t="n">
        <v>122</v>
      </c>
      <c r="C253" s="6" t="s">
        <v>1323</v>
      </c>
      <c r="D253" s="6" t="s">
        <v>1279</v>
      </c>
      <c r="E253" s="6" t="s">
        <v>2126</v>
      </c>
      <c r="F253" s="6" t="s">
        <v>2123</v>
      </c>
      <c r="G253" s="6" t="s">
        <v>2127</v>
      </c>
      <c r="H253" s="6" t="s">
        <v>1283</v>
      </c>
      <c r="I253" s="6"/>
      <c r="J253" s="6" t="n">
        <v>0.8</v>
      </c>
      <c r="K253" s="6" t="n">
        <v>1</v>
      </c>
      <c r="L253" s="6" t="n">
        <v>0.8</v>
      </c>
    </row>
    <row r="254" customFormat="false" ht="23.85" hidden="false" customHeight="false" outlineLevel="0" collapsed="false">
      <c r="A254" s="6" t="s">
        <v>2128</v>
      </c>
      <c r="B254" s="6" t="n">
        <v>122</v>
      </c>
      <c r="C254" s="6" t="s">
        <v>1657</v>
      </c>
      <c r="D254" s="6" t="s">
        <v>1279</v>
      </c>
      <c r="E254" s="6" t="s">
        <v>2113</v>
      </c>
      <c r="F254" s="6" t="s">
        <v>2114</v>
      </c>
      <c r="G254" s="6" t="s">
        <v>2115</v>
      </c>
      <c r="H254" s="6" t="s">
        <v>1283</v>
      </c>
      <c r="I254" s="6"/>
      <c r="J254" s="6" t="n">
        <v>0.8</v>
      </c>
      <c r="K254" s="6" t="n">
        <v>1</v>
      </c>
      <c r="L254" s="6" t="n">
        <v>0.8</v>
      </c>
    </row>
    <row r="255" customFormat="false" ht="23.85" hidden="false" customHeight="false" outlineLevel="0" collapsed="false">
      <c r="A255" s="6" t="s">
        <v>2129</v>
      </c>
      <c r="B255" s="6" t="n">
        <v>123</v>
      </c>
      <c r="C255" s="6" t="s">
        <v>1323</v>
      </c>
      <c r="D255" s="6" t="s">
        <v>1279</v>
      </c>
      <c r="E255" s="6" t="s">
        <v>2122</v>
      </c>
      <c r="F255" s="6" t="s">
        <v>2123</v>
      </c>
      <c r="G255" s="6" t="s">
        <v>2124</v>
      </c>
      <c r="H255" s="6" t="s">
        <v>1283</v>
      </c>
      <c r="I255" s="6"/>
      <c r="J255" s="6" t="n">
        <v>0.8</v>
      </c>
      <c r="K255" s="6" t="n">
        <v>1</v>
      </c>
      <c r="L255" s="6" t="n">
        <v>0.8</v>
      </c>
    </row>
    <row r="256" customFormat="false" ht="23.85" hidden="false" customHeight="false" outlineLevel="0" collapsed="false">
      <c r="A256" s="6" t="s">
        <v>2130</v>
      </c>
      <c r="B256" s="6" t="n">
        <v>123</v>
      </c>
      <c r="C256" s="6" t="s">
        <v>1657</v>
      </c>
      <c r="D256" s="6" t="s">
        <v>1279</v>
      </c>
      <c r="E256" s="6" t="s">
        <v>2113</v>
      </c>
      <c r="F256" s="6" t="s">
        <v>2114</v>
      </c>
      <c r="G256" s="6" t="s">
        <v>2115</v>
      </c>
      <c r="H256" s="6" t="s">
        <v>1283</v>
      </c>
      <c r="I256" s="6"/>
      <c r="J256" s="6" t="n">
        <v>0.8</v>
      </c>
      <c r="K256" s="6" t="n">
        <v>1</v>
      </c>
      <c r="L256" s="6" t="n">
        <v>0.8</v>
      </c>
    </row>
    <row r="257" customFormat="false" ht="23.85" hidden="false" customHeight="false" outlineLevel="0" collapsed="false">
      <c r="A257" s="6" t="s">
        <v>2131</v>
      </c>
      <c r="B257" s="6" t="n">
        <v>124</v>
      </c>
      <c r="C257" s="6" t="s">
        <v>1323</v>
      </c>
      <c r="D257" s="6" t="s">
        <v>1279</v>
      </c>
      <c r="E257" s="6" t="s">
        <v>2126</v>
      </c>
      <c r="F257" s="6" t="s">
        <v>2123</v>
      </c>
      <c r="G257" s="6" t="s">
        <v>2127</v>
      </c>
      <c r="H257" s="6" t="s">
        <v>1283</v>
      </c>
      <c r="I257" s="6"/>
      <c r="J257" s="6" t="n">
        <v>0.8</v>
      </c>
      <c r="K257" s="6" t="n">
        <v>1</v>
      </c>
      <c r="L257" s="6" t="n">
        <v>0.8</v>
      </c>
    </row>
    <row r="258" customFormat="false" ht="23.85" hidden="false" customHeight="false" outlineLevel="0" collapsed="false">
      <c r="A258" s="6" t="s">
        <v>2132</v>
      </c>
      <c r="B258" s="6" t="n">
        <v>124</v>
      </c>
      <c r="C258" s="6" t="s">
        <v>1323</v>
      </c>
      <c r="D258" s="6" t="s">
        <v>1279</v>
      </c>
      <c r="E258" s="6" t="s">
        <v>2122</v>
      </c>
      <c r="F258" s="6" t="s">
        <v>2123</v>
      </c>
      <c r="G258" s="6" t="s">
        <v>2124</v>
      </c>
      <c r="H258" s="6" t="s">
        <v>1283</v>
      </c>
      <c r="I258" s="6"/>
      <c r="J258" s="6" t="n">
        <v>0.8</v>
      </c>
      <c r="K258" s="6" t="n">
        <v>1</v>
      </c>
      <c r="L258" s="6" t="n">
        <v>0.8</v>
      </c>
    </row>
    <row r="259" customFormat="false" ht="23.85" hidden="false" customHeight="false" outlineLevel="0" collapsed="false">
      <c r="A259" s="6" t="s">
        <v>2133</v>
      </c>
      <c r="B259" s="6" t="n">
        <v>124</v>
      </c>
      <c r="C259" s="6" t="s">
        <v>1657</v>
      </c>
      <c r="D259" s="6" t="s">
        <v>1279</v>
      </c>
      <c r="E259" s="6" t="s">
        <v>2113</v>
      </c>
      <c r="F259" s="6" t="s">
        <v>2114</v>
      </c>
      <c r="G259" s="6" t="s">
        <v>2115</v>
      </c>
      <c r="H259" s="6" t="s">
        <v>1283</v>
      </c>
      <c r="I259" s="6"/>
      <c r="J259" s="6" t="n">
        <v>0.8</v>
      </c>
      <c r="K259" s="6" t="n">
        <v>1</v>
      </c>
      <c r="L259" s="6" t="n">
        <v>0.8</v>
      </c>
    </row>
    <row r="260" customFormat="false" ht="23.85" hidden="false" customHeight="false" outlineLevel="0" collapsed="false">
      <c r="A260" s="6" t="s">
        <v>2134</v>
      </c>
      <c r="B260" s="6" t="n">
        <v>125</v>
      </c>
      <c r="C260" s="6" t="s">
        <v>1323</v>
      </c>
      <c r="D260" s="6" t="s">
        <v>1279</v>
      </c>
      <c r="E260" s="6" t="s">
        <v>2122</v>
      </c>
      <c r="F260" s="6" t="s">
        <v>2123</v>
      </c>
      <c r="G260" s="6" t="s">
        <v>2124</v>
      </c>
      <c r="H260" s="6" t="s">
        <v>1283</v>
      </c>
      <c r="I260" s="6"/>
      <c r="J260" s="6" t="n">
        <v>0.8</v>
      </c>
      <c r="K260" s="6" t="n">
        <v>1</v>
      </c>
      <c r="L260" s="6" t="n">
        <v>0.8</v>
      </c>
    </row>
    <row r="261" customFormat="false" ht="23.85" hidden="false" customHeight="false" outlineLevel="0" collapsed="false">
      <c r="A261" s="6" t="s">
        <v>2135</v>
      </c>
      <c r="B261" s="6" t="n">
        <v>125</v>
      </c>
      <c r="C261" s="6" t="s">
        <v>1657</v>
      </c>
      <c r="D261" s="6" t="s">
        <v>1279</v>
      </c>
      <c r="E261" s="6" t="s">
        <v>2113</v>
      </c>
      <c r="F261" s="6" t="s">
        <v>2114</v>
      </c>
      <c r="G261" s="6" t="s">
        <v>2115</v>
      </c>
      <c r="H261" s="6" t="s">
        <v>1283</v>
      </c>
      <c r="I261" s="6"/>
      <c r="J261" s="6" t="n">
        <v>0.8</v>
      </c>
      <c r="K261" s="6" t="n">
        <v>1</v>
      </c>
      <c r="L261" s="6" t="n">
        <v>0.8</v>
      </c>
    </row>
    <row r="262" customFormat="false" ht="23.85" hidden="false" customHeight="false" outlineLevel="0" collapsed="false">
      <c r="A262" s="6" t="s">
        <v>2136</v>
      </c>
      <c r="B262" s="6" t="n">
        <v>126</v>
      </c>
      <c r="C262" s="6" t="s">
        <v>1657</v>
      </c>
      <c r="D262" s="6" t="s">
        <v>1279</v>
      </c>
      <c r="E262" s="6" t="s">
        <v>2113</v>
      </c>
      <c r="F262" s="6" t="s">
        <v>2114</v>
      </c>
      <c r="G262" s="6" t="s">
        <v>2115</v>
      </c>
      <c r="H262" s="6" t="s">
        <v>1283</v>
      </c>
      <c r="I262" s="6"/>
      <c r="J262" s="6" t="n">
        <v>0.8</v>
      </c>
      <c r="K262" s="6" t="n">
        <v>1</v>
      </c>
      <c r="L262" s="6" t="n">
        <v>0.8</v>
      </c>
    </row>
    <row r="263" customFormat="false" ht="23.85" hidden="false" customHeight="false" outlineLevel="0" collapsed="false">
      <c r="A263" s="6" t="s">
        <v>2137</v>
      </c>
      <c r="B263" s="6" t="n">
        <v>127</v>
      </c>
      <c r="C263" s="6" t="s">
        <v>1657</v>
      </c>
      <c r="D263" s="6" t="s">
        <v>1279</v>
      </c>
      <c r="E263" s="6" t="s">
        <v>2113</v>
      </c>
      <c r="F263" s="6" t="s">
        <v>2114</v>
      </c>
      <c r="G263" s="6" t="s">
        <v>2115</v>
      </c>
      <c r="H263" s="6" t="s">
        <v>1283</v>
      </c>
      <c r="I263" s="6"/>
      <c r="J263" s="6" t="n">
        <v>0.8</v>
      </c>
      <c r="K263" s="6" t="n">
        <v>1</v>
      </c>
      <c r="L263" s="6" t="n">
        <v>0.8</v>
      </c>
    </row>
    <row r="264" customFormat="false" ht="23.85" hidden="false" customHeight="false" outlineLevel="0" collapsed="false">
      <c r="A264" s="6" t="s">
        <v>2138</v>
      </c>
      <c r="B264" s="6" t="n">
        <v>128</v>
      </c>
      <c r="C264" s="6" t="s">
        <v>1323</v>
      </c>
      <c r="D264" s="6" t="s">
        <v>1279</v>
      </c>
      <c r="E264" s="6" t="s">
        <v>2122</v>
      </c>
      <c r="F264" s="6" t="s">
        <v>2123</v>
      </c>
      <c r="G264" s="6" t="s">
        <v>2124</v>
      </c>
      <c r="H264" s="6" t="s">
        <v>1283</v>
      </c>
      <c r="I264" s="6"/>
      <c r="J264" s="6" t="n">
        <v>0.8</v>
      </c>
      <c r="K264" s="6" t="n">
        <v>1</v>
      </c>
      <c r="L264" s="6" t="n">
        <v>0.8</v>
      </c>
    </row>
    <row r="265" customFormat="false" ht="23.85" hidden="false" customHeight="false" outlineLevel="0" collapsed="false">
      <c r="A265" s="6" t="s">
        <v>2139</v>
      </c>
      <c r="B265" s="6" t="n">
        <v>128</v>
      </c>
      <c r="C265" s="6" t="s">
        <v>2140</v>
      </c>
      <c r="D265" s="6" t="s">
        <v>1279</v>
      </c>
      <c r="E265" s="6" t="s">
        <v>2141</v>
      </c>
      <c r="F265" s="6" t="s">
        <v>2114</v>
      </c>
      <c r="G265" s="6" t="s">
        <v>2142</v>
      </c>
      <c r="H265" s="6" t="s">
        <v>1283</v>
      </c>
      <c r="I265" s="6"/>
      <c r="J265" s="6" t="n">
        <v>0.8</v>
      </c>
      <c r="K265" s="6" t="n">
        <v>1</v>
      </c>
      <c r="L265" s="6" t="n">
        <v>0.8</v>
      </c>
    </row>
    <row r="266" customFormat="false" ht="23.85" hidden="false" customHeight="false" outlineLevel="0" collapsed="false">
      <c r="A266" s="6" t="s">
        <v>2143</v>
      </c>
      <c r="B266" s="6" t="n">
        <v>201</v>
      </c>
      <c r="C266" s="6" t="s">
        <v>1323</v>
      </c>
      <c r="D266" s="6" t="s">
        <v>1279</v>
      </c>
      <c r="E266" s="6" t="s">
        <v>2144</v>
      </c>
      <c r="F266" s="6" t="s">
        <v>2145</v>
      </c>
      <c r="G266" s="6" t="s">
        <v>2146</v>
      </c>
      <c r="H266" s="6" t="s">
        <v>1377</v>
      </c>
      <c r="I266" s="6"/>
      <c r="J266" s="6" t="n">
        <v>0.8</v>
      </c>
      <c r="K266" s="6" t="n">
        <v>0.8</v>
      </c>
      <c r="L266" s="6" t="n">
        <v>0.64</v>
      </c>
    </row>
    <row r="267" customFormat="false" ht="23.85" hidden="false" customHeight="false" outlineLevel="0" collapsed="false">
      <c r="A267" s="6" t="s">
        <v>2147</v>
      </c>
      <c r="B267" s="6" t="n">
        <v>202</v>
      </c>
      <c r="C267" s="6" t="s">
        <v>2148</v>
      </c>
      <c r="D267" s="6" t="s">
        <v>1279</v>
      </c>
      <c r="E267" s="6" t="s">
        <v>2149</v>
      </c>
      <c r="F267" s="6" t="s">
        <v>2150</v>
      </c>
      <c r="G267" s="6" t="s">
        <v>2151</v>
      </c>
      <c r="H267" s="6" t="s">
        <v>1377</v>
      </c>
      <c r="I267" s="6"/>
      <c r="J267" s="6" t="n">
        <v>0.8</v>
      </c>
      <c r="K267" s="6" t="n">
        <v>0.8</v>
      </c>
      <c r="L267" s="6" t="n">
        <v>0.64</v>
      </c>
    </row>
    <row r="268" customFormat="false" ht="23.85" hidden="false" customHeight="false" outlineLevel="0" collapsed="false">
      <c r="A268" s="6" t="s">
        <v>2152</v>
      </c>
      <c r="B268" s="6" t="n">
        <v>202</v>
      </c>
      <c r="C268" s="6" t="s">
        <v>1323</v>
      </c>
      <c r="D268" s="6" t="s">
        <v>1279</v>
      </c>
      <c r="E268" s="6" t="s">
        <v>2153</v>
      </c>
      <c r="F268" s="6" t="s">
        <v>2154</v>
      </c>
      <c r="G268" s="6" t="s">
        <v>2155</v>
      </c>
      <c r="H268" s="6" t="s">
        <v>1377</v>
      </c>
      <c r="I268" s="6"/>
      <c r="J268" s="6" t="n">
        <v>0.8</v>
      </c>
      <c r="K268" s="6" t="n">
        <v>0.8</v>
      </c>
      <c r="L268" s="6" t="n">
        <v>0.64</v>
      </c>
    </row>
    <row r="269" customFormat="false" ht="23.85" hidden="false" customHeight="false" outlineLevel="0" collapsed="false">
      <c r="A269" s="6" t="s">
        <v>2156</v>
      </c>
      <c r="B269" s="6" t="n">
        <v>203</v>
      </c>
      <c r="C269" s="6" t="s">
        <v>2157</v>
      </c>
      <c r="D269" s="6" t="s">
        <v>1279</v>
      </c>
      <c r="E269" s="6" t="s">
        <v>2158</v>
      </c>
      <c r="F269" s="6" t="s">
        <v>2159</v>
      </c>
      <c r="G269" s="6" t="s">
        <v>2160</v>
      </c>
      <c r="H269" s="6" t="s">
        <v>1377</v>
      </c>
      <c r="I269" s="6"/>
      <c r="J269" s="6" t="n">
        <v>0.8</v>
      </c>
      <c r="K269" s="6" t="n">
        <v>0.8</v>
      </c>
      <c r="L269" s="6" t="n">
        <v>0.64</v>
      </c>
    </row>
    <row r="270" customFormat="false" ht="23.85" hidden="false" customHeight="false" outlineLevel="0" collapsed="false">
      <c r="A270" s="6" t="s">
        <v>2161</v>
      </c>
      <c r="B270" s="6" t="n">
        <v>203</v>
      </c>
      <c r="C270" s="6" t="s">
        <v>1323</v>
      </c>
      <c r="D270" s="6" t="s">
        <v>1279</v>
      </c>
      <c r="E270" s="6" t="s">
        <v>2162</v>
      </c>
      <c r="F270" s="6" t="s">
        <v>2163</v>
      </c>
      <c r="G270" s="6" t="s">
        <v>2164</v>
      </c>
      <c r="H270" s="6" t="s">
        <v>1377</v>
      </c>
      <c r="I270" s="6"/>
      <c r="J270" s="6" t="n">
        <v>0.8</v>
      </c>
      <c r="K270" s="6" t="n">
        <v>0.8</v>
      </c>
      <c r="L270" s="6" t="n">
        <v>0.64</v>
      </c>
    </row>
    <row r="271" customFormat="false" ht="23.85" hidden="false" customHeight="false" outlineLevel="0" collapsed="false">
      <c r="A271" s="6" t="s">
        <v>2165</v>
      </c>
      <c r="B271" s="6" t="n">
        <v>204</v>
      </c>
      <c r="C271" s="6" t="s">
        <v>1657</v>
      </c>
      <c r="D271" s="6" t="s">
        <v>1279</v>
      </c>
      <c r="E271" s="6" t="s">
        <v>2166</v>
      </c>
      <c r="F271" s="6" t="s">
        <v>2167</v>
      </c>
      <c r="G271" s="6" t="s">
        <v>2168</v>
      </c>
      <c r="H271" s="6" t="s">
        <v>1377</v>
      </c>
      <c r="I271" s="6"/>
      <c r="J271" s="6" t="n">
        <v>0.8</v>
      </c>
      <c r="K271" s="6" t="n">
        <v>0.8</v>
      </c>
      <c r="L271" s="6" t="n">
        <v>0.64</v>
      </c>
    </row>
    <row r="272" customFormat="false" ht="23.85" hidden="false" customHeight="false" outlineLevel="0" collapsed="false">
      <c r="A272" s="6" t="s">
        <v>2169</v>
      </c>
      <c r="B272" s="6" t="n">
        <v>204</v>
      </c>
      <c r="C272" s="6" t="s">
        <v>1396</v>
      </c>
      <c r="D272" s="6" t="s">
        <v>1279</v>
      </c>
      <c r="E272" s="6" t="s">
        <v>2170</v>
      </c>
      <c r="F272" s="6" t="s">
        <v>2167</v>
      </c>
      <c r="G272" s="6" t="s">
        <v>2171</v>
      </c>
      <c r="H272" s="6" t="s">
        <v>1377</v>
      </c>
      <c r="I272" s="6"/>
      <c r="J272" s="6" t="n">
        <v>0.8</v>
      </c>
      <c r="K272" s="6" t="n">
        <v>0.8</v>
      </c>
      <c r="L272" s="6" t="n">
        <v>0.64</v>
      </c>
    </row>
    <row r="273" customFormat="false" ht="23.85" hidden="false" customHeight="false" outlineLevel="0" collapsed="false">
      <c r="A273" s="6" t="s">
        <v>2172</v>
      </c>
      <c r="B273" s="6" t="n">
        <v>205</v>
      </c>
      <c r="C273" s="6" t="s">
        <v>1323</v>
      </c>
      <c r="D273" s="6" t="s">
        <v>1279</v>
      </c>
      <c r="E273" s="6" t="s">
        <v>2173</v>
      </c>
      <c r="F273" s="6" t="s">
        <v>2174</v>
      </c>
      <c r="G273" s="6" t="s">
        <v>2175</v>
      </c>
      <c r="H273" s="6" t="s">
        <v>1377</v>
      </c>
      <c r="I273" s="6"/>
      <c r="J273" s="6" t="n">
        <v>0.8</v>
      </c>
      <c r="K273" s="6" t="n">
        <v>0.8</v>
      </c>
      <c r="L273" s="6" t="n">
        <v>0.64</v>
      </c>
    </row>
    <row r="274" customFormat="false" ht="23.85" hidden="false" customHeight="false" outlineLevel="0" collapsed="false">
      <c r="A274" s="6" t="s">
        <v>2176</v>
      </c>
      <c r="B274" s="6" t="n">
        <v>205</v>
      </c>
      <c r="C274" s="6" t="s">
        <v>1327</v>
      </c>
      <c r="D274" s="6" t="s">
        <v>1279</v>
      </c>
      <c r="E274" s="6" t="s">
        <v>2177</v>
      </c>
      <c r="F274" s="6" t="s">
        <v>2174</v>
      </c>
      <c r="G274" s="6" t="s">
        <v>2178</v>
      </c>
      <c r="H274" s="6" t="s">
        <v>1377</v>
      </c>
      <c r="I274" s="6"/>
      <c r="J274" s="6" t="n">
        <v>0.8</v>
      </c>
      <c r="K274" s="6" t="n">
        <v>0.8</v>
      </c>
      <c r="L274" s="6" t="n">
        <v>0.64</v>
      </c>
    </row>
    <row r="275" customFormat="false" ht="23.85" hidden="false" customHeight="false" outlineLevel="0" collapsed="false">
      <c r="A275" s="6" t="s">
        <v>2179</v>
      </c>
      <c r="B275" s="6" t="n">
        <v>206</v>
      </c>
      <c r="C275" s="6" t="s">
        <v>2180</v>
      </c>
      <c r="D275" s="6" t="s">
        <v>1279</v>
      </c>
      <c r="E275" s="6" t="s">
        <v>2181</v>
      </c>
      <c r="F275" s="6" t="s">
        <v>2182</v>
      </c>
      <c r="G275" s="6" t="s">
        <v>2183</v>
      </c>
      <c r="H275" s="6" t="s">
        <v>1377</v>
      </c>
      <c r="I275" s="6"/>
      <c r="J275" s="6" t="n">
        <v>0.8</v>
      </c>
      <c r="K275" s="6" t="n">
        <v>0.8</v>
      </c>
      <c r="L275" s="6" t="n">
        <v>0.64</v>
      </c>
    </row>
    <row r="276" customFormat="false" ht="23.85" hidden="false" customHeight="false" outlineLevel="0" collapsed="false">
      <c r="A276" s="6" t="s">
        <v>2184</v>
      </c>
      <c r="B276" s="6" t="n">
        <v>207</v>
      </c>
      <c r="C276" s="6" t="s">
        <v>1323</v>
      </c>
      <c r="D276" s="6" t="s">
        <v>1279</v>
      </c>
      <c r="E276" s="6" t="s">
        <v>2185</v>
      </c>
      <c r="F276" s="6" t="s">
        <v>2186</v>
      </c>
      <c r="G276" s="6" t="s">
        <v>2187</v>
      </c>
      <c r="H276" s="6" t="s">
        <v>1377</v>
      </c>
      <c r="I276" s="6"/>
      <c r="J276" s="6" t="n">
        <v>0.8</v>
      </c>
      <c r="K276" s="6" t="n">
        <v>0.8</v>
      </c>
      <c r="L276" s="6" t="n">
        <v>0.64</v>
      </c>
    </row>
    <row r="277" customFormat="false" ht="15" hidden="false" customHeight="false" outlineLevel="0" collapsed="false">
      <c r="A277" s="6" t="s">
        <v>2188</v>
      </c>
      <c r="B277" s="6" t="n">
        <v>207</v>
      </c>
      <c r="C277" s="6" t="s">
        <v>1309</v>
      </c>
      <c r="D277" s="6" t="s">
        <v>1279</v>
      </c>
      <c r="E277" s="6" t="s">
        <v>2189</v>
      </c>
      <c r="F277" s="6" t="s">
        <v>2186</v>
      </c>
      <c r="G277" s="6" t="s">
        <v>2190</v>
      </c>
      <c r="H277" s="6" t="s">
        <v>1377</v>
      </c>
      <c r="I277" s="6"/>
      <c r="J277" s="6" t="n">
        <v>0.8</v>
      </c>
      <c r="K277" s="6" t="n">
        <v>0.8</v>
      </c>
      <c r="L277" s="6" t="n">
        <v>0.64</v>
      </c>
    </row>
    <row r="278" customFormat="false" ht="23.85" hidden="false" customHeight="false" outlineLevel="0" collapsed="false">
      <c r="A278" s="6" t="s">
        <v>2191</v>
      </c>
      <c r="B278" s="6" t="n">
        <v>208</v>
      </c>
      <c r="C278" s="6" t="s">
        <v>2192</v>
      </c>
      <c r="D278" s="6" t="s">
        <v>1279</v>
      </c>
      <c r="E278" s="6" t="s">
        <v>2193</v>
      </c>
      <c r="F278" s="6" t="s">
        <v>2194</v>
      </c>
      <c r="G278" s="6" t="s">
        <v>2195</v>
      </c>
      <c r="H278" s="6" t="s">
        <v>1377</v>
      </c>
      <c r="I278" s="6"/>
      <c r="J278" s="6" t="n">
        <v>0.8</v>
      </c>
      <c r="K278" s="6" t="n">
        <v>0.8</v>
      </c>
      <c r="L278" s="6" t="n">
        <v>0.64</v>
      </c>
    </row>
    <row r="279" customFormat="false" ht="23.85" hidden="false" customHeight="false" outlineLevel="0" collapsed="false">
      <c r="A279" s="6" t="s">
        <v>2196</v>
      </c>
      <c r="B279" s="6" t="n">
        <v>208</v>
      </c>
      <c r="C279" s="6" t="s">
        <v>1323</v>
      </c>
      <c r="D279" s="6" t="s">
        <v>1279</v>
      </c>
      <c r="E279" s="6" t="s">
        <v>2197</v>
      </c>
      <c r="F279" s="6" t="s">
        <v>2198</v>
      </c>
      <c r="G279" s="6" t="s">
        <v>2199</v>
      </c>
      <c r="H279" s="6" t="s">
        <v>1377</v>
      </c>
      <c r="I279" s="6"/>
      <c r="J279" s="6" t="n">
        <v>0.8</v>
      </c>
      <c r="K279" s="6" t="n">
        <v>0.8</v>
      </c>
      <c r="L279" s="6" t="n">
        <v>0.64</v>
      </c>
    </row>
    <row r="280" customFormat="false" ht="23.85" hidden="false" customHeight="false" outlineLevel="0" collapsed="false">
      <c r="A280" s="6" t="s">
        <v>2200</v>
      </c>
      <c r="B280" s="6" t="n">
        <v>209</v>
      </c>
      <c r="C280" s="6" t="s">
        <v>1657</v>
      </c>
      <c r="D280" s="6" t="s">
        <v>1279</v>
      </c>
      <c r="E280" s="6" t="s">
        <v>2201</v>
      </c>
      <c r="F280" s="6" t="s">
        <v>2202</v>
      </c>
      <c r="G280" s="6" t="s">
        <v>2203</v>
      </c>
      <c r="H280" s="6" t="s">
        <v>1377</v>
      </c>
      <c r="I280" s="6"/>
      <c r="J280" s="6" t="n">
        <v>0.8</v>
      </c>
      <c r="K280" s="6" t="n">
        <v>0.8</v>
      </c>
      <c r="L280" s="6" t="n">
        <v>0.64</v>
      </c>
    </row>
    <row r="281" customFormat="false" ht="23.85" hidden="false" customHeight="false" outlineLevel="0" collapsed="false">
      <c r="A281" s="6" t="s">
        <v>2204</v>
      </c>
      <c r="B281" s="6" t="n">
        <v>209</v>
      </c>
      <c r="C281" s="6" t="s">
        <v>1327</v>
      </c>
      <c r="D281" s="6" t="s">
        <v>1279</v>
      </c>
      <c r="E281" s="6" t="s">
        <v>2205</v>
      </c>
      <c r="F281" s="6" t="s">
        <v>2202</v>
      </c>
      <c r="G281" s="6" t="s">
        <v>2206</v>
      </c>
      <c r="H281" s="6" t="s">
        <v>1377</v>
      </c>
      <c r="I281" s="6"/>
      <c r="J281" s="6" t="n">
        <v>0.8</v>
      </c>
      <c r="K281" s="6" t="n">
        <v>0.8</v>
      </c>
      <c r="L281" s="6" t="n">
        <v>0.64</v>
      </c>
    </row>
    <row r="282" customFormat="false" ht="23.85" hidden="false" customHeight="false" outlineLevel="0" collapsed="false">
      <c r="A282" s="6" t="s">
        <v>2207</v>
      </c>
      <c r="B282" s="6" t="n">
        <v>210</v>
      </c>
      <c r="C282" s="6" t="s">
        <v>1323</v>
      </c>
      <c r="D282" s="6" t="s">
        <v>1279</v>
      </c>
      <c r="E282" s="6" t="s">
        <v>2208</v>
      </c>
      <c r="F282" s="6" t="s">
        <v>2209</v>
      </c>
      <c r="G282" s="6" t="s">
        <v>2210</v>
      </c>
      <c r="H282" s="6" t="s">
        <v>1377</v>
      </c>
      <c r="I282" s="6"/>
      <c r="J282" s="6" t="n">
        <v>0.8</v>
      </c>
      <c r="K282" s="6" t="n">
        <v>0.8</v>
      </c>
      <c r="L282" s="6" t="n">
        <v>0.64</v>
      </c>
    </row>
    <row r="283" customFormat="false" ht="15" hidden="false" customHeight="false" outlineLevel="0" collapsed="false">
      <c r="A283" s="6" t="s">
        <v>2211</v>
      </c>
      <c r="B283" s="6" t="n">
        <v>211</v>
      </c>
      <c r="C283" s="6" t="s">
        <v>1447</v>
      </c>
      <c r="D283" s="6" t="s">
        <v>1279</v>
      </c>
      <c r="E283" s="6" t="s">
        <v>2212</v>
      </c>
      <c r="F283" s="6" t="s">
        <v>2209</v>
      </c>
      <c r="G283" s="6" t="s">
        <v>2213</v>
      </c>
      <c r="H283" s="6" t="s">
        <v>1377</v>
      </c>
      <c r="I283" s="6"/>
      <c r="J283" s="6" t="n">
        <v>0.8</v>
      </c>
      <c r="K283" s="6" t="n">
        <v>0.8</v>
      </c>
      <c r="L283" s="6" t="n">
        <v>0.64</v>
      </c>
    </row>
    <row r="284" customFormat="false" ht="23.85" hidden="false" customHeight="false" outlineLevel="0" collapsed="false">
      <c r="A284" s="6" t="s">
        <v>2214</v>
      </c>
      <c r="B284" s="6" t="n">
        <v>211</v>
      </c>
      <c r="C284" s="6" t="s">
        <v>1706</v>
      </c>
      <c r="D284" s="6" t="s">
        <v>1279</v>
      </c>
      <c r="E284" s="6" t="s">
        <v>2215</v>
      </c>
      <c r="F284" s="6" t="s">
        <v>2209</v>
      </c>
      <c r="G284" s="6" t="s">
        <v>2216</v>
      </c>
      <c r="H284" s="6" t="s">
        <v>1377</v>
      </c>
      <c r="I284" s="6"/>
      <c r="J284" s="6" t="n">
        <v>0.8</v>
      </c>
      <c r="K284" s="6" t="n">
        <v>0.8</v>
      </c>
      <c r="L284" s="6" t="n">
        <v>0.64</v>
      </c>
    </row>
    <row r="285" customFormat="false" ht="23.85" hidden="false" customHeight="false" outlineLevel="0" collapsed="false">
      <c r="A285" s="6" t="s">
        <v>2217</v>
      </c>
      <c r="B285" s="6" t="n">
        <v>212</v>
      </c>
      <c r="C285" s="6" t="s">
        <v>1323</v>
      </c>
      <c r="D285" s="6" t="s">
        <v>1279</v>
      </c>
      <c r="E285" s="6" t="s">
        <v>2218</v>
      </c>
      <c r="F285" s="6" t="s">
        <v>2219</v>
      </c>
      <c r="G285" s="6" t="s">
        <v>2220</v>
      </c>
      <c r="H285" s="6" t="s">
        <v>1377</v>
      </c>
      <c r="I285" s="6"/>
      <c r="J285" s="6" t="n">
        <v>0.8</v>
      </c>
      <c r="K285" s="6" t="n">
        <v>0.8</v>
      </c>
      <c r="L285" s="6" t="n">
        <v>0.64</v>
      </c>
    </row>
    <row r="286" customFormat="false" ht="23.85" hidden="false" customHeight="false" outlineLevel="0" collapsed="false">
      <c r="A286" s="6" t="s">
        <v>2221</v>
      </c>
      <c r="B286" s="6" t="n">
        <v>212</v>
      </c>
      <c r="C286" s="6" t="s">
        <v>1305</v>
      </c>
      <c r="D286" s="6" t="s">
        <v>1279</v>
      </c>
      <c r="E286" s="6" t="s">
        <v>2222</v>
      </c>
      <c r="F286" s="6" t="s">
        <v>2219</v>
      </c>
      <c r="G286" s="6" t="s">
        <v>2223</v>
      </c>
      <c r="H286" s="6" t="s">
        <v>1377</v>
      </c>
      <c r="I286" s="6"/>
      <c r="J286" s="6" t="n">
        <v>0.8</v>
      </c>
      <c r="K286" s="6" t="n">
        <v>0.8</v>
      </c>
      <c r="L286" s="6" t="n">
        <v>0.64</v>
      </c>
    </row>
    <row r="287" customFormat="false" ht="23.85" hidden="false" customHeight="false" outlineLevel="0" collapsed="false">
      <c r="A287" s="6" t="s">
        <v>2224</v>
      </c>
      <c r="B287" s="6" t="n">
        <v>213</v>
      </c>
      <c r="C287" s="6" t="s">
        <v>1323</v>
      </c>
      <c r="D287" s="6" t="s">
        <v>1279</v>
      </c>
      <c r="E287" s="6" t="s">
        <v>2218</v>
      </c>
      <c r="F287" s="6" t="s">
        <v>2219</v>
      </c>
      <c r="G287" s="6" t="s">
        <v>2220</v>
      </c>
      <c r="H287" s="6" t="s">
        <v>1377</v>
      </c>
      <c r="I287" s="6"/>
      <c r="J287" s="6" t="n">
        <v>0.8</v>
      </c>
      <c r="K287" s="6" t="n">
        <v>0.8</v>
      </c>
      <c r="L287" s="6" t="n">
        <v>0.64</v>
      </c>
    </row>
    <row r="288" customFormat="false" ht="23.85" hidden="false" customHeight="false" outlineLevel="0" collapsed="false">
      <c r="A288" s="6" t="s">
        <v>2225</v>
      </c>
      <c r="B288" s="6" t="n">
        <v>213</v>
      </c>
      <c r="C288" s="6" t="s">
        <v>1305</v>
      </c>
      <c r="D288" s="6" t="s">
        <v>1279</v>
      </c>
      <c r="E288" s="6" t="s">
        <v>2222</v>
      </c>
      <c r="F288" s="6" t="s">
        <v>2219</v>
      </c>
      <c r="G288" s="6" t="s">
        <v>2223</v>
      </c>
      <c r="H288" s="6" t="s">
        <v>1377</v>
      </c>
      <c r="I288" s="6"/>
      <c r="J288" s="6" t="n">
        <v>0.8</v>
      </c>
      <c r="K288" s="6" t="n">
        <v>0.8</v>
      </c>
      <c r="L288" s="6" t="n">
        <v>0.64</v>
      </c>
    </row>
    <row r="289" customFormat="false" ht="23.85" hidden="false" customHeight="false" outlineLevel="0" collapsed="false">
      <c r="A289" s="6" t="s">
        <v>2226</v>
      </c>
      <c r="B289" s="6" t="n">
        <v>214</v>
      </c>
      <c r="C289" s="6" t="s">
        <v>2227</v>
      </c>
      <c r="D289" s="6" t="s">
        <v>1279</v>
      </c>
      <c r="E289" s="6" t="s">
        <v>2228</v>
      </c>
      <c r="F289" s="6" t="s">
        <v>2229</v>
      </c>
      <c r="G289" s="6" t="s">
        <v>2230</v>
      </c>
      <c r="H289" s="6" t="s">
        <v>1377</v>
      </c>
      <c r="I289" s="6"/>
      <c r="J289" s="6" t="n">
        <v>0.8</v>
      </c>
      <c r="K289" s="6" t="n">
        <v>0.8</v>
      </c>
      <c r="L289" s="6" t="n">
        <v>0.64</v>
      </c>
    </row>
    <row r="290" customFormat="false" ht="23.85" hidden="false" customHeight="false" outlineLevel="0" collapsed="false">
      <c r="A290" s="6" t="s">
        <v>2231</v>
      </c>
      <c r="B290" s="6" t="n">
        <v>215</v>
      </c>
      <c r="C290" s="6" t="s">
        <v>2232</v>
      </c>
      <c r="D290" s="6" t="s">
        <v>1279</v>
      </c>
      <c r="E290" s="6" t="s">
        <v>2233</v>
      </c>
      <c r="F290" s="6" t="s">
        <v>2234</v>
      </c>
      <c r="G290" s="6" t="s">
        <v>2235</v>
      </c>
      <c r="H290" s="6" t="s">
        <v>1377</v>
      </c>
      <c r="I290" s="6"/>
      <c r="J290" s="6" t="n">
        <v>0.8</v>
      </c>
      <c r="K290" s="6" t="n">
        <v>0.8</v>
      </c>
      <c r="L290" s="6" t="n">
        <v>0.64</v>
      </c>
    </row>
    <row r="291" customFormat="false" ht="23.85" hidden="false" customHeight="false" outlineLevel="0" collapsed="false">
      <c r="A291" s="6" t="s">
        <v>2236</v>
      </c>
      <c r="B291" s="6" t="n">
        <v>215</v>
      </c>
      <c r="C291" s="6" t="s">
        <v>1323</v>
      </c>
      <c r="D291" s="6" t="s">
        <v>1279</v>
      </c>
      <c r="E291" s="6" t="s">
        <v>2237</v>
      </c>
      <c r="F291" s="6" t="s">
        <v>2234</v>
      </c>
      <c r="G291" s="6" t="s">
        <v>2238</v>
      </c>
      <c r="H291" s="6" t="s">
        <v>1377</v>
      </c>
      <c r="I291" s="6"/>
      <c r="J291" s="6" t="n">
        <v>0.8</v>
      </c>
      <c r="K291" s="6" t="n">
        <v>0.8</v>
      </c>
      <c r="L291" s="6" t="n">
        <v>0.64</v>
      </c>
    </row>
    <row r="292" customFormat="false" ht="23.85" hidden="false" customHeight="false" outlineLevel="0" collapsed="false">
      <c r="A292" s="6" t="s">
        <v>2239</v>
      </c>
      <c r="B292" s="6" t="n">
        <v>216</v>
      </c>
      <c r="C292" s="6" t="s">
        <v>1396</v>
      </c>
      <c r="D292" s="6" t="s">
        <v>1279</v>
      </c>
      <c r="E292" s="6" t="s">
        <v>2240</v>
      </c>
      <c r="F292" s="6" t="s">
        <v>2241</v>
      </c>
      <c r="G292" s="6" t="s">
        <v>2242</v>
      </c>
      <c r="H292" s="6" t="s">
        <v>1377</v>
      </c>
      <c r="I292" s="6"/>
      <c r="J292" s="6" t="n">
        <v>0.8</v>
      </c>
      <c r="K292" s="6" t="n">
        <v>0.8</v>
      </c>
      <c r="L292" s="6" t="n">
        <v>0.64</v>
      </c>
    </row>
    <row r="293" customFormat="false" ht="23.85" hidden="false" customHeight="false" outlineLevel="0" collapsed="false">
      <c r="A293" s="6" t="s">
        <v>2243</v>
      </c>
      <c r="B293" s="6" t="n">
        <v>216</v>
      </c>
      <c r="C293" s="6" t="s">
        <v>1323</v>
      </c>
      <c r="D293" s="6" t="s">
        <v>1279</v>
      </c>
      <c r="E293" s="6" t="s">
        <v>2244</v>
      </c>
      <c r="F293" s="6" t="s">
        <v>2245</v>
      </c>
      <c r="G293" s="6" t="s">
        <v>2246</v>
      </c>
      <c r="H293" s="6" t="s">
        <v>1377</v>
      </c>
      <c r="I293" s="6"/>
      <c r="J293" s="6" t="n">
        <v>0.8</v>
      </c>
      <c r="K293" s="6" t="n">
        <v>0.8</v>
      </c>
      <c r="L293" s="6" t="n">
        <v>0.64</v>
      </c>
    </row>
    <row r="294" customFormat="false" ht="23.85" hidden="false" customHeight="false" outlineLevel="0" collapsed="false">
      <c r="A294" s="6" t="s">
        <v>2247</v>
      </c>
      <c r="B294" s="6" t="n">
        <v>217</v>
      </c>
      <c r="C294" s="6" t="s">
        <v>2248</v>
      </c>
      <c r="D294" s="6" t="s">
        <v>1279</v>
      </c>
      <c r="E294" s="6" t="s">
        <v>2249</v>
      </c>
      <c r="F294" s="6" t="s">
        <v>2250</v>
      </c>
      <c r="G294" s="6" t="s">
        <v>2251</v>
      </c>
      <c r="H294" s="6" t="s">
        <v>1377</v>
      </c>
      <c r="I294" s="6"/>
      <c r="J294" s="6" t="n">
        <v>0.8</v>
      </c>
      <c r="K294" s="6" t="n">
        <v>0.8</v>
      </c>
      <c r="L294" s="6" t="n">
        <v>0.64</v>
      </c>
    </row>
    <row r="295" customFormat="false" ht="23.85" hidden="false" customHeight="false" outlineLevel="0" collapsed="false">
      <c r="A295" s="6" t="s">
        <v>2252</v>
      </c>
      <c r="B295" s="6" t="n">
        <v>218</v>
      </c>
      <c r="C295" s="6" t="s">
        <v>1391</v>
      </c>
      <c r="D295" s="6" t="s">
        <v>1279</v>
      </c>
      <c r="E295" s="6" t="s">
        <v>2253</v>
      </c>
      <c r="F295" s="6" t="s">
        <v>2254</v>
      </c>
      <c r="G295" s="6" t="s">
        <v>2255</v>
      </c>
      <c r="H295" s="6" t="s">
        <v>1377</v>
      </c>
      <c r="I295" s="6"/>
      <c r="J295" s="6" t="n">
        <v>0.8</v>
      </c>
      <c r="K295" s="6" t="n">
        <v>0.8</v>
      </c>
      <c r="L295" s="6" t="n">
        <v>0.64</v>
      </c>
    </row>
    <row r="296" customFormat="false" ht="23.85" hidden="false" customHeight="false" outlineLevel="0" collapsed="false">
      <c r="A296" s="6" t="s">
        <v>2256</v>
      </c>
      <c r="B296" s="6" t="n">
        <v>219</v>
      </c>
      <c r="C296" s="6" t="s">
        <v>1391</v>
      </c>
      <c r="D296" s="6" t="s">
        <v>1279</v>
      </c>
      <c r="E296" s="6" t="s">
        <v>2253</v>
      </c>
      <c r="F296" s="6" t="s">
        <v>2254</v>
      </c>
      <c r="G296" s="6" t="s">
        <v>2255</v>
      </c>
      <c r="H296" s="6" t="s">
        <v>1377</v>
      </c>
      <c r="I296" s="6"/>
      <c r="J296" s="6" t="n">
        <v>0.8</v>
      </c>
      <c r="K296" s="6" t="n">
        <v>0.8</v>
      </c>
      <c r="L296" s="6" t="n">
        <v>0.64</v>
      </c>
    </row>
    <row r="297" customFormat="false" ht="23.85" hidden="false" customHeight="false" outlineLevel="0" collapsed="false">
      <c r="A297" s="6" t="s">
        <v>2257</v>
      </c>
      <c r="B297" s="6" t="n">
        <v>220</v>
      </c>
      <c r="C297" s="6" t="s">
        <v>2258</v>
      </c>
      <c r="D297" s="6" t="s">
        <v>1279</v>
      </c>
      <c r="E297" s="6" t="s">
        <v>2259</v>
      </c>
      <c r="F297" s="6" t="s">
        <v>2260</v>
      </c>
      <c r="G297" s="6" t="s">
        <v>2261</v>
      </c>
      <c r="H297" s="6" t="s">
        <v>1283</v>
      </c>
      <c r="I297" s="6"/>
      <c r="J297" s="6" t="n">
        <v>0.8</v>
      </c>
      <c r="K297" s="6" t="n">
        <v>1</v>
      </c>
      <c r="L297" s="6" t="n">
        <v>0.8</v>
      </c>
    </row>
    <row r="298" customFormat="false" ht="23.85" hidden="false" customHeight="false" outlineLevel="0" collapsed="false">
      <c r="A298" s="6" t="s">
        <v>2262</v>
      </c>
      <c r="B298" s="6" t="n">
        <v>221</v>
      </c>
      <c r="C298" s="6" t="s">
        <v>2248</v>
      </c>
      <c r="D298" s="6" t="s">
        <v>1279</v>
      </c>
      <c r="E298" s="6" t="s">
        <v>2263</v>
      </c>
      <c r="F298" s="6" t="s">
        <v>2264</v>
      </c>
      <c r="G298" s="6" t="s">
        <v>2265</v>
      </c>
      <c r="H298" s="6" t="s">
        <v>1377</v>
      </c>
      <c r="I298" s="6"/>
      <c r="J298" s="6" t="n">
        <v>0.8</v>
      </c>
      <c r="K298" s="6" t="n">
        <v>0.8</v>
      </c>
      <c r="L298" s="6" t="n">
        <v>0.64</v>
      </c>
    </row>
    <row r="299" customFormat="false" ht="23.85" hidden="false" customHeight="false" outlineLevel="0" collapsed="false">
      <c r="A299" s="6" t="s">
        <v>2266</v>
      </c>
      <c r="B299" s="6" t="n">
        <v>221</v>
      </c>
      <c r="C299" s="6" t="s">
        <v>1323</v>
      </c>
      <c r="D299" s="6" t="s">
        <v>1279</v>
      </c>
      <c r="E299" s="6" t="s">
        <v>2267</v>
      </c>
      <c r="F299" s="6" t="s">
        <v>2268</v>
      </c>
      <c r="G299" s="6" t="s">
        <v>2269</v>
      </c>
      <c r="H299" s="6" t="s">
        <v>1377</v>
      </c>
      <c r="I299" s="6"/>
      <c r="J299" s="6" t="n">
        <v>0.8</v>
      </c>
      <c r="K299" s="6" t="n">
        <v>0.8</v>
      </c>
      <c r="L299" s="6" t="n">
        <v>0.64</v>
      </c>
    </row>
    <row r="300" customFormat="false" ht="23.85" hidden="false" customHeight="false" outlineLevel="0" collapsed="false">
      <c r="A300" s="6" t="s">
        <v>2270</v>
      </c>
      <c r="B300" s="6" t="n">
        <v>222</v>
      </c>
      <c r="C300" s="6" t="s">
        <v>2271</v>
      </c>
      <c r="D300" s="6" t="s">
        <v>1279</v>
      </c>
      <c r="E300" s="6" t="s">
        <v>2272</v>
      </c>
      <c r="F300" s="6" t="s">
        <v>2273</v>
      </c>
      <c r="G300" s="6" t="s">
        <v>2274</v>
      </c>
      <c r="H300" s="6" t="s">
        <v>1377</v>
      </c>
      <c r="I300" s="6"/>
      <c r="J300" s="6" t="n">
        <v>0.8</v>
      </c>
      <c r="K300" s="6" t="n">
        <v>0.8</v>
      </c>
      <c r="L300" s="6" t="n">
        <v>0.64</v>
      </c>
    </row>
    <row r="301" customFormat="false" ht="23.85" hidden="false" customHeight="false" outlineLevel="0" collapsed="false">
      <c r="A301" s="6" t="s">
        <v>2275</v>
      </c>
      <c r="B301" s="6" t="n">
        <v>223</v>
      </c>
      <c r="C301" s="6" t="s">
        <v>1391</v>
      </c>
      <c r="D301" s="6" t="s">
        <v>1279</v>
      </c>
      <c r="E301" s="6" t="s">
        <v>2276</v>
      </c>
      <c r="F301" s="6" t="s">
        <v>2277</v>
      </c>
      <c r="G301" s="6" t="s">
        <v>2278</v>
      </c>
      <c r="H301" s="6" t="s">
        <v>1283</v>
      </c>
      <c r="I301" s="6"/>
      <c r="J301" s="6" t="n">
        <v>0.8</v>
      </c>
      <c r="K301" s="6" t="n">
        <v>1</v>
      </c>
      <c r="L301" s="6" t="n">
        <v>0.8</v>
      </c>
    </row>
    <row r="302" customFormat="false" ht="23.85" hidden="false" customHeight="false" outlineLevel="0" collapsed="false">
      <c r="A302" s="6" t="s">
        <v>2279</v>
      </c>
      <c r="B302" s="6" t="n">
        <v>224</v>
      </c>
      <c r="C302" s="6" t="s">
        <v>2258</v>
      </c>
      <c r="D302" s="6" t="s">
        <v>1279</v>
      </c>
      <c r="E302" s="6" t="s">
        <v>2280</v>
      </c>
      <c r="F302" s="6" t="s">
        <v>2277</v>
      </c>
      <c r="G302" s="6" t="s">
        <v>2281</v>
      </c>
      <c r="H302" s="6" t="s">
        <v>1377</v>
      </c>
      <c r="I302" s="6"/>
      <c r="J302" s="6" t="n">
        <v>0.8</v>
      </c>
      <c r="K302" s="6" t="n">
        <v>0.8</v>
      </c>
      <c r="L302" s="6" t="n">
        <v>0.64</v>
      </c>
    </row>
    <row r="303" customFormat="false" ht="23.85" hidden="false" customHeight="false" outlineLevel="0" collapsed="false">
      <c r="A303" s="6" t="s">
        <v>2282</v>
      </c>
      <c r="B303" s="6" t="n">
        <v>224</v>
      </c>
      <c r="C303" s="6" t="s">
        <v>1391</v>
      </c>
      <c r="D303" s="6" t="s">
        <v>1279</v>
      </c>
      <c r="E303" s="6" t="s">
        <v>2276</v>
      </c>
      <c r="F303" s="6" t="s">
        <v>2277</v>
      </c>
      <c r="G303" s="6" t="s">
        <v>2278</v>
      </c>
      <c r="H303" s="6" t="s">
        <v>1283</v>
      </c>
      <c r="I303" s="6"/>
      <c r="J303" s="6" t="n">
        <v>0.8</v>
      </c>
      <c r="K303" s="6" t="n">
        <v>1</v>
      </c>
      <c r="L303" s="6" t="n">
        <v>0.8</v>
      </c>
    </row>
    <row r="304" customFormat="false" ht="23.85" hidden="false" customHeight="false" outlineLevel="0" collapsed="false">
      <c r="A304" s="6" t="s">
        <v>2283</v>
      </c>
      <c r="B304" s="6" t="n">
        <v>225</v>
      </c>
      <c r="C304" s="6" t="s">
        <v>1323</v>
      </c>
      <c r="D304" s="6" t="s">
        <v>1279</v>
      </c>
      <c r="E304" s="6" t="s">
        <v>2284</v>
      </c>
      <c r="F304" s="6" t="s">
        <v>2285</v>
      </c>
      <c r="G304" s="6" t="s">
        <v>2286</v>
      </c>
      <c r="H304" s="6" t="s">
        <v>1377</v>
      </c>
      <c r="I304" s="6"/>
      <c r="J304" s="6" t="n">
        <v>0.8</v>
      </c>
      <c r="K304" s="6" t="n">
        <v>0.8</v>
      </c>
      <c r="L304" s="6" t="n">
        <v>0.64</v>
      </c>
    </row>
    <row r="305" customFormat="false" ht="23.85" hidden="false" customHeight="false" outlineLevel="0" collapsed="false">
      <c r="A305" s="6" t="s">
        <v>2287</v>
      </c>
      <c r="B305" s="6" t="n">
        <v>225</v>
      </c>
      <c r="C305" s="6" t="s">
        <v>1939</v>
      </c>
      <c r="D305" s="6" t="s">
        <v>1279</v>
      </c>
      <c r="E305" s="6" t="s">
        <v>2288</v>
      </c>
      <c r="F305" s="6" t="s">
        <v>2289</v>
      </c>
      <c r="G305" s="6" t="s">
        <v>2290</v>
      </c>
      <c r="H305" s="6" t="s">
        <v>1283</v>
      </c>
      <c r="I305" s="6"/>
      <c r="J305" s="6" t="n">
        <v>0.8</v>
      </c>
      <c r="K305" s="6" t="n">
        <v>1</v>
      </c>
      <c r="L305" s="6" t="n">
        <v>0.8</v>
      </c>
    </row>
    <row r="306" customFormat="false" ht="23.85" hidden="false" customHeight="false" outlineLevel="0" collapsed="false">
      <c r="A306" s="6" t="s">
        <v>2291</v>
      </c>
      <c r="B306" s="6" t="n">
        <v>226</v>
      </c>
      <c r="C306" s="6" t="s">
        <v>1939</v>
      </c>
      <c r="D306" s="6" t="s">
        <v>1279</v>
      </c>
      <c r="E306" s="6" t="s">
        <v>2288</v>
      </c>
      <c r="F306" s="6" t="s">
        <v>2289</v>
      </c>
      <c r="G306" s="6" t="s">
        <v>2290</v>
      </c>
      <c r="H306" s="6" t="s">
        <v>1283</v>
      </c>
      <c r="I306" s="6"/>
      <c r="J306" s="6" t="n">
        <v>0.8</v>
      </c>
      <c r="K306" s="6" t="n">
        <v>1</v>
      </c>
      <c r="L306" s="6" t="n">
        <v>0.8</v>
      </c>
    </row>
    <row r="307" customFormat="false" ht="23.85" hidden="false" customHeight="false" outlineLevel="0" collapsed="false">
      <c r="A307" s="6" t="s">
        <v>2292</v>
      </c>
      <c r="B307" s="6" t="n">
        <v>227</v>
      </c>
      <c r="C307" s="6" t="s">
        <v>2293</v>
      </c>
      <c r="D307" s="6" t="s">
        <v>1279</v>
      </c>
      <c r="E307" s="6" t="s">
        <v>2294</v>
      </c>
      <c r="F307" s="6" t="s">
        <v>2295</v>
      </c>
      <c r="G307" s="6" t="s">
        <v>2296</v>
      </c>
      <c r="H307" s="6" t="s">
        <v>1377</v>
      </c>
      <c r="I307" s="6"/>
      <c r="J307" s="6" t="n">
        <v>0.8</v>
      </c>
      <c r="K307" s="6" t="n">
        <v>0.8</v>
      </c>
      <c r="L307" s="6" t="n">
        <v>0.64</v>
      </c>
    </row>
    <row r="308" customFormat="false" ht="23.85" hidden="false" customHeight="false" outlineLevel="0" collapsed="false">
      <c r="A308" s="6" t="s">
        <v>2297</v>
      </c>
      <c r="B308" s="6" t="n">
        <v>227</v>
      </c>
      <c r="C308" s="6" t="s">
        <v>2180</v>
      </c>
      <c r="D308" s="6" t="s">
        <v>1279</v>
      </c>
      <c r="E308" s="6" t="s">
        <v>2298</v>
      </c>
      <c r="F308" s="6" t="s">
        <v>2299</v>
      </c>
      <c r="G308" s="6" t="s">
        <v>2300</v>
      </c>
      <c r="H308" s="6" t="s">
        <v>1283</v>
      </c>
      <c r="I308" s="6"/>
      <c r="J308" s="6" t="n">
        <v>0.8</v>
      </c>
      <c r="K308" s="6" t="n">
        <v>1</v>
      </c>
      <c r="L308" s="6" t="n">
        <v>0.8</v>
      </c>
    </row>
    <row r="309" customFormat="false" ht="23.85" hidden="false" customHeight="false" outlineLevel="0" collapsed="false">
      <c r="A309" s="6" t="s">
        <v>2301</v>
      </c>
      <c r="B309" s="6" t="n">
        <v>228</v>
      </c>
      <c r="C309" s="6" t="s">
        <v>2180</v>
      </c>
      <c r="D309" s="6" t="s">
        <v>1279</v>
      </c>
      <c r="E309" s="6" t="s">
        <v>2298</v>
      </c>
      <c r="F309" s="6" t="s">
        <v>2299</v>
      </c>
      <c r="G309" s="6" t="s">
        <v>2300</v>
      </c>
      <c r="H309" s="6" t="s">
        <v>1283</v>
      </c>
      <c r="I309" s="6"/>
      <c r="J309" s="6" t="n">
        <v>0.8</v>
      </c>
      <c r="K309" s="6" t="n">
        <v>1</v>
      </c>
      <c r="L309" s="6" t="n">
        <v>0.8</v>
      </c>
    </row>
    <row r="310" customFormat="false" ht="23.85" hidden="false" customHeight="false" outlineLevel="0" collapsed="false">
      <c r="A310" s="6" t="s">
        <v>2302</v>
      </c>
      <c r="B310" s="6" t="n">
        <v>229</v>
      </c>
      <c r="C310" s="6" t="s">
        <v>2180</v>
      </c>
      <c r="D310" s="6" t="s">
        <v>1279</v>
      </c>
      <c r="E310" s="6" t="s">
        <v>2298</v>
      </c>
      <c r="F310" s="6" t="s">
        <v>2299</v>
      </c>
      <c r="G310" s="6" t="s">
        <v>2300</v>
      </c>
      <c r="H310" s="6" t="s">
        <v>1283</v>
      </c>
      <c r="I310" s="6"/>
      <c r="J310" s="6" t="n">
        <v>0.8</v>
      </c>
      <c r="K310" s="6" t="n">
        <v>1</v>
      </c>
      <c r="L310" s="6" t="n">
        <v>0.8</v>
      </c>
    </row>
    <row r="311" customFormat="false" ht="23.85" hidden="false" customHeight="false" outlineLevel="0" collapsed="false">
      <c r="A311" s="6" t="s">
        <v>2303</v>
      </c>
      <c r="B311" s="6" t="n">
        <v>230</v>
      </c>
      <c r="C311" s="6" t="s">
        <v>1323</v>
      </c>
      <c r="D311" s="6" t="s">
        <v>1279</v>
      </c>
      <c r="E311" s="6" t="s">
        <v>2304</v>
      </c>
      <c r="F311" s="6" t="s">
        <v>2305</v>
      </c>
      <c r="G311" s="6" t="s">
        <v>2306</v>
      </c>
      <c r="H311" s="6" t="s">
        <v>1377</v>
      </c>
      <c r="I311" s="6"/>
      <c r="J311" s="6" t="n">
        <v>0.8</v>
      </c>
      <c r="K311" s="6" t="n">
        <v>0.8</v>
      </c>
      <c r="L311" s="6" t="n">
        <v>0.64</v>
      </c>
    </row>
    <row r="312" customFormat="false" ht="23.85" hidden="false" customHeight="false" outlineLevel="0" collapsed="false">
      <c r="A312" s="6" t="s">
        <v>2307</v>
      </c>
      <c r="B312" s="6" t="n">
        <v>230</v>
      </c>
      <c r="C312" s="6" t="s">
        <v>1323</v>
      </c>
      <c r="D312" s="6" t="s">
        <v>1279</v>
      </c>
      <c r="E312" s="6" t="s">
        <v>2308</v>
      </c>
      <c r="F312" s="6" t="s">
        <v>2309</v>
      </c>
      <c r="G312" s="6" t="s">
        <v>2310</v>
      </c>
      <c r="H312" s="6" t="s">
        <v>1377</v>
      </c>
      <c r="I312" s="6"/>
      <c r="J312" s="6" t="n">
        <v>0.8</v>
      </c>
      <c r="K312" s="6" t="n">
        <v>0.8</v>
      </c>
      <c r="L312" s="6" t="n">
        <v>0.64</v>
      </c>
    </row>
    <row r="313" customFormat="false" ht="23.85" hidden="false" customHeight="false" outlineLevel="0" collapsed="false">
      <c r="A313" s="6" t="s">
        <v>2311</v>
      </c>
      <c r="B313" s="6" t="n">
        <v>231</v>
      </c>
      <c r="C313" s="6" t="s">
        <v>1323</v>
      </c>
      <c r="D313" s="6" t="s">
        <v>1279</v>
      </c>
      <c r="E313" s="6" t="s">
        <v>2312</v>
      </c>
      <c r="F313" s="6" t="s">
        <v>2313</v>
      </c>
      <c r="G313" s="6" t="s">
        <v>2314</v>
      </c>
      <c r="H313" s="6" t="s">
        <v>1377</v>
      </c>
      <c r="I313" s="6"/>
      <c r="J313" s="6" t="n">
        <v>0.8</v>
      </c>
      <c r="K313" s="6" t="n">
        <v>0.8</v>
      </c>
      <c r="L313" s="6" t="n">
        <v>0.64</v>
      </c>
    </row>
    <row r="314" customFormat="false" ht="23.85" hidden="false" customHeight="false" outlineLevel="0" collapsed="false">
      <c r="A314" s="6" t="s">
        <v>2315</v>
      </c>
      <c r="B314" s="6" t="n">
        <v>231</v>
      </c>
      <c r="C314" s="6" t="s">
        <v>1309</v>
      </c>
      <c r="D314" s="6" t="s">
        <v>1279</v>
      </c>
      <c r="E314" s="6" t="s">
        <v>2316</v>
      </c>
      <c r="F314" s="6" t="s">
        <v>2317</v>
      </c>
      <c r="G314" s="6" t="s">
        <v>2318</v>
      </c>
      <c r="H314" s="6" t="s">
        <v>1377</v>
      </c>
      <c r="I314" s="6"/>
      <c r="J314" s="6" t="n">
        <v>0.8</v>
      </c>
      <c r="K314" s="6" t="n">
        <v>0.8</v>
      </c>
      <c r="L314" s="6" t="n">
        <v>0.64</v>
      </c>
    </row>
    <row r="315" customFormat="false" ht="35.05" hidden="false" customHeight="false" outlineLevel="0" collapsed="false">
      <c r="A315" s="6" t="s">
        <v>2319</v>
      </c>
      <c r="B315" s="6" t="n">
        <v>232</v>
      </c>
      <c r="C315" s="6" t="s">
        <v>2320</v>
      </c>
      <c r="D315" s="6" t="s">
        <v>1279</v>
      </c>
      <c r="E315" s="6" t="s">
        <v>2321</v>
      </c>
      <c r="F315" s="6" t="s">
        <v>2322</v>
      </c>
      <c r="G315" s="6" t="s">
        <v>2323</v>
      </c>
      <c r="H315" s="6" t="s">
        <v>1377</v>
      </c>
      <c r="I315" s="6"/>
      <c r="J315" s="6" t="n">
        <v>0.8</v>
      </c>
      <c r="K315" s="6" t="n">
        <v>0.8</v>
      </c>
      <c r="L315" s="6" t="n">
        <v>0.64</v>
      </c>
    </row>
    <row r="316" customFormat="false" ht="23.85" hidden="false" customHeight="false" outlineLevel="0" collapsed="false">
      <c r="A316" s="6" t="s">
        <v>2324</v>
      </c>
      <c r="B316" s="6" t="n">
        <v>232</v>
      </c>
      <c r="C316" s="6" t="s">
        <v>1323</v>
      </c>
      <c r="D316" s="6" t="s">
        <v>1279</v>
      </c>
      <c r="E316" s="6" t="s">
        <v>2325</v>
      </c>
      <c r="F316" s="6" t="s">
        <v>2326</v>
      </c>
      <c r="G316" s="6" t="s">
        <v>2327</v>
      </c>
      <c r="H316" s="6" t="s">
        <v>1377</v>
      </c>
      <c r="I316" s="6"/>
      <c r="J316" s="6" t="n">
        <v>0.8</v>
      </c>
      <c r="K316" s="6" t="n">
        <v>0.8</v>
      </c>
      <c r="L316" s="6" t="n">
        <v>0.64</v>
      </c>
    </row>
    <row r="317" customFormat="false" ht="15" hidden="false" customHeight="false" outlineLevel="0" collapsed="false">
      <c r="A317" s="6" t="s">
        <v>2328</v>
      </c>
      <c r="B317" s="6" t="n">
        <v>233</v>
      </c>
      <c r="C317" s="6" t="s">
        <v>1447</v>
      </c>
      <c r="D317" s="6" t="s">
        <v>1279</v>
      </c>
      <c r="E317" s="6" t="s">
        <v>2329</v>
      </c>
      <c r="F317" s="6" t="s">
        <v>2330</v>
      </c>
      <c r="G317" s="6" t="s">
        <v>2331</v>
      </c>
      <c r="H317" s="6" t="s">
        <v>1377</v>
      </c>
      <c r="I317" s="6"/>
      <c r="J317" s="6" t="n">
        <v>0.8</v>
      </c>
      <c r="K317" s="6" t="n">
        <v>0.8</v>
      </c>
      <c r="L317" s="6" t="n">
        <v>0.64</v>
      </c>
    </row>
    <row r="318" customFormat="false" ht="23.85" hidden="false" customHeight="false" outlineLevel="0" collapsed="false">
      <c r="A318" s="6" t="s">
        <v>2332</v>
      </c>
      <c r="B318" s="6" t="n">
        <v>234</v>
      </c>
      <c r="C318" s="6" t="s">
        <v>1323</v>
      </c>
      <c r="D318" s="6" t="s">
        <v>1279</v>
      </c>
      <c r="E318" s="6" t="s">
        <v>2333</v>
      </c>
      <c r="F318" s="6" t="s">
        <v>2334</v>
      </c>
      <c r="G318" s="6" t="s">
        <v>2335</v>
      </c>
      <c r="H318" s="6" t="s">
        <v>1377</v>
      </c>
      <c r="I318" s="6"/>
      <c r="J318" s="6" t="n">
        <v>0.8</v>
      </c>
      <c r="K318" s="6" t="n">
        <v>0.8</v>
      </c>
      <c r="L318" s="6" t="n">
        <v>0.64</v>
      </c>
    </row>
    <row r="319" customFormat="false" ht="23.85" hidden="false" customHeight="false" outlineLevel="0" collapsed="false">
      <c r="A319" s="6" t="s">
        <v>2336</v>
      </c>
      <c r="B319" s="6" t="n">
        <v>235</v>
      </c>
      <c r="C319" s="6" t="s">
        <v>1657</v>
      </c>
      <c r="D319" s="6" t="s">
        <v>1279</v>
      </c>
      <c r="E319" s="6" t="s">
        <v>2337</v>
      </c>
      <c r="F319" s="6" t="s">
        <v>2338</v>
      </c>
      <c r="G319" s="6" t="s">
        <v>2339</v>
      </c>
      <c r="H319" s="6" t="s">
        <v>1377</v>
      </c>
      <c r="I319" s="6"/>
      <c r="J319" s="6" t="n">
        <v>0.8</v>
      </c>
      <c r="K319" s="6" t="n">
        <v>0.8</v>
      </c>
      <c r="L319" s="6" t="n">
        <v>0.64</v>
      </c>
    </row>
    <row r="320" customFormat="false" ht="23.85" hidden="false" customHeight="false" outlineLevel="0" collapsed="false">
      <c r="A320" s="6" t="s">
        <v>2340</v>
      </c>
      <c r="B320" s="6" t="n">
        <v>236</v>
      </c>
      <c r="C320" s="6" t="s">
        <v>1657</v>
      </c>
      <c r="D320" s="6" t="s">
        <v>1279</v>
      </c>
      <c r="E320" s="6" t="s">
        <v>2337</v>
      </c>
      <c r="F320" s="6" t="s">
        <v>2338</v>
      </c>
      <c r="G320" s="6" t="s">
        <v>2339</v>
      </c>
      <c r="H320" s="6" t="s">
        <v>1377</v>
      </c>
      <c r="I320" s="6"/>
      <c r="J320" s="6" t="n">
        <v>0.8</v>
      </c>
      <c r="K320" s="6" t="n">
        <v>0.8</v>
      </c>
      <c r="L320" s="6" t="n">
        <v>0.64</v>
      </c>
    </row>
    <row r="321" customFormat="false" ht="23.85" hidden="false" customHeight="false" outlineLevel="0" collapsed="false">
      <c r="A321" s="6" t="s">
        <v>2341</v>
      </c>
      <c r="B321" s="6" t="n">
        <v>236</v>
      </c>
      <c r="C321" s="6" t="s">
        <v>1323</v>
      </c>
      <c r="D321" s="6" t="s">
        <v>1279</v>
      </c>
      <c r="E321" s="6" t="s">
        <v>2342</v>
      </c>
      <c r="F321" s="6" t="s">
        <v>2343</v>
      </c>
      <c r="G321" s="6" t="s">
        <v>2344</v>
      </c>
      <c r="H321" s="6" t="s">
        <v>1377</v>
      </c>
      <c r="I321" s="6"/>
      <c r="J321" s="6" t="n">
        <v>0.8</v>
      </c>
      <c r="K321" s="6" t="n">
        <v>0.8</v>
      </c>
      <c r="L321" s="6" t="n">
        <v>0.64</v>
      </c>
    </row>
    <row r="322" customFormat="false" ht="23.85" hidden="false" customHeight="false" outlineLevel="0" collapsed="false">
      <c r="A322" s="6" t="s">
        <v>2345</v>
      </c>
      <c r="B322" s="6" t="n">
        <v>237</v>
      </c>
      <c r="C322" s="6" t="s">
        <v>1648</v>
      </c>
      <c r="D322" s="6" t="s">
        <v>1279</v>
      </c>
      <c r="E322" s="6" t="s">
        <v>2346</v>
      </c>
      <c r="F322" s="6" t="s">
        <v>2347</v>
      </c>
      <c r="G322" s="6" t="s">
        <v>2348</v>
      </c>
      <c r="H322" s="6" t="s">
        <v>1377</v>
      </c>
      <c r="I322" s="6"/>
      <c r="J322" s="6" t="n">
        <v>0.8</v>
      </c>
      <c r="K322" s="6" t="n">
        <v>0.8</v>
      </c>
      <c r="L322" s="6" t="n">
        <v>0.64</v>
      </c>
    </row>
    <row r="323" customFormat="false" ht="23.85" hidden="false" customHeight="false" outlineLevel="0" collapsed="false">
      <c r="A323" s="6" t="s">
        <v>2349</v>
      </c>
      <c r="B323" s="6" t="n">
        <v>238</v>
      </c>
      <c r="C323" s="6" t="s">
        <v>1323</v>
      </c>
      <c r="D323" s="6" t="s">
        <v>1279</v>
      </c>
      <c r="E323" s="6" t="s">
        <v>2350</v>
      </c>
      <c r="F323" s="6" t="s">
        <v>2351</v>
      </c>
      <c r="G323" s="6" t="s">
        <v>2352</v>
      </c>
      <c r="H323" s="6" t="s">
        <v>1377</v>
      </c>
      <c r="I323" s="6"/>
      <c r="J323" s="6" t="n">
        <v>0.8</v>
      </c>
      <c r="K323" s="6" t="n">
        <v>0.8</v>
      </c>
      <c r="L323" s="6" t="n">
        <v>0.64</v>
      </c>
    </row>
    <row r="324" customFormat="false" ht="23.85" hidden="false" customHeight="false" outlineLevel="0" collapsed="false">
      <c r="A324" s="6" t="s">
        <v>2353</v>
      </c>
      <c r="B324" s="6" t="n">
        <v>239</v>
      </c>
      <c r="C324" s="6" t="s">
        <v>1327</v>
      </c>
      <c r="D324" s="6" t="s">
        <v>1279</v>
      </c>
      <c r="E324" s="6" t="s">
        <v>2354</v>
      </c>
      <c r="F324" s="6" t="s">
        <v>2355</v>
      </c>
      <c r="G324" s="6" t="s">
        <v>2356</v>
      </c>
      <c r="H324" s="6" t="s">
        <v>1377</v>
      </c>
      <c r="I324" s="6"/>
      <c r="J324" s="6" t="n">
        <v>0.8</v>
      </c>
      <c r="K324" s="6" t="n">
        <v>0.8</v>
      </c>
      <c r="L324" s="6" t="n">
        <v>0.64</v>
      </c>
    </row>
    <row r="325" customFormat="false" ht="23.85" hidden="false" customHeight="false" outlineLevel="0" collapsed="false">
      <c r="A325" s="6" t="s">
        <v>2357</v>
      </c>
      <c r="B325" s="6" t="n">
        <v>239</v>
      </c>
      <c r="C325" s="6" t="s">
        <v>1323</v>
      </c>
      <c r="D325" s="6" t="s">
        <v>1279</v>
      </c>
      <c r="E325" s="6" t="s">
        <v>2358</v>
      </c>
      <c r="F325" s="6" t="s">
        <v>2359</v>
      </c>
      <c r="G325" s="6" t="s">
        <v>2360</v>
      </c>
      <c r="H325" s="6" t="s">
        <v>1377</v>
      </c>
      <c r="I325" s="6"/>
      <c r="J325" s="6" t="n">
        <v>0.8</v>
      </c>
      <c r="K325" s="6" t="n">
        <v>0.8</v>
      </c>
      <c r="L325" s="6" t="n">
        <v>0.64</v>
      </c>
    </row>
    <row r="326" customFormat="false" ht="23.85" hidden="false" customHeight="false" outlineLevel="0" collapsed="false">
      <c r="A326" s="6" t="s">
        <v>2361</v>
      </c>
      <c r="B326" s="6" t="n">
        <v>240</v>
      </c>
      <c r="C326" s="6" t="s">
        <v>1939</v>
      </c>
      <c r="D326" s="6" t="s">
        <v>1279</v>
      </c>
      <c r="E326" s="6" t="s">
        <v>2362</v>
      </c>
      <c r="F326" s="6" t="s">
        <v>2363</v>
      </c>
      <c r="G326" s="6" t="s">
        <v>2364</v>
      </c>
      <c r="H326" s="6" t="s">
        <v>1377</v>
      </c>
      <c r="I326" s="6"/>
      <c r="J326" s="6" t="n">
        <v>0.8</v>
      </c>
      <c r="K326" s="6" t="n">
        <v>0.8</v>
      </c>
      <c r="L326" s="6" t="n">
        <v>0.64</v>
      </c>
    </row>
    <row r="327" customFormat="false" ht="23.85" hidden="false" customHeight="false" outlineLevel="0" collapsed="false">
      <c r="A327" s="6" t="s">
        <v>2365</v>
      </c>
      <c r="B327" s="6" t="n">
        <v>240</v>
      </c>
      <c r="C327" s="6" t="s">
        <v>2248</v>
      </c>
      <c r="D327" s="6" t="s">
        <v>1279</v>
      </c>
      <c r="E327" s="6" t="s">
        <v>2366</v>
      </c>
      <c r="F327" s="6" t="s">
        <v>2363</v>
      </c>
      <c r="G327" s="6" t="s">
        <v>2367</v>
      </c>
      <c r="H327" s="6" t="s">
        <v>1377</v>
      </c>
      <c r="I327" s="6"/>
      <c r="J327" s="6" t="n">
        <v>0.8</v>
      </c>
      <c r="K327" s="6" t="n">
        <v>0.8</v>
      </c>
      <c r="L327" s="6" t="n">
        <v>0.64</v>
      </c>
    </row>
    <row r="328" customFormat="false" ht="23.85" hidden="false" customHeight="false" outlineLevel="0" collapsed="false">
      <c r="A328" s="6" t="s">
        <v>2368</v>
      </c>
      <c r="B328" s="6" t="n">
        <v>241</v>
      </c>
      <c r="C328" s="6" t="s">
        <v>1939</v>
      </c>
      <c r="D328" s="6" t="s">
        <v>1279</v>
      </c>
      <c r="E328" s="6" t="s">
        <v>2369</v>
      </c>
      <c r="F328" s="6" t="s">
        <v>2370</v>
      </c>
      <c r="G328" s="6" t="s">
        <v>2371</v>
      </c>
      <c r="H328" s="6" t="s">
        <v>1283</v>
      </c>
      <c r="I328" s="6"/>
      <c r="J328" s="6" t="n">
        <v>0.8</v>
      </c>
      <c r="K328" s="6" t="n">
        <v>1</v>
      </c>
      <c r="L328" s="6" t="n">
        <v>0.8</v>
      </c>
    </row>
    <row r="329" customFormat="false" ht="23.85" hidden="false" customHeight="false" outlineLevel="0" collapsed="false">
      <c r="A329" s="6" t="s">
        <v>2372</v>
      </c>
      <c r="B329" s="6" t="n">
        <v>242</v>
      </c>
      <c r="C329" s="6" t="s">
        <v>1323</v>
      </c>
      <c r="D329" s="6" t="s">
        <v>1279</v>
      </c>
      <c r="E329" s="6" t="s">
        <v>2373</v>
      </c>
      <c r="F329" s="6" t="s">
        <v>2374</v>
      </c>
      <c r="G329" s="6" t="s">
        <v>2375</v>
      </c>
      <c r="H329" s="6" t="s">
        <v>1377</v>
      </c>
      <c r="I329" s="6"/>
      <c r="J329" s="6" t="n">
        <v>0.8</v>
      </c>
      <c r="K329" s="6" t="n">
        <v>0.8</v>
      </c>
      <c r="L329" s="6" t="n">
        <v>0.64</v>
      </c>
    </row>
    <row r="330" customFormat="false" ht="23.85" hidden="false" customHeight="false" outlineLevel="0" collapsed="false">
      <c r="A330" s="6" t="s">
        <v>2376</v>
      </c>
      <c r="B330" s="6" t="n">
        <v>243</v>
      </c>
      <c r="C330" s="6" t="s">
        <v>1323</v>
      </c>
      <c r="D330" s="6" t="s">
        <v>1279</v>
      </c>
      <c r="E330" s="6" t="s">
        <v>2377</v>
      </c>
      <c r="F330" s="6" t="s">
        <v>2378</v>
      </c>
      <c r="G330" s="6" t="s">
        <v>2379</v>
      </c>
      <c r="H330" s="6" t="s">
        <v>1377</v>
      </c>
      <c r="I330" s="6"/>
      <c r="J330" s="6" t="n">
        <v>0.8</v>
      </c>
      <c r="K330" s="6" t="n">
        <v>0.8</v>
      </c>
      <c r="L330" s="6" t="n">
        <v>0.64</v>
      </c>
    </row>
    <row r="331" customFormat="false" ht="23.85" hidden="false" customHeight="false" outlineLevel="0" collapsed="false">
      <c r="A331" s="6" t="s">
        <v>2380</v>
      </c>
      <c r="B331" s="6" t="n">
        <v>244</v>
      </c>
      <c r="C331" s="6" t="s">
        <v>2381</v>
      </c>
      <c r="D331" s="6" t="s">
        <v>1279</v>
      </c>
      <c r="E331" s="6" t="s">
        <v>2382</v>
      </c>
      <c r="F331" s="6" t="s">
        <v>2383</v>
      </c>
      <c r="G331" s="6" t="s">
        <v>2384</v>
      </c>
      <c r="H331" s="6" t="s">
        <v>1377</v>
      </c>
      <c r="I331" s="6"/>
      <c r="J331" s="6" t="n">
        <v>0.8</v>
      </c>
      <c r="K331" s="6" t="n">
        <v>0.8</v>
      </c>
      <c r="L331" s="6" t="n">
        <v>0.64</v>
      </c>
    </row>
    <row r="332" customFormat="false" ht="23.85" hidden="false" customHeight="false" outlineLevel="0" collapsed="false">
      <c r="A332" s="6" t="s">
        <v>2385</v>
      </c>
      <c r="B332" s="6" t="n">
        <v>245</v>
      </c>
      <c r="C332" s="6" t="s">
        <v>1323</v>
      </c>
      <c r="D332" s="6" t="s">
        <v>1279</v>
      </c>
      <c r="E332" s="6" t="s">
        <v>2386</v>
      </c>
      <c r="F332" s="6" t="s">
        <v>2387</v>
      </c>
      <c r="G332" s="6" t="s">
        <v>2388</v>
      </c>
      <c r="H332" s="6" t="s">
        <v>1377</v>
      </c>
      <c r="I332" s="6"/>
      <c r="J332" s="6" t="n">
        <v>0.8</v>
      </c>
      <c r="K332" s="6" t="n">
        <v>0.8</v>
      </c>
      <c r="L332" s="6" t="n">
        <v>0.64</v>
      </c>
    </row>
    <row r="333" customFormat="false" ht="23.85" hidden="false" customHeight="false" outlineLevel="0" collapsed="false">
      <c r="A333" s="6" t="s">
        <v>2389</v>
      </c>
      <c r="B333" s="6" t="n">
        <v>246</v>
      </c>
      <c r="C333" s="6" t="s">
        <v>1323</v>
      </c>
      <c r="D333" s="6" t="s">
        <v>1279</v>
      </c>
      <c r="E333" s="6" t="s">
        <v>2390</v>
      </c>
      <c r="F333" s="6" t="s">
        <v>2391</v>
      </c>
      <c r="G333" s="6" t="s">
        <v>2392</v>
      </c>
      <c r="H333" s="6" t="s">
        <v>1377</v>
      </c>
      <c r="I333" s="6"/>
      <c r="J333" s="6" t="n">
        <v>0.8</v>
      </c>
      <c r="K333" s="6" t="n">
        <v>0.8</v>
      </c>
      <c r="L333" s="6" t="n">
        <v>0.64</v>
      </c>
    </row>
    <row r="334" customFormat="false" ht="15" hidden="false" customHeight="false" outlineLevel="0" collapsed="false">
      <c r="A334" s="6" t="s">
        <v>2393</v>
      </c>
      <c r="B334" s="6" t="n">
        <v>246</v>
      </c>
      <c r="C334" s="6" t="s">
        <v>1447</v>
      </c>
      <c r="D334" s="6" t="s">
        <v>1279</v>
      </c>
      <c r="E334" s="6" t="s">
        <v>2394</v>
      </c>
      <c r="F334" s="6" t="s">
        <v>2391</v>
      </c>
      <c r="G334" s="6" t="s">
        <v>2395</v>
      </c>
      <c r="H334" s="6" t="s">
        <v>1377</v>
      </c>
      <c r="I334" s="6"/>
      <c r="J334" s="6" t="n">
        <v>0.8</v>
      </c>
      <c r="K334" s="6" t="n">
        <v>0.8</v>
      </c>
      <c r="L334" s="6" t="n">
        <v>0.64</v>
      </c>
    </row>
    <row r="335" customFormat="false" ht="23.85" hidden="false" customHeight="false" outlineLevel="0" collapsed="false">
      <c r="A335" s="6" t="s">
        <v>2396</v>
      </c>
      <c r="B335" s="6" t="n">
        <v>247</v>
      </c>
      <c r="C335" s="6" t="s">
        <v>1323</v>
      </c>
      <c r="D335" s="6" t="s">
        <v>1279</v>
      </c>
      <c r="E335" s="6" t="s">
        <v>2397</v>
      </c>
      <c r="F335" s="6" t="s">
        <v>2398</v>
      </c>
      <c r="G335" s="6" t="s">
        <v>2399</v>
      </c>
      <c r="H335" s="6" t="s">
        <v>1377</v>
      </c>
      <c r="I335" s="6"/>
      <c r="J335" s="6" t="n">
        <v>0.8</v>
      </c>
      <c r="K335" s="6" t="n">
        <v>0.8</v>
      </c>
      <c r="L335" s="6" t="n">
        <v>0.64</v>
      </c>
    </row>
    <row r="336" customFormat="false" ht="23.85" hidden="false" customHeight="false" outlineLevel="0" collapsed="false">
      <c r="A336" s="6" t="s">
        <v>2400</v>
      </c>
      <c r="B336" s="6" t="n">
        <v>248</v>
      </c>
      <c r="C336" s="6" t="s">
        <v>1323</v>
      </c>
      <c r="D336" s="6" t="s">
        <v>1279</v>
      </c>
      <c r="E336" s="6" t="s">
        <v>2401</v>
      </c>
      <c r="F336" s="6" t="s">
        <v>2402</v>
      </c>
      <c r="G336" s="6" t="s">
        <v>2403</v>
      </c>
      <c r="H336" s="6" t="s">
        <v>1377</v>
      </c>
      <c r="I336" s="6"/>
      <c r="J336" s="6" t="n">
        <v>0.8</v>
      </c>
      <c r="K336" s="6" t="n">
        <v>0.8</v>
      </c>
      <c r="L336" s="6" t="n">
        <v>0.64</v>
      </c>
    </row>
    <row r="337" customFormat="false" ht="23.85" hidden="false" customHeight="false" outlineLevel="0" collapsed="false">
      <c r="A337" s="6" t="s">
        <v>2404</v>
      </c>
      <c r="B337" s="6" t="n">
        <v>248</v>
      </c>
      <c r="C337" s="6" t="s">
        <v>1447</v>
      </c>
      <c r="D337" s="6" t="s">
        <v>1279</v>
      </c>
      <c r="E337" s="6" t="s">
        <v>2405</v>
      </c>
      <c r="F337" s="6" t="s">
        <v>2402</v>
      </c>
      <c r="G337" s="6" t="s">
        <v>2406</v>
      </c>
      <c r="H337" s="6" t="s">
        <v>1377</v>
      </c>
      <c r="I337" s="6"/>
      <c r="J337" s="6" t="n">
        <v>0.8</v>
      </c>
      <c r="K337" s="6" t="n">
        <v>0.8</v>
      </c>
      <c r="L337" s="6" t="n">
        <v>0.64</v>
      </c>
    </row>
    <row r="338" customFormat="false" ht="23.85" hidden="false" customHeight="false" outlineLevel="0" collapsed="false">
      <c r="A338" s="6" t="s">
        <v>2407</v>
      </c>
      <c r="B338" s="6" t="n">
        <v>249</v>
      </c>
      <c r="C338" s="6" t="s">
        <v>1323</v>
      </c>
      <c r="D338" s="6" t="s">
        <v>1279</v>
      </c>
      <c r="E338" s="6" t="s">
        <v>2408</v>
      </c>
      <c r="F338" s="6" t="s">
        <v>2409</v>
      </c>
      <c r="G338" s="6" t="s">
        <v>2410</v>
      </c>
      <c r="H338" s="6" t="s">
        <v>1377</v>
      </c>
      <c r="I338" s="6"/>
      <c r="J338" s="6" t="n">
        <v>0.8</v>
      </c>
      <c r="K338" s="6" t="n">
        <v>0.8</v>
      </c>
      <c r="L338" s="6" t="n">
        <v>0.64</v>
      </c>
    </row>
    <row r="339" customFormat="false" ht="23.85" hidden="false" customHeight="false" outlineLevel="0" collapsed="false">
      <c r="A339" s="6" t="s">
        <v>2411</v>
      </c>
      <c r="B339" s="6" t="n">
        <v>250</v>
      </c>
      <c r="C339" s="6" t="s">
        <v>1323</v>
      </c>
      <c r="D339" s="6" t="s">
        <v>1279</v>
      </c>
      <c r="E339" s="6" t="s">
        <v>2408</v>
      </c>
      <c r="F339" s="6" t="s">
        <v>2409</v>
      </c>
      <c r="G339" s="6" t="s">
        <v>2410</v>
      </c>
      <c r="H339" s="6" t="s">
        <v>1377</v>
      </c>
      <c r="I339" s="6"/>
      <c r="J339" s="6" t="n">
        <v>0.8</v>
      </c>
      <c r="K339" s="6" t="n">
        <v>0.8</v>
      </c>
      <c r="L339" s="6" t="n">
        <v>0.64</v>
      </c>
    </row>
    <row r="340" customFormat="false" ht="23.85" hidden="false" customHeight="false" outlineLevel="0" collapsed="false">
      <c r="A340" s="6" t="s">
        <v>2412</v>
      </c>
      <c r="B340" s="6" t="n">
        <v>251</v>
      </c>
      <c r="C340" s="6" t="s">
        <v>2413</v>
      </c>
      <c r="D340" s="6" t="s">
        <v>1279</v>
      </c>
      <c r="E340" s="6" t="s">
        <v>2414</v>
      </c>
      <c r="F340" s="6" t="s">
        <v>2415</v>
      </c>
      <c r="G340" s="6" t="s">
        <v>2416</v>
      </c>
      <c r="H340" s="6" t="s">
        <v>1377</v>
      </c>
      <c r="I340" s="6"/>
      <c r="J340" s="6" t="n">
        <v>0.8</v>
      </c>
      <c r="K340" s="6" t="n">
        <v>0.8</v>
      </c>
      <c r="L340" s="6" t="n">
        <v>0.64</v>
      </c>
    </row>
    <row r="341" customFormat="false" ht="23.85" hidden="false" customHeight="false" outlineLevel="0" collapsed="false">
      <c r="A341" s="6" t="s">
        <v>2417</v>
      </c>
      <c r="B341" s="6" t="n">
        <v>252</v>
      </c>
      <c r="C341" s="6" t="s">
        <v>1323</v>
      </c>
      <c r="D341" s="6" t="s">
        <v>1279</v>
      </c>
      <c r="E341" s="6" t="s">
        <v>2418</v>
      </c>
      <c r="F341" s="6" t="s">
        <v>2419</v>
      </c>
      <c r="G341" s="6" t="s">
        <v>2420</v>
      </c>
      <c r="H341" s="6" t="s">
        <v>1377</v>
      </c>
      <c r="I341" s="6"/>
      <c r="J341" s="6" t="n">
        <v>0.8</v>
      </c>
      <c r="K341" s="6" t="n">
        <v>0.8</v>
      </c>
      <c r="L341" s="6" t="n">
        <v>0.64</v>
      </c>
    </row>
    <row r="342" customFormat="false" ht="23.85" hidden="false" customHeight="false" outlineLevel="0" collapsed="false">
      <c r="A342" s="6" t="s">
        <v>2421</v>
      </c>
      <c r="B342" s="6" t="n">
        <v>253</v>
      </c>
      <c r="C342" s="6" t="s">
        <v>1323</v>
      </c>
      <c r="D342" s="6" t="s">
        <v>1279</v>
      </c>
      <c r="E342" s="6" t="s">
        <v>2422</v>
      </c>
      <c r="F342" s="6" t="s">
        <v>2423</v>
      </c>
      <c r="G342" s="6" t="s">
        <v>2424</v>
      </c>
      <c r="H342" s="6" t="s">
        <v>1377</v>
      </c>
      <c r="I342" s="6"/>
      <c r="J342" s="6" t="n">
        <v>0.8</v>
      </c>
      <c r="K342" s="6" t="n">
        <v>0.8</v>
      </c>
      <c r="L342" s="6" t="n">
        <v>0.64</v>
      </c>
    </row>
    <row r="343" customFormat="false" ht="23.85" hidden="false" customHeight="false" outlineLevel="0" collapsed="false">
      <c r="A343" s="6" t="s">
        <v>2425</v>
      </c>
      <c r="B343" s="6" t="n">
        <v>254</v>
      </c>
      <c r="C343" s="6" t="s">
        <v>1323</v>
      </c>
      <c r="D343" s="6" t="s">
        <v>1279</v>
      </c>
      <c r="E343" s="6" t="s">
        <v>2422</v>
      </c>
      <c r="F343" s="6" t="s">
        <v>2423</v>
      </c>
      <c r="G343" s="6" t="s">
        <v>2424</v>
      </c>
      <c r="H343" s="6" t="s">
        <v>1377</v>
      </c>
      <c r="I343" s="6"/>
      <c r="J343" s="6" t="n">
        <v>0.8</v>
      </c>
      <c r="K343" s="6" t="n">
        <v>0.8</v>
      </c>
      <c r="L343" s="6" t="n">
        <v>0.64</v>
      </c>
    </row>
    <row r="344" customFormat="false" ht="23.85" hidden="false" customHeight="false" outlineLevel="0" collapsed="false">
      <c r="A344" s="6" t="s">
        <v>2426</v>
      </c>
      <c r="B344" s="6" t="n">
        <v>255</v>
      </c>
      <c r="C344" s="6" t="s">
        <v>1323</v>
      </c>
      <c r="D344" s="6" t="s">
        <v>1279</v>
      </c>
      <c r="E344" s="6" t="s">
        <v>2427</v>
      </c>
      <c r="F344" s="6" t="s">
        <v>2428</v>
      </c>
      <c r="G344" s="6" t="s">
        <v>2429</v>
      </c>
      <c r="H344" s="6" t="s">
        <v>1377</v>
      </c>
      <c r="I344" s="6"/>
      <c r="J344" s="6" t="n">
        <v>0.8</v>
      </c>
      <c r="K344" s="6" t="n">
        <v>0.8</v>
      </c>
      <c r="L344" s="6" t="n">
        <v>0.64</v>
      </c>
    </row>
    <row r="345" customFormat="false" ht="23.85" hidden="false" customHeight="false" outlineLevel="0" collapsed="false">
      <c r="A345" s="6" t="s">
        <v>2430</v>
      </c>
      <c r="B345" s="6" t="n">
        <v>255</v>
      </c>
      <c r="C345" s="6" t="s">
        <v>1323</v>
      </c>
      <c r="D345" s="6" t="s">
        <v>1279</v>
      </c>
      <c r="E345" s="6" t="s">
        <v>2431</v>
      </c>
      <c r="F345" s="6" t="s">
        <v>2428</v>
      </c>
      <c r="G345" s="6" t="s">
        <v>2432</v>
      </c>
      <c r="H345" s="6" t="s">
        <v>1377</v>
      </c>
      <c r="I345" s="6"/>
      <c r="J345" s="6" t="n">
        <v>0.8</v>
      </c>
      <c r="K345" s="6" t="n">
        <v>0.8</v>
      </c>
      <c r="L345" s="6" t="n">
        <v>0.64</v>
      </c>
    </row>
    <row r="346" customFormat="false" ht="23.85" hidden="false" customHeight="false" outlineLevel="0" collapsed="false">
      <c r="A346" s="6" t="s">
        <v>2433</v>
      </c>
      <c r="B346" s="6" t="n">
        <v>256</v>
      </c>
      <c r="C346" s="6" t="s">
        <v>1323</v>
      </c>
      <c r="D346" s="6" t="s">
        <v>1279</v>
      </c>
      <c r="E346" s="6" t="s">
        <v>2434</v>
      </c>
      <c r="F346" s="6" t="s">
        <v>2435</v>
      </c>
      <c r="G346" s="6" t="s">
        <v>2436</v>
      </c>
      <c r="H346" s="6" t="s">
        <v>1283</v>
      </c>
      <c r="I346" s="6"/>
      <c r="J346" s="6" t="n">
        <v>0.8</v>
      </c>
      <c r="K346" s="6" t="n">
        <v>1</v>
      </c>
      <c r="L346" s="6" t="n">
        <v>0.8</v>
      </c>
    </row>
    <row r="347" customFormat="false" ht="23.85" hidden="false" customHeight="false" outlineLevel="0" collapsed="false">
      <c r="A347" s="6" t="s">
        <v>2437</v>
      </c>
      <c r="B347" s="6" t="n">
        <v>257</v>
      </c>
      <c r="C347" s="6" t="s">
        <v>1323</v>
      </c>
      <c r="D347" s="6" t="s">
        <v>1279</v>
      </c>
      <c r="E347" s="6" t="s">
        <v>2434</v>
      </c>
      <c r="F347" s="6" t="s">
        <v>2435</v>
      </c>
      <c r="G347" s="6" t="s">
        <v>2436</v>
      </c>
      <c r="H347" s="6" t="s">
        <v>1283</v>
      </c>
      <c r="I347" s="6"/>
      <c r="J347" s="6" t="n">
        <v>0.8</v>
      </c>
      <c r="K347" s="6" t="n">
        <v>1</v>
      </c>
      <c r="L347" s="6" t="n">
        <v>0.8</v>
      </c>
    </row>
    <row r="348" customFormat="false" ht="23.85" hidden="false" customHeight="false" outlineLevel="0" collapsed="false">
      <c r="A348" s="6" t="s">
        <v>2438</v>
      </c>
      <c r="B348" s="6" t="n">
        <v>257</v>
      </c>
      <c r="C348" s="6" t="s">
        <v>1323</v>
      </c>
      <c r="D348" s="6" t="s">
        <v>1279</v>
      </c>
      <c r="E348" s="6" t="s">
        <v>2439</v>
      </c>
      <c r="F348" s="6" t="s">
        <v>2435</v>
      </c>
      <c r="G348" s="6" t="s">
        <v>2440</v>
      </c>
      <c r="H348" s="6" t="s">
        <v>1377</v>
      </c>
      <c r="I348" s="6"/>
      <c r="J348" s="6" t="n">
        <v>0.8</v>
      </c>
      <c r="K348" s="6" t="n">
        <v>0.8</v>
      </c>
      <c r="L348" s="6" t="n">
        <v>0.64</v>
      </c>
    </row>
    <row r="349" customFormat="false" ht="23.85" hidden="false" customHeight="false" outlineLevel="0" collapsed="false">
      <c r="A349" s="6" t="s">
        <v>2441</v>
      </c>
      <c r="B349" s="6" t="n">
        <v>258</v>
      </c>
      <c r="C349" s="6" t="s">
        <v>1323</v>
      </c>
      <c r="D349" s="6" t="s">
        <v>1279</v>
      </c>
      <c r="E349" s="6" t="s">
        <v>2442</v>
      </c>
      <c r="F349" s="6" t="s">
        <v>2443</v>
      </c>
      <c r="G349" s="6" t="s">
        <v>2444</v>
      </c>
      <c r="H349" s="6" t="s">
        <v>1377</v>
      </c>
      <c r="I349" s="6"/>
      <c r="J349" s="6" t="n">
        <v>0.8</v>
      </c>
      <c r="K349" s="6" t="n">
        <v>0.8</v>
      </c>
      <c r="L349" s="6" t="n">
        <v>0.64</v>
      </c>
    </row>
    <row r="350" customFormat="false" ht="23.85" hidden="false" customHeight="false" outlineLevel="0" collapsed="false">
      <c r="A350" s="6" t="s">
        <v>2445</v>
      </c>
      <c r="B350" s="6" t="n">
        <v>259</v>
      </c>
      <c r="C350" s="6" t="s">
        <v>1323</v>
      </c>
      <c r="D350" s="6" t="s">
        <v>1279</v>
      </c>
      <c r="E350" s="6" t="s">
        <v>2446</v>
      </c>
      <c r="F350" s="6" t="s">
        <v>2447</v>
      </c>
      <c r="G350" s="6" t="s">
        <v>2448</v>
      </c>
      <c r="H350" s="6" t="s">
        <v>1377</v>
      </c>
      <c r="I350" s="6"/>
      <c r="J350" s="6" t="n">
        <v>0.8</v>
      </c>
      <c r="K350" s="6" t="n">
        <v>0.8</v>
      </c>
      <c r="L350" s="6" t="n">
        <v>0.64</v>
      </c>
    </row>
    <row r="351" customFormat="false" ht="23.85" hidden="false" customHeight="false" outlineLevel="0" collapsed="false">
      <c r="A351" s="6" t="s">
        <v>2449</v>
      </c>
      <c r="B351" s="6" t="n">
        <v>260</v>
      </c>
      <c r="C351" s="6" t="s">
        <v>1323</v>
      </c>
      <c r="D351" s="6" t="s">
        <v>1279</v>
      </c>
      <c r="E351" s="6" t="s">
        <v>2450</v>
      </c>
      <c r="F351" s="6" t="s">
        <v>2451</v>
      </c>
      <c r="G351" s="6" t="s">
        <v>2452</v>
      </c>
      <c r="H351" s="6" t="s">
        <v>1377</v>
      </c>
      <c r="I351" s="6"/>
      <c r="J351" s="6" t="n">
        <v>0.8</v>
      </c>
      <c r="K351" s="6" t="n">
        <v>0.8</v>
      </c>
      <c r="L351" s="6" t="n">
        <v>0.64</v>
      </c>
    </row>
    <row r="352" customFormat="false" ht="23.85" hidden="false" customHeight="false" outlineLevel="0" collapsed="false">
      <c r="A352" s="6" t="s">
        <v>2453</v>
      </c>
      <c r="B352" s="6" t="n">
        <v>261</v>
      </c>
      <c r="C352" s="6" t="s">
        <v>1323</v>
      </c>
      <c r="D352" s="6" t="s">
        <v>1279</v>
      </c>
      <c r="E352" s="6" t="s">
        <v>2454</v>
      </c>
      <c r="F352" s="6" t="s">
        <v>2455</v>
      </c>
      <c r="G352" s="6" t="s">
        <v>2456</v>
      </c>
      <c r="H352" s="6" t="s">
        <v>1377</v>
      </c>
      <c r="I352" s="6"/>
      <c r="J352" s="6" t="n">
        <v>0.8</v>
      </c>
      <c r="K352" s="6" t="n">
        <v>0.8</v>
      </c>
      <c r="L352" s="6" t="n">
        <v>0.64</v>
      </c>
    </row>
    <row r="353" customFormat="false" ht="23.85" hidden="false" customHeight="false" outlineLevel="0" collapsed="false">
      <c r="A353" s="6" t="s">
        <v>2457</v>
      </c>
      <c r="B353" s="6" t="n">
        <v>262</v>
      </c>
      <c r="C353" s="6" t="s">
        <v>2458</v>
      </c>
      <c r="D353" s="6" t="s">
        <v>1279</v>
      </c>
      <c r="E353" s="6" t="s">
        <v>2459</v>
      </c>
      <c r="F353" s="6" t="s">
        <v>2460</v>
      </c>
      <c r="G353" s="6" t="s">
        <v>2461</v>
      </c>
      <c r="H353" s="6" t="s">
        <v>1377</v>
      </c>
      <c r="I353" s="6"/>
      <c r="J353" s="6" t="n">
        <v>0.8</v>
      </c>
      <c r="K353" s="6" t="n">
        <v>0.8</v>
      </c>
      <c r="L353" s="6" t="n">
        <v>0.64</v>
      </c>
    </row>
    <row r="354" customFormat="false" ht="23.85" hidden="false" customHeight="false" outlineLevel="0" collapsed="false">
      <c r="A354" s="6" t="s">
        <v>2462</v>
      </c>
      <c r="B354" s="6" t="n">
        <v>263</v>
      </c>
      <c r="C354" s="6" t="s">
        <v>1657</v>
      </c>
      <c r="D354" s="6" t="s">
        <v>1279</v>
      </c>
      <c r="E354" s="6" t="s">
        <v>2463</v>
      </c>
      <c r="F354" s="6" t="s">
        <v>2464</v>
      </c>
      <c r="G354" s="6" t="s">
        <v>2465</v>
      </c>
      <c r="H354" s="6" t="s">
        <v>1377</v>
      </c>
      <c r="I354" s="6"/>
      <c r="J354" s="6" t="n">
        <v>0.8</v>
      </c>
      <c r="K354" s="6" t="n">
        <v>0.8</v>
      </c>
      <c r="L354" s="6" t="n">
        <v>0.64</v>
      </c>
    </row>
    <row r="355" customFormat="false" ht="23.85" hidden="false" customHeight="false" outlineLevel="0" collapsed="false">
      <c r="A355" s="6" t="s">
        <v>2466</v>
      </c>
      <c r="B355" s="6" t="n">
        <v>263</v>
      </c>
      <c r="C355" s="6" t="s">
        <v>2467</v>
      </c>
      <c r="D355" s="6" t="s">
        <v>1279</v>
      </c>
      <c r="E355" s="6" t="s">
        <v>2468</v>
      </c>
      <c r="F355" s="6" t="s">
        <v>2464</v>
      </c>
      <c r="G355" s="6" t="s">
        <v>2469</v>
      </c>
      <c r="H355" s="6" t="s">
        <v>1377</v>
      </c>
      <c r="I355" s="6"/>
      <c r="J355" s="6" t="n">
        <v>0.8</v>
      </c>
      <c r="K355" s="6" t="n">
        <v>0.8</v>
      </c>
      <c r="L355" s="6" t="n">
        <v>0.64</v>
      </c>
    </row>
    <row r="356" customFormat="false" ht="23.85" hidden="false" customHeight="false" outlineLevel="0" collapsed="false">
      <c r="A356" s="6" t="s">
        <v>2470</v>
      </c>
      <c r="B356" s="6" t="n">
        <v>264</v>
      </c>
      <c r="C356" s="6" t="s">
        <v>1323</v>
      </c>
      <c r="D356" s="6" t="s">
        <v>1279</v>
      </c>
      <c r="E356" s="6" t="s">
        <v>2471</v>
      </c>
      <c r="F356" s="6" t="s">
        <v>2472</v>
      </c>
      <c r="G356" s="6" t="s">
        <v>2473</v>
      </c>
      <c r="H356" s="6" t="s">
        <v>1377</v>
      </c>
      <c r="I356" s="6"/>
      <c r="J356" s="6" t="n">
        <v>0.8</v>
      </c>
      <c r="K356" s="6" t="n">
        <v>0.8</v>
      </c>
      <c r="L356" s="6" t="n">
        <v>0.64</v>
      </c>
    </row>
    <row r="357" customFormat="false" ht="23.85" hidden="false" customHeight="false" outlineLevel="0" collapsed="false">
      <c r="A357" s="6" t="s">
        <v>2474</v>
      </c>
      <c r="B357" s="6" t="n">
        <v>264</v>
      </c>
      <c r="C357" s="6" t="s">
        <v>1309</v>
      </c>
      <c r="D357" s="6" t="s">
        <v>1279</v>
      </c>
      <c r="E357" s="6" t="s">
        <v>2475</v>
      </c>
      <c r="F357" s="6" t="s">
        <v>2472</v>
      </c>
      <c r="G357" s="6" t="s">
        <v>2476</v>
      </c>
      <c r="H357" s="6" t="s">
        <v>1283</v>
      </c>
      <c r="I357" s="6"/>
      <c r="J357" s="6" t="n">
        <v>0.8</v>
      </c>
      <c r="K357" s="6" t="n">
        <v>1</v>
      </c>
      <c r="L357" s="6" t="n">
        <v>0.8</v>
      </c>
    </row>
    <row r="358" customFormat="false" ht="23.85" hidden="false" customHeight="false" outlineLevel="0" collapsed="false">
      <c r="A358" s="6" t="s">
        <v>2477</v>
      </c>
      <c r="B358" s="6" t="n">
        <v>265</v>
      </c>
      <c r="C358" s="6" t="s">
        <v>2478</v>
      </c>
      <c r="D358" s="6" t="s">
        <v>1279</v>
      </c>
      <c r="E358" s="6" t="s">
        <v>2479</v>
      </c>
      <c r="F358" s="6" t="s">
        <v>2480</v>
      </c>
      <c r="G358" s="6" t="s">
        <v>2481</v>
      </c>
      <c r="H358" s="6" t="s">
        <v>1283</v>
      </c>
      <c r="I358" s="6"/>
      <c r="J358" s="6" t="n">
        <v>0.8</v>
      </c>
      <c r="K358" s="6" t="n">
        <v>1</v>
      </c>
      <c r="L358" s="6" t="n">
        <v>0.8</v>
      </c>
    </row>
    <row r="359" customFormat="false" ht="23.85" hidden="false" customHeight="false" outlineLevel="0" collapsed="false">
      <c r="A359" s="6" t="s">
        <v>2482</v>
      </c>
      <c r="B359" s="6" t="n">
        <v>265</v>
      </c>
      <c r="C359" s="6" t="s">
        <v>2483</v>
      </c>
      <c r="D359" s="6" t="s">
        <v>1662</v>
      </c>
      <c r="E359" s="6" t="s">
        <v>2484</v>
      </c>
      <c r="F359" s="6" t="s">
        <v>2485</v>
      </c>
      <c r="G359" s="6" t="s">
        <v>2486</v>
      </c>
      <c r="H359" s="6" t="s">
        <v>1283</v>
      </c>
      <c r="I359" s="6"/>
      <c r="J359" s="6" t="n">
        <v>0.8</v>
      </c>
      <c r="K359" s="6" t="n">
        <v>1</v>
      </c>
      <c r="L359" s="6" t="n">
        <v>0.8</v>
      </c>
    </row>
    <row r="361" customFormat="false" ht="15" hidden="false" customHeight="false" outlineLevel="0" collapsed="false">
      <c r="A361" s="14" t="s">
        <v>2487</v>
      </c>
    </row>
    <row r="362" customFormat="false" ht="23.85" hidden="false" customHeight="false" outlineLevel="0" collapsed="false">
      <c r="A362" s="6"/>
      <c r="B362" s="6" t="s">
        <v>2488</v>
      </c>
      <c r="C362" s="6" t="s">
        <v>1327</v>
      </c>
      <c r="D362" s="6" t="s">
        <v>1279</v>
      </c>
      <c r="E362" s="6" t="s">
        <v>2489</v>
      </c>
      <c r="F362" s="6" t="s">
        <v>1403</v>
      </c>
      <c r="G362" s="6" t="s">
        <v>2490</v>
      </c>
      <c r="H362" s="6" t="s">
        <v>1283</v>
      </c>
      <c r="I362" s="6"/>
    </row>
    <row r="363" customFormat="false" ht="23.85" hidden="false" customHeight="false" outlineLevel="0" collapsed="false">
      <c r="A363" s="6"/>
      <c r="B363" s="6" t="s">
        <v>2488</v>
      </c>
      <c r="C363" s="6" t="s">
        <v>2015</v>
      </c>
      <c r="D363" s="6" t="s">
        <v>1279</v>
      </c>
      <c r="E363" s="6" t="s">
        <v>2491</v>
      </c>
      <c r="F363" s="6" t="s">
        <v>1398</v>
      </c>
      <c r="G363" s="6" t="s">
        <v>2492</v>
      </c>
      <c r="H363" s="6" t="s">
        <v>1377</v>
      </c>
      <c r="I363" s="6"/>
    </row>
    <row r="364" customFormat="false" ht="23.85" hidden="false" customHeight="false" outlineLevel="0" collapsed="false">
      <c r="A364" s="6"/>
      <c r="B364" s="6" t="s">
        <v>2488</v>
      </c>
      <c r="C364" s="6" t="s">
        <v>2248</v>
      </c>
      <c r="D364" s="6" t="s">
        <v>1279</v>
      </c>
      <c r="E364" s="6" t="s">
        <v>2493</v>
      </c>
      <c r="F364" s="6" t="s">
        <v>1398</v>
      </c>
      <c r="G364" s="6" t="s">
        <v>2494</v>
      </c>
      <c r="H364" s="6" t="s">
        <v>1377</v>
      </c>
      <c r="I364" s="6"/>
    </row>
    <row r="365" customFormat="false" ht="23.85" hidden="false" customHeight="false" outlineLevel="0" collapsed="false">
      <c r="A365" s="6"/>
      <c r="B365" s="6" t="s">
        <v>2495</v>
      </c>
      <c r="C365" s="6" t="s">
        <v>1323</v>
      </c>
      <c r="D365" s="6" t="s">
        <v>1279</v>
      </c>
      <c r="E365" s="6" t="s">
        <v>2496</v>
      </c>
      <c r="F365" s="6" t="s">
        <v>1493</v>
      </c>
      <c r="G365" s="6" t="s">
        <v>2497</v>
      </c>
      <c r="H365" s="6" t="s">
        <v>1283</v>
      </c>
      <c r="I365" s="6"/>
    </row>
    <row r="366" customFormat="false" ht="23.85" hidden="false" customHeight="false" outlineLevel="0" collapsed="false">
      <c r="A366" s="6"/>
      <c r="B366" s="6" t="s">
        <v>2495</v>
      </c>
      <c r="C366" s="6" t="s">
        <v>2248</v>
      </c>
      <c r="D366" s="6" t="s">
        <v>1279</v>
      </c>
      <c r="E366" s="6" t="s">
        <v>2498</v>
      </c>
      <c r="F366" s="6" t="s">
        <v>1470</v>
      </c>
      <c r="G366" s="6" t="s">
        <v>2499</v>
      </c>
      <c r="H366" s="6" t="s">
        <v>1283</v>
      </c>
      <c r="I366" s="6"/>
    </row>
    <row r="367" customFormat="false" ht="23.85" hidden="false" customHeight="false" outlineLevel="0" collapsed="false">
      <c r="A367" s="6"/>
      <c r="B367" s="6" t="s">
        <v>2495</v>
      </c>
      <c r="C367" s="6" t="s">
        <v>1327</v>
      </c>
      <c r="D367" s="6" t="s">
        <v>1279</v>
      </c>
      <c r="E367" s="6" t="s">
        <v>2500</v>
      </c>
      <c r="F367" s="6" t="s">
        <v>1493</v>
      </c>
      <c r="G367" s="6" t="s">
        <v>2501</v>
      </c>
      <c r="H367" s="6" t="s">
        <v>1283</v>
      </c>
      <c r="I367" s="6"/>
    </row>
    <row r="368" customFormat="false" ht="23.85" hidden="false" customHeight="false" outlineLevel="0" collapsed="false">
      <c r="A368" s="6"/>
      <c r="B368" s="6" t="s">
        <v>2495</v>
      </c>
      <c r="C368" s="6" t="s">
        <v>1323</v>
      </c>
      <c r="D368" s="6" t="s">
        <v>1279</v>
      </c>
      <c r="E368" s="6" t="s">
        <v>2502</v>
      </c>
      <c r="F368" s="6" t="s">
        <v>2503</v>
      </c>
      <c r="G368" s="6" t="s">
        <v>2504</v>
      </c>
      <c r="H368" s="6" t="s">
        <v>1377</v>
      </c>
      <c r="I368" s="6"/>
    </row>
    <row r="369" customFormat="false" ht="23.85" hidden="false" customHeight="false" outlineLevel="0" collapsed="false">
      <c r="A369" s="6"/>
      <c r="B369" s="6" t="s">
        <v>2505</v>
      </c>
      <c r="C369" s="6" t="s">
        <v>1305</v>
      </c>
      <c r="D369" s="6" t="s">
        <v>1279</v>
      </c>
      <c r="E369" s="6" t="s">
        <v>1499</v>
      </c>
      <c r="F369" s="6" t="s">
        <v>1500</v>
      </c>
      <c r="G369" s="6" t="s">
        <v>1501</v>
      </c>
      <c r="H369" s="6" t="s">
        <v>1283</v>
      </c>
      <c r="I369" s="6"/>
    </row>
    <row r="370" customFormat="false" ht="23.85" hidden="false" customHeight="false" outlineLevel="0" collapsed="false">
      <c r="A370" s="6"/>
      <c r="B370" s="6" t="s">
        <v>2505</v>
      </c>
      <c r="C370" s="6" t="s">
        <v>1323</v>
      </c>
      <c r="D370" s="6" t="s">
        <v>1279</v>
      </c>
      <c r="E370" s="6" t="s">
        <v>2506</v>
      </c>
      <c r="F370" s="6" t="s">
        <v>1500</v>
      </c>
      <c r="G370" s="6" t="s">
        <v>2507</v>
      </c>
      <c r="H370" s="6" t="s">
        <v>1377</v>
      </c>
      <c r="I370" s="6"/>
    </row>
    <row r="371" customFormat="false" ht="23.85" hidden="false" customHeight="false" outlineLevel="0" collapsed="false">
      <c r="A371" s="6"/>
      <c r="B371" s="6" t="s">
        <v>2508</v>
      </c>
      <c r="C371" s="6" t="s">
        <v>1706</v>
      </c>
      <c r="D371" s="6" t="s">
        <v>1279</v>
      </c>
      <c r="E371" s="6" t="s">
        <v>2509</v>
      </c>
      <c r="F371" s="6" t="s">
        <v>1586</v>
      </c>
      <c r="G371" s="6" t="s">
        <v>2510</v>
      </c>
      <c r="H371" s="6" t="s">
        <v>1377</v>
      </c>
      <c r="I371" s="6"/>
    </row>
    <row r="372" customFormat="false" ht="23.85" hidden="false" customHeight="false" outlineLevel="0" collapsed="false">
      <c r="A372" s="6"/>
      <c r="B372" s="6" t="s">
        <v>2508</v>
      </c>
      <c r="C372" s="6" t="s">
        <v>1706</v>
      </c>
      <c r="D372" s="6" t="s">
        <v>1279</v>
      </c>
      <c r="E372" s="6" t="s">
        <v>2511</v>
      </c>
      <c r="F372" s="6" t="s">
        <v>1597</v>
      </c>
      <c r="G372" s="6" t="s">
        <v>2512</v>
      </c>
      <c r="H372" s="6" t="s">
        <v>1377</v>
      </c>
      <c r="I372" s="6"/>
    </row>
    <row r="373" customFormat="false" ht="23.85" hidden="false" customHeight="false" outlineLevel="0" collapsed="false">
      <c r="A373" s="6"/>
      <c r="B373" s="6" t="s">
        <v>2508</v>
      </c>
      <c r="C373" s="6" t="s">
        <v>1323</v>
      </c>
      <c r="D373" s="6" t="s">
        <v>1279</v>
      </c>
      <c r="E373" s="6" t="s">
        <v>2513</v>
      </c>
      <c r="F373" s="6" t="s">
        <v>1681</v>
      </c>
      <c r="G373" s="6" t="s">
        <v>2514</v>
      </c>
      <c r="H373" s="6" t="s">
        <v>1283</v>
      </c>
      <c r="I373" s="6"/>
    </row>
    <row r="374" customFormat="false" ht="23.85" hidden="false" customHeight="false" outlineLevel="0" collapsed="false">
      <c r="A374" s="6"/>
      <c r="B374" s="6" t="s">
        <v>2508</v>
      </c>
      <c r="C374" s="6" t="s">
        <v>1327</v>
      </c>
      <c r="D374" s="6" t="s">
        <v>1279</v>
      </c>
      <c r="E374" s="6" t="s">
        <v>2515</v>
      </c>
      <c r="F374" s="6" t="s">
        <v>1551</v>
      </c>
      <c r="G374" s="6" t="s">
        <v>2516</v>
      </c>
      <c r="H374" s="6" t="s">
        <v>1283</v>
      </c>
      <c r="I374" s="6"/>
    </row>
    <row r="375" customFormat="false" ht="23.85" hidden="false" customHeight="false" outlineLevel="0" collapsed="false">
      <c r="A375" s="6"/>
      <c r="B375" s="6" t="s">
        <v>2517</v>
      </c>
      <c r="C375" s="6" t="s">
        <v>1309</v>
      </c>
      <c r="D375" s="6" t="s">
        <v>1279</v>
      </c>
      <c r="E375" s="6" t="s">
        <v>1578</v>
      </c>
      <c r="F375" s="6" t="s">
        <v>1575</v>
      </c>
      <c r="G375" s="6" t="s">
        <v>2518</v>
      </c>
      <c r="H375" s="6" t="s">
        <v>1283</v>
      </c>
      <c r="I375" s="6"/>
    </row>
    <row r="376" customFormat="false" ht="23.85" hidden="false" customHeight="false" outlineLevel="0" collapsed="false">
      <c r="A376" s="6"/>
      <c r="B376" s="6" t="s">
        <v>2517</v>
      </c>
      <c r="C376" s="6" t="s">
        <v>2519</v>
      </c>
      <c r="D376" s="6" t="s">
        <v>1279</v>
      </c>
      <c r="E376" s="6" t="s">
        <v>2520</v>
      </c>
      <c r="F376" s="6" t="s">
        <v>1586</v>
      </c>
      <c r="G376" s="6" t="s">
        <v>2521</v>
      </c>
      <c r="H376" s="6" t="s">
        <v>1283</v>
      </c>
      <c r="I376" s="6"/>
    </row>
    <row r="377" customFormat="false" ht="23.85" hidden="false" customHeight="false" outlineLevel="0" collapsed="false">
      <c r="A377" s="6"/>
      <c r="B377" s="6" t="s">
        <v>2517</v>
      </c>
      <c r="C377" s="6" t="s">
        <v>1305</v>
      </c>
      <c r="D377" s="6" t="s">
        <v>1279</v>
      </c>
      <c r="E377" s="6" t="s">
        <v>2522</v>
      </c>
      <c r="F377" s="6" t="s">
        <v>2523</v>
      </c>
      <c r="G377" s="6" t="s">
        <v>2524</v>
      </c>
      <c r="H377" s="6" t="s">
        <v>1283</v>
      </c>
      <c r="I377" s="6"/>
    </row>
    <row r="378" customFormat="false" ht="23.85" hidden="false" customHeight="false" outlineLevel="0" collapsed="false">
      <c r="A378" s="6"/>
      <c r="B378" s="6" t="s">
        <v>2517</v>
      </c>
      <c r="C378" s="6" t="s">
        <v>2525</v>
      </c>
      <c r="D378" s="6" t="s">
        <v>1279</v>
      </c>
      <c r="E378" s="6" t="s">
        <v>2526</v>
      </c>
      <c r="F378" s="6" t="s">
        <v>2527</v>
      </c>
      <c r="G378" s="6" t="s">
        <v>2528</v>
      </c>
      <c r="H378" s="6" t="s">
        <v>1283</v>
      </c>
      <c r="I378" s="6"/>
    </row>
    <row r="379" customFormat="false" ht="23.85" hidden="false" customHeight="false" outlineLevel="0" collapsed="false">
      <c r="A379" s="6"/>
      <c r="B379" s="6" t="s">
        <v>2517</v>
      </c>
      <c r="C379" s="6" t="s">
        <v>2529</v>
      </c>
      <c r="D379" s="6" t="s">
        <v>1279</v>
      </c>
      <c r="E379" s="6" t="s">
        <v>2530</v>
      </c>
      <c r="F379" s="6" t="s">
        <v>2531</v>
      </c>
      <c r="G379" s="6" t="s">
        <v>2532</v>
      </c>
      <c r="H379" s="6" t="s">
        <v>1283</v>
      </c>
      <c r="I379" s="6"/>
    </row>
    <row r="380" customFormat="false" ht="23.85" hidden="false" customHeight="false" outlineLevel="0" collapsed="false">
      <c r="A380" s="6"/>
      <c r="B380" s="6" t="s">
        <v>2533</v>
      </c>
      <c r="C380" s="6" t="s">
        <v>1706</v>
      </c>
      <c r="D380" s="6" t="s">
        <v>1279</v>
      </c>
      <c r="E380" s="6" t="s">
        <v>2534</v>
      </c>
      <c r="F380" s="6" t="s">
        <v>1606</v>
      </c>
      <c r="G380" s="6" t="s">
        <v>2535</v>
      </c>
      <c r="H380" s="6" t="s">
        <v>1283</v>
      </c>
      <c r="I380" s="6"/>
    </row>
    <row r="381" customFormat="false" ht="23.85" hidden="false" customHeight="false" outlineLevel="0" collapsed="false">
      <c r="A381" s="6"/>
      <c r="B381" s="6" t="s">
        <v>2533</v>
      </c>
      <c r="C381" s="6" t="s">
        <v>1323</v>
      </c>
      <c r="D381" s="6" t="s">
        <v>1279</v>
      </c>
      <c r="E381" s="6" t="s">
        <v>2536</v>
      </c>
      <c r="F381" s="6" t="s">
        <v>1606</v>
      </c>
      <c r="G381" s="6" t="s">
        <v>2537</v>
      </c>
      <c r="H381" s="6" t="s">
        <v>1283</v>
      </c>
      <c r="I381" s="6"/>
    </row>
    <row r="382" customFormat="false" ht="23.85" hidden="false" customHeight="false" outlineLevel="0" collapsed="false">
      <c r="A382" s="6"/>
      <c r="B382" s="6" t="s">
        <v>2533</v>
      </c>
      <c r="C382" s="6" t="s">
        <v>1323</v>
      </c>
      <c r="D382" s="6" t="s">
        <v>1279</v>
      </c>
      <c r="E382" s="6" t="s">
        <v>2538</v>
      </c>
      <c r="F382" s="6" t="s">
        <v>1602</v>
      </c>
      <c r="G382" s="6" t="s">
        <v>2539</v>
      </c>
      <c r="H382" s="6" t="s">
        <v>1283</v>
      </c>
      <c r="I382" s="6"/>
    </row>
    <row r="383" customFormat="false" ht="23.85" hidden="false" customHeight="false" outlineLevel="0" collapsed="false">
      <c r="A383" s="6"/>
      <c r="B383" s="6" t="s">
        <v>2540</v>
      </c>
      <c r="C383" s="6" t="s">
        <v>1323</v>
      </c>
      <c r="D383" s="6" t="s">
        <v>1279</v>
      </c>
      <c r="E383" s="6" t="s">
        <v>2541</v>
      </c>
      <c r="F383" s="6" t="s">
        <v>1567</v>
      </c>
      <c r="G383" s="6" t="s">
        <v>2542</v>
      </c>
      <c r="H383" s="6" t="s">
        <v>1283</v>
      </c>
      <c r="I383" s="6"/>
    </row>
    <row r="384" customFormat="false" ht="23.85" hidden="false" customHeight="false" outlineLevel="0" collapsed="false">
      <c r="A384" s="6"/>
      <c r="B384" s="6" t="s">
        <v>2540</v>
      </c>
      <c r="C384" s="6" t="s">
        <v>2543</v>
      </c>
      <c r="D384" s="6" t="s">
        <v>1279</v>
      </c>
      <c r="E384" s="6" t="s">
        <v>2544</v>
      </c>
      <c r="F384" s="6" t="s">
        <v>1567</v>
      </c>
      <c r="G384" s="6" t="s">
        <v>2545</v>
      </c>
      <c r="H384" s="6" t="s">
        <v>1283</v>
      </c>
      <c r="I384" s="6"/>
    </row>
    <row r="385" customFormat="false" ht="23.85" hidden="false" customHeight="false" outlineLevel="0" collapsed="false">
      <c r="A385" s="6"/>
      <c r="B385" s="6" t="s">
        <v>2546</v>
      </c>
      <c r="C385" s="6" t="s">
        <v>1901</v>
      </c>
      <c r="D385" s="6" t="s">
        <v>1279</v>
      </c>
      <c r="E385" s="6" t="s">
        <v>2547</v>
      </c>
      <c r="F385" s="6" t="s">
        <v>1630</v>
      </c>
      <c r="G385" s="6" t="s">
        <v>2548</v>
      </c>
      <c r="H385" s="6" t="s">
        <v>1283</v>
      </c>
      <c r="I385" s="6"/>
    </row>
    <row r="386" customFormat="false" ht="23.85" hidden="false" customHeight="false" outlineLevel="0" collapsed="false">
      <c r="A386" s="6"/>
      <c r="B386" s="6" t="s">
        <v>2546</v>
      </c>
      <c r="C386" s="6" t="s">
        <v>1323</v>
      </c>
      <c r="D386" s="6" t="s">
        <v>1279</v>
      </c>
      <c r="E386" s="6" t="s">
        <v>2549</v>
      </c>
      <c r="F386" s="6" t="s">
        <v>2550</v>
      </c>
      <c r="G386" s="6" t="s">
        <v>2551</v>
      </c>
      <c r="H386" s="6" t="s">
        <v>1283</v>
      </c>
      <c r="I386" s="6"/>
    </row>
    <row r="387" customFormat="false" ht="23.85" hidden="false" customHeight="false" outlineLevel="0" collapsed="false">
      <c r="A387" s="6"/>
      <c r="B387" s="6" t="s">
        <v>2546</v>
      </c>
      <c r="C387" s="6" t="s">
        <v>1323</v>
      </c>
      <c r="D387" s="6" t="s">
        <v>1279</v>
      </c>
      <c r="E387" s="6" t="s">
        <v>2552</v>
      </c>
      <c r="F387" s="6" t="s">
        <v>1635</v>
      </c>
      <c r="G387" s="6" t="s">
        <v>2553</v>
      </c>
      <c r="H387" s="6" t="s">
        <v>1283</v>
      </c>
      <c r="I387" s="6"/>
    </row>
    <row r="388" customFormat="false" ht="23.85" hidden="false" customHeight="false" outlineLevel="0" collapsed="false">
      <c r="A388" s="6"/>
      <c r="B388" s="6" t="s">
        <v>2546</v>
      </c>
      <c r="C388" s="6" t="s">
        <v>1323</v>
      </c>
      <c r="D388" s="6" t="s">
        <v>1279</v>
      </c>
      <c r="E388" s="6" t="s">
        <v>2554</v>
      </c>
      <c r="F388" s="6" t="s">
        <v>2555</v>
      </c>
      <c r="G388" s="6" t="s">
        <v>2556</v>
      </c>
      <c r="H388" s="6" t="s">
        <v>1283</v>
      </c>
      <c r="I388" s="6"/>
    </row>
    <row r="389" customFormat="false" ht="23.85" hidden="false" customHeight="false" outlineLevel="0" collapsed="false">
      <c r="A389" s="6"/>
      <c r="B389" s="6" t="s">
        <v>2557</v>
      </c>
      <c r="C389" s="6" t="s">
        <v>2558</v>
      </c>
      <c r="D389" s="6" t="s">
        <v>1279</v>
      </c>
      <c r="E389" s="6" t="s">
        <v>2559</v>
      </c>
      <c r="F389" s="6" t="s">
        <v>2555</v>
      </c>
      <c r="G389" s="6" t="s">
        <v>2560</v>
      </c>
      <c r="H389" s="6" t="s">
        <v>1283</v>
      </c>
      <c r="I389" s="6"/>
    </row>
    <row r="390" customFormat="false" ht="23.85" hidden="false" customHeight="false" outlineLevel="0" collapsed="false">
      <c r="A390" s="6"/>
      <c r="B390" s="6" t="s">
        <v>2557</v>
      </c>
      <c r="C390" s="6" t="s">
        <v>2561</v>
      </c>
      <c r="D390" s="6" t="s">
        <v>1279</v>
      </c>
      <c r="E390" s="6" t="s">
        <v>2562</v>
      </c>
      <c r="F390" s="6" t="s">
        <v>2555</v>
      </c>
      <c r="G390" s="6" t="s">
        <v>2563</v>
      </c>
      <c r="H390" s="6" t="s">
        <v>1283</v>
      </c>
      <c r="I390" s="6"/>
    </row>
    <row r="391" customFormat="false" ht="23.85" hidden="false" customHeight="false" outlineLevel="0" collapsed="false">
      <c r="A391" s="6"/>
      <c r="B391" s="6" t="s">
        <v>2557</v>
      </c>
      <c r="C391" s="6" t="s">
        <v>1305</v>
      </c>
      <c r="D391" s="6" t="s">
        <v>1279</v>
      </c>
      <c r="E391" s="6" t="s">
        <v>1643</v>
      </c>
      <c r="F391" s="6" t="s">
        <v>1640</v>
      </c>
      <c r="G391" s="6" t="s">
        <v>1644</v>
      </c>
      <c r="H391" s="6" t="s">
        <v>1283</v>
      </c>
      <c r="I391" s="6"/>
    </row>
    <row r="392" customFormat="false" ht="23.85" hidden="false" customHeight="false" outlineLevel="0" collapsed="false">
      <c r="A392" s="6"/>
      <c r="B392" s="6" t="s">
        <v>2564</v>
      </c>
      <c r="C392" s="6" t="s">
        <v>1331</v>
      </c>
      <c r="D392" s="6" t="s">
        <v>1279</v>
      </c>
      <c r="E392" s="6" t="s">
        <v>2565</v>
      </c>
      <c r="F392" s="6" t="s">
        <v>1727</v>
      </c>
      <c r="G392" s="6" t="s">
        <v>2566</v>
      </c>
      <c r="H392" s="6" t="s">
        <v>1283</v>
      </c>
      <c r="I392" s="6"/>
    </row>
    <row r="393" customFormat="false" ht="23.85" hidden="false" customHeight="false" outlineLevel="0" collapsed="false">
      <c r="A393" s="6"/>
      <c r="B393" s="6" t="s">
        <v>2564</v>
      </c>
      <c r="C393" s="6" t="s">
        <v>1323</v>
      </c>
      <c r="D393" s="6" t="s">
        <v>1279</v>
      </c>
      <c r="E393" s="6" t="s">
        <v>2567</v>
      </c>
      <c r="F393" s="6" t="s">
        <v>1727</v>
      </c>
      <c r="G393" s="6" t="s">
        <v>2568</v>
      </c>
      <c r="H393" s="6" t="s">
        <v>1283</v>
      </c>
      <c r="I393" s="6"/>
    </row>
    <row r="394" customFormat="false" ht="23.85" hidden="false" customHeight="false" outlineLevel="0" collapsed="false">
      <c r="A394" s="6"/>
      <c r="B394" s="6" t="s">
        <v>2564</v>
      </c>
      <c r="C394" s="6" t="s">
        <v>2140</v>
      </c>
      <c r="D394" s="6" t="s">
        <v>1279</v>
      </c>
      <c r="E394" s="6" t="s">
        <v>2569</v>
      </c>
      <c r="F394" s="6" t="s">
        <v>2570</v>
      </c>
      <c r="G394" s="6" t="s">
        <v>2571</v>
      </c>
      <c r="H394" s="6" t="s">
        <v>1377</v>
      </c>
      <c r="I394" s="6"/>
    </row>
    <row r="395" customFormat="false" ht="23.85" hidden="false" customHeight="false" outlineLevel="0" collapsed="false">
      <c r="A395" s="6"/>
      <c r="B395" s="6" t="s">
        <v>2564</v>
      </c>
      <c r="C395" s="6" t="s">
        <v>2140</v>
      </c>
      <c r="D395" s="6" t="s">
        <v>1279</v>
      </c>
      <c r="E395" s="6" t="s">
        <v>2572</v>
      </c>
      <c r="F395" s="6" t="s">
        <v>2573</v>
      </c>
      <c r="G395" s="6" t="s">
        <v>2574</v>
      </c>
      <c r="H395" s="6" t="s">
        <v>1377</v>
      </c>
      <c r="I395" s="6"/>
    </row>
    <row r="396" customFormat="false" ht="23.85" hidden="false" customHeight="false" outlineLevel="0" collapsed="false">
      <c r="A396" s="6"/>
      <c r="B396" s="6" t="s">
        <v>2564</v>
      </c>
      <c r="C396" s="6" t="s">
        <v>1323</v>
      </c>
      <c r="D396" s="6" t="s">
        <v>1279</v>
      </c>
      <c r="E396" s="6" t="s">
        <v>1750</v>
      </c>
      <c r="F396" s="6" t="s">
        <v>1751</v>
      </c>
      <c r="G396" s="6" t="s">
        <v>1752</v>
      </c>
      <c r="H396" s="6" t="s">
        <v>1283</v>
      </c>
      <c r="I396" s="6"/>
    </row>
    <row r="397" customFormat="false" ht="23.85" hidden="false" customHeight="false" outlineLevel="0" collapsed="false">
      <c r="A397" s="6"/>
      <c r="B397" s="6" t="s">
        <v>2575</v>
      </c>
      <c r="C397" s="6" t="s">
        <v>2157</v>
      </c>
      <c r="D397" s="6" t="s">
        <v>1279</v>
      </c>
      <c r="E397" s="6" t="s">
        <v>2576</v>
      </c>
      <c r="F397" s="6" t="s">
        <v>1743</v>
      </c>
      <c r="G397" s="6" t="s">
        <v>2577</v>
      </c>
      <c r="H397" s="6" t="s">
        <v>1283</v>
      </c>
      <c r="I397" s="6"/>
    </row>
    <row r="398" customFormat="false" ht="23.85" hidden="false" customHeight="false" outlineLevel="0" collapsed="false">
      <c r="A398" s="6"/>
      <c r="B398" s="6" t="s">
        <v>2575</v>
      </c>
      <c r="C398" s="6" t="s">
        <v>2578</v>
      </c>
      <c r="D398" s="6" t="s">
        <v>1279</v>
      </c>
      <c r="E398" s="6" t="s">
        <v>2579</v>
      </c>
      <c r="F398" s="6" t="s">
        <v>1743</v>
      </c>
      <c r="G398" s="6" t="s">
        <v>2580</v>
      </c>
      <c r="H398" s="6" t="s">
        <v>1283</v>
      </c>
      <c r="I398" s="6"/>
    </row>
    <row r="399" customFormat="false" ht="23.85" hidden="false" customHeight="false" outlineLevel="0" collapsed="false">
      <c r="A399" s="6"/>
      <c r="B399" s="6" t="s">
        <v>2575</v>
      </c>
      <c r="C399" s="6" t="s">
        <v>2581</v>
      </c>
      <c r="D399" s="6" t="s">
        <v>1279</v>
      </c>
      <c r="E399" s="6" t="s">
        <v>2582</v>
      </c>
      <c r="F399" s="6" t="s">
        <v>1751</v>
      </c>
      <c r="G399" s="6" t="s">
        <v>2583</v>
      </c>
      <c r="H399" s="6" t="s">
        <v>1283</v>
      </c>
      <c r="I399" s="6"/>
    </row>
    <row r="400" customFormat="false" ht="23.85" hidden="false" customHeight="false" outlineLevel="0" collapsed="false">
      <c r="A400" s="6"/>
      <c r="B400" s="6" t="s">
        <v>2575</v>
      </c>
      <c r="C400" s="6" t="s">
        <v>2584</v>
      </c>
      <c r="D400" s="6" t="s">
        <v>1279</v>
      </c>
      <c r="E400" s="6" t="s">
        <v>2585</v>
      </c>
      <c r="F400" s="6" t="s">
        <v>2586</v>
      </c>
      <c r="G400" s="6" t="s">
        <v>2587</v>
      </c>
      <c r="H400" s="6" t="s">
        <v>1283</v>
      </c>
      <c r="I400" s="6"/>
    </row>
    <row r="401" customFormat="false" ht="23.85" hidden="false" customHeight="false" outlineLevel="0" collapsed="false">
      <c r="A401" s="6"/>
      <c r="B401" s="6" t="s">
        <v>2588</v>
      </c>
      <c r="C401" s="6" t="s">
        <v>2589</v>
      </c>
      <c r="D401" s="6" t="s">
        <v>1279</v>
      </c>
      <c r="E401" s="6" t="s">
        <v>2590</v>
      </c>
      <c r="F401" s="6" t="s">
        <v>1764</v>
      </c>
      <c r="G401" s="6" t="s">
        <v>2591</v>
      </c>
      <c r="H401" s="6" t="s">
        <v>1283</v>
      </c>
      <c r="I401" s="6"/>
    </row>
    <row r="402" customFormat="false" ht="23.85" hidden="false" customHeight="false" outlineLevel="0" collapsed="false">
      <c r="A402" s="6"/>
      <c r="B402" s="6" t="s">
        <v>2588</v>
      </c>
      <c r="C402" s="6" t="s">
        <v>2592</v>
      </c>
      <c r="D402" s="6" t="s">
        <v>1279</v>
      </c>
      <c r="E402" s="6" t="s">
        <v>1768</v>
      </c>
      <c r="F402" s="6" t="s">
        <v>1764</v>
      </c>
      <c r="G402" s="6" t="s">
        <v>1769</v>
      </c>
      <c r="H402" s="6" t="s">
        <v>1283</v>
      </c>
      <c r="I402" s="6"/>
    </row>
    <row r="403" customFormat="false" ht="23.85" hidden="false" customHeight="false" outlineLevel="0" collapsed="false">
      <c r="A403" s="6"/>
      <c r="B403" s="6" t="s">
        <v>2588</v>
      </c>
      <c r="C403" s="6" t="s">
        <v>2593</v>
      </c>
      <c r="D403" s="6" t="s">
        <v>1795</v>
      </c>
      <c r="E403" s="6" t="s">
        <v>2594</v>
      </c>
      <c r="F403" s="6" t="s">
        <v>1773</v>
      </c>
      <c r="G403" s="6" t="s">
        <v>2595</v>
      </c>
      <c r="H403" s="6" t="s">
        <v>1283</v>
      </c>
      <c r="I403" s="6"/>
    </row>
    <row r="404" customFormat="false" ht="23.85" hidden="false" customHeight="false" outlineLevel="0" collapsed="false">
      <c r="A404" s="6"/>
      <c r="B404" s="6" t="s">
        <v>2588</v>
      </c>
      <c r="C404" s="6" t="s">
        <v>2596</v>
      </c>
      <c r="D404" s="6" t="s">
        <v>1279</v>
      </c>
      <c r="E404" s="6" t="s">
        <v>2597</v>
      </c>
      <c r="F404" s="6" t="s">
        <v>2598</v>
      </c>
      <c r="G404" s="6" t="s">
        <v>2599</v>
      </c>
      <c r="H404" s="6" t="s">
        <v>1283</v>
      </c>
      <c r="I404" s="6"/>
    </row>
    <row r="405" customFormat="false" ht="23.85" hidden="false" customHeight="false" outlineLevel="0" collapsed="false">
      <c r="A405" s="6"/>
      <c r="B405" s="6" t="s">
        <v>2588</v>
      </c>
      <c r="C405" s="6" t="s">
        <v>2600</v>
      </c>
      <c r="D405" s="6" t="s">
        <v>1279</v>
      </c>
      <c r="E405" s="6" t="s">
        <v>2601</v>
      </c>
      <c r="F405" s="6" t="s">
        <v>1790</v>
      </c>
      <c r="G405" s="6" t="s">
        <v>2602</v>
      </c>
      <c r="H405" s="6" t="s">
        <v>1283</v>
      </c>
      <c r="I405" s="6"/>
    </row>
    <row r="406" customFormat="false" ht="23.85" hidden="false" customHeight="false" outlineLevel="0" collapsed="false">
      <c r="A406" s="6"/>
      <c r="B406" s="6" t="s">
        <v>2603</v>
      </c>
      <c r="C406" s="6" t="s">
        <v>1858</v>
      </c>
      <c r="D406" s="6" t="s">
        <v>1662</v>
      </c>
      <c r="E406" s="6" t="s">
        <v>2604</v>
      </c>
      <c r="F406" s="6" t="s">
        <v>1884</v>
      </c>
      <c r="G406" s="6" t="s">
        <v>1885</v>
      </c>
      <c r="H406" s="6" t="s">
        <v>1283</v>
      </c>
      <c r="I406" s="6"/>
    </row>
    <row r="407" customFormat="false" ht="23.85" hidden="false" customHeight="false" outlineLevel="0" collapsed="false">
      <c r="A407" s="6"/>
      <c r="B407" s="6" t="s">
        <v>2603</v>
      </c>
      <c r="C407" s="6" t="s">
        <v>2605</v>
      </c>
      <c r="D407" s="6" t="s">
        <v>1279</v>
      </c>
      <c r="E407" s="6" t="s">
        <v>2606</v>
      </c>
      <c r="F407" s="6" t="s">
        <v>1884</v>
      </c>
      <c r="G407" s="6" t="s">
        <v>2607</v>
      </c>
      <c r="H407" s="6" t="s">
        <v>1283</v>
      </c>
      <c r="I407" s="6"/>
    </row>
    <row r="408" customFormat="false" ht="23.85" hidden="false" customHeight="false" outlineLevel="0" collapsed="false">
      <c r="A408" s="6"/>
      <c r="B408" s="6" t="s">
        <v>2603</v>
      </c>
      <c r="C408" s="6" t="s">
        <v>1858</v>
      </c>
      <c r="D408" s="6" t="s">
        <v>1662</v>
      </c>
      <c r="E408" s="6" t="s">
        <v>2608</v>
      </c>
      <c r="F408" s="6" t="s">
        <v>1888</v>
      </c>
      <c r="G408" s="6" t="s">
        <v>1889</v>
      </c>
      <c r="H408" s="6" t="s">
        <v>1283</v>
      </c>
      <c r="I408" s="6"/>
    </row>
    <row r="409" customFormat="false" ht="35.05" hidden="false" customHeight="false" outlineLevel="0" collapsed="false">
      <c r="A409" s="6"/>
      <c r="B409" s="6" t="s">
        <v>2603</v>
      </c>
      <c r="C409" s="6" t="s">
        <v>2609</v>
      </c>
      <c r="D409" s="6" t="s">
        <v>1279</v>
      </c>
      <c r="E409" s="6" t="s">
        <v>2610</v>
      </c>
      <c r="F409" s="6" t="s">
        <v>1892</v>
      </c>
      <c r="G409" s="6" t="s">
        <v>2611</v>
      </c>
      <c r="H409" s="6" t="s">
        <v>1283</v>
      </c>
      <c r="I409" s="6"/>
    </row>
    <row r="410" customFormat="false" ht="23.85" hidden="false" customHeight="false" outlineLevel="0" collapsed="false">
      <c r="A410" s="6"/>
      <c r="B410" s="6" t="s">
        <v>2603</v>
      </c>
      <c r="C410" s="6" t="s">
        <v>2589</v>
      </c>
      <c r="D410" s="6" t="s">
        <v>1279</v>
      </c>
      <c r="E410" s="6" t="s">
        <v>2612</v>
      </c>
      <c r="F410" s="6" t="s">
        <v>1892</v>
      </c>
      <c r="G410" s="6" t="s">
        <v>2613</v>
      </c>
      <c r="H410" s="6" t="s">
        <v>1283</v>
      </c>
      <c r="I410" s="6"/>
    </row>
    <row r="411" customFormat="false" ht="23.85" hidden="false" customHeight="false" outlineLevel="0" collapsed="false">
      <c r="A411" s="6"/>
      <c r="B411" s="6" t="s">
        <v>2603</v>
      </c>
      <c r="C411" s="6" t="s">
        <v>2614</v>
      </c>
      <c r="D411" s="6" t="s">
        <v>1279</v>
      </c>
      <c r="E411" s="6" t="s">
        <v>2615</v>
      </c>
      <c r="F411" s="6" t="s">
        <v>2616</v>
      </c>
      <c r="G411" s="6" t="s">
        <v>2617</v>
      </c>
      <c r="H411" s="6" t="s">
        <v>1283</v>
      </c>
      <c r="I411" s="6"/>
    </row>
    <row r="412" customFormat="false" ht="23.85" hidden="false" customHeight="false" outlineLevel="0" collapsed="false">
      <c r="A412" s="6"/>
      <c r="B412" s="6" t="s">
        <v>2618</v>
      </c>
      <c r="C412" s="6" t="s">
        <v>2619</v>
      </c>
      <c r="D412" s="6" t="s">
        <v>1279</v>
      </c>
      <c r="E412" s="6" t="s">
        <v>1917</v>
      </c>
      <c r="F412" s="6" t="s">
        <v>1918</v>
      </c>
      <c r="G412" s="6" t="s">
        <v>1919</v>
      </c>
      <c r="H412" s="6" t="s">
        <v>1283</v>
      </c>
      <c r="I412" s="6"/>
    </row>
    <row r="413" customFormat="false" ht="23.85" hidden="false" customHeight="false" outlineLevel="0" collapsed="false">
      <c r="A413" s="6"/>
      <c r="B413" s="6" t="s">
        <v>2618</v>
      </c>
      <c r="C413" s="6" t="s">
        <v>2620</v>
      </c>
      <c r="D413" s="6" t="s">
        <v>1279</v>
      </c>
      <c r="E413" s="6" t="s">
        <v>2621</v>
      </c>
      <c r="F413" s="6" t="s">
        <v>1923</v>
      </c>
      <c r="G413" s="6" t="s">
        <v>2622</v>
      </c>
      <c r="H413" s="6" t="s">
        <v>1283</v>
      </c>
      <c r="I413" s="6"/>
    </row>
    <row r="414" customFormat="false" ht="23.85" hidden="false" customHeight="false" outlineLevel="0" collapsed="false">
      <c r="A414" s="6"/>
      <c r="B414" s="6" t="s">
        <v>2618</v>
      </c>
      <c r="C414" s="6" t="s">
        <v>2623</v>
      </c>
      <c r="D414" s="6" t="s">
        <v>1279</v>
      </c>
      <c r="E414" s="6" t="s">
        <v>2624</v>
      </c>
      <c r="F414" s="6" t="s">
        <v>1952</v>
      </c>
      <c r="G414" s="6" t="s">
        <v>2625</v>
      </c>
      <c r="H414" s="6" t="s">
        <v>1283</v>
      </c>
      <c r="I414" s="6"/>
    </row>
    <row r="415" customFormat="false" ht="23.85" hidden="false" customHeight="false" outlineLevel="0" collapsed="false">
      <c r="A415" s="6"/>
      <c r="B415" s="6" t="s">
        <v>2618</v>
      </c>
      <c r="C415" s="6" t="s">
        <v>2626</v>
      </c>
      <c r="D415" s="6" t="s">
        <v>1279</v>
      </c>
      <c r="E415" s="6" t="s">
        <v>2627</v>
      </c>
      <c r="F415" s="6" t="s">
        <v>1941</v>
      </c>
      <c r="G415" s="6" t="s">
        <v>2628</v>
      </c>
      <c r="H415" s="6" t="s">
        <v>1283</v>
      </c>
      <c r="I415" s="6"/>
    </row>
    <row r="416" customFormat="false" ht="23.85" hidden="false" customHeight="false" outlineLevel="0" collapsed="false">
      <c r="A416" s="6"/>
      <c r="B416" s="6" t="s">
        <v>2629</v>
      </c>
      <c r="C416" s="6" t="s">
        <v>2630</v>
      </c>
      <c r="D416" s="6" t="s">
        <v>1279</v>
      </c>
      <c r="E416" s="6" t="s">
        <v>1940</v>
      </c>
      <c r="F416" s="6" t="s">
        <v>1941</v>
      </c>
      <c r="G416" s="6" t="s">
        <v>1942</v>
      </c>
      <c r="H416" s="6" t="s">
        <v>1283</v>
      </c>
      <c r="I416" s="6"/>
    </row>
    <row r="417" customFormat="false" ht="23.85" hidden="false" customHeight="false" outlineLevel="0" collapsed="false">
      <c r="A417" s="6"/>
      <c r="B417" s="6" t="s">
        <v>2629</v>
      </c>
      <c r="C417" s="6" t="s">
        <v>2631</v>
      </c>
      <c r="D417" s="6" t="s">
        <v>1279</v>
      </c>
      <c r="E417" s="6" t="s">
        <v>2632</v>
      </c>
      <c r="F417" s="6" t="s">
        <v>1952</v>
      </c>
      <c r="G417" s="6" t="s">
        <v>2633</v>
      </c>
      <c r="H417" s="6" t="s">
        <v>1283</v>
      </c>
      <c r="I417" s="6"/>
    </row>
    <row r="418" customFormat="false" ht="23.85" hidden="false" customHeight="false" outlineLevel="0" collapsed="false">
      <c r="A418" s="6"/>
      <c r="B418" s="6" t="s">
        <v>2629</v>
      </c>
      <c r="C418" s="6" t="s">
        <v>2634</v>
      </c>
      <c r="D418" s="6" t="s">
        <v>1662</v>
      </c>
      <c r="E418" s="6" t="s">
        <v>2635</v>
      </c>
      <c r="F418" s="6" t="s">
        <v>2636</v>
      </c>
      <c r="G418" s="6" t="s">
        <v>2637</v>
      </c>
      <c r="H418" s="6" t="s">
        <v>1283</v>
      </c>
      <c r="I418" s="6"/>
    </row>
    <row r="419" customFormat="false" ht="23.85" hidden="false" customHeight="false" outlineLevel="0" collapsed="false">
      <c r="A419" s="6"/>
      <c r="B419" s="6" t="s">
        <v>2629</v>
      </c>
      <c r="C419" s="6" t="s">
        <v>2638</v>
      </c>
      <c r="D419" s="6" t="s">
        <v>1279</v>
      </c>
      <c r="E419" s="6" t="s">
        <v>2639</v>
      </c>
      <c r="F419" s="6" t="s">
        <v>2640</v>
      </c>
      <c r="G419" s="6" t="s">
        <v>2641</v>
      </c>
      <c r="H419" s="6" t="s">
        <v>1283</v>
      </c>
      <c r="I419" s="6"/>
    </row>
    <row r="420" customFormat="false" ht="35.05" hidden="false" customHeight="false" outlineLevel="0" collapsed="false">
      <c r="A420" s="6"/>
      <c r="B420" s="6" t="s">
        <v>2642</v>
      </c>
      <c r="C420" s="6" t="s">
        <v>2046</v>
      </c>
      <c r="D420" s="6" t="s">
        <v>1279</v>
      </c>
      <c r="E420" s="6" t="s">
        <v>2643</v>
      </c>
      <c r="F420" s="6" t="s">
        <v>1952</v>
      </c>
      <c r="G420" s="6" t="s">
        <v>2644</v>
      </c>
      <c r="H420" s="6" t="s">
        <v>1283</v>
      </c>
      <c r="I420" s="6"/>
    </row>
    <row r="421" customFormat="false" ht="23.85" hidden="false" customHeight="false" outlineLevel="0" collapsed="false">
      <c r="A421" s="6"/>
      <c r="B421" s="6" t="s">
        <v>2642</v>
      </c>
      <c r="C421" s="6" t="s">
        <v>2634</v>
      </c>
      <c r="D421" s="6" t="s">
        <v>1662</v>
      </c>
      <c r="E421" s="6" t="s">
        <v>2635</v>
      </c>
      <c r="F421" s="6" t="s">
        <v>2636</v>
      </c>
      <c r="G421" s="6" t="s">
        <v>2637</v>
      </c>
      <c r="H421" s="6" t="s">
        <v>1283</v>
      </c>
      <c r="I421" s="6"/>
    </row>
    <row r="422" customFormat="false" ht="23.85" hidden="false" customHeight="false" outlineLevel="0" collapsed="false">
      <c r="A422" s="6"/>
      <c r="B422" s="6" t="s">
        <v>2642</v>
      </c>
      <c r="C422" s="6" t="s">
        <v>2631</v>
      </c>
      <c r="D422" s="6" t="s">
        <v>1279</v>
      </c>
      <c r="E422" s="6" t="s">
        <v>2632</v>
      </c>
      <c r="F422" s="6" t="s">
        <v>1952</v>
      </c>
      <c r="G422" s="6" t="s">
        <v>2633</v>
      </c>
      <c r="H422" s="6" t="s">
        <v>1283</v>
      </c>
      <c r="I422" s="6"/>
    </row>
    <row r="423" customFormat="false" ht="23.85" hidden="false" customHeight="false" outlineLevel="0" collapsed="false">
      <c r="A423" s="6"/>
      <c r="B423" s="6" t="s">
        <v>2642</v>
      </c>
      <c r="C423" s="6" t="s">
        <v>2645</v>
      </c>
      <c r="D423" s="6" t="s">
        <v>1279</v>
      </c>
      <c r="E423" s="6" t="s">
        <v>2621</v>
      </c>
      <c r="F423" s="6" t="s">
        <v>1923</v>
      </c>
      <c r="G423" s="6" t="s">
        <v>2622</v>
      </c>
      <c r="H423" s="6" t="s">
        <v>1283</v>
      </c>
      <c r="I423" s="6"/>
    </row>
  </sheetData>
  <autoFilter ref="A1:L3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4"/>
    <col collapsed="false" customWidth="true" hidden="false" outlineLevel="0" max="4" min="3" style="0" width="12"/>
    <col collapsed="false" customWidth="true" hidden="false" outlineLevel="0" max="5" min="5" style="0" width="7"/>
    <col collapsed="false" customWidth="true" hidden="false" outlineLevel="0" max="6" min="6" style="0" width="8"/>
    <col collapsed="false" customWidth="true" hidden="false" outlineLevel="0" max="7" min="7" style="0" width="12"/>
    <col collapsed="false" customWidth="true" hidden="false" outlineLevel="0" max="8" min="8" style="0" width="11"/>
    <col collapsed="false" customWidth="true" hidden="false" outlineLevel="0" max="9" min="9" style="0" width="17"/>
    <col collapsed="false" customWidth="true" hidden="false" outlineLevel="0" max="10" min="10" style="0" width="30"/>
  </cols>
  <sheetData>
    <row r="1" customFormat="false" ht="15" hidden="false" customHeight="false" outlineLevel="0" collapsed="false">
      <c r="A1" s="27" t="s">
        <v>2646</v>
      </c>
    </row>
    <row r="2" customFormat="false" ht="15" hidden="false" customHeight="false" outlineLevel="0" collapsed="false">
      <c r="A2" s="16" t="s">
        <v>2647</v>
      </c>
    </row>
    <row r="4" customFormat="false" ht="15" hidden="false" customHeight="false" outlineLevel="0" collapsed="false">
      <c r="A4" s="13" t="s">
        <v>2648</v>
      </c>
      <c r="B4" s="13" t="s">
        <v>2649</v>
      </c>
      <c r="C4" s="13" t="s">
        <v>2650</v>
      </c>
      <c r="D4" s="13" t="s">
        <v>2651</v>
      </c>
      <c r="E4" s="13" t="s">
        <v>2652</v>
      </c>
    </row>
    <row r="5" customFormat="false" ht="124.6" hidden="false" customHeight="false" outlineLevel="0" collapsed="false">
      <c r="A5" s="6" t="s">
        <v>637</v>
      </c>
      <c r="B5" s="7" t="n">
        <v>43590</v>
      </c>
      <c r="C5" s="7" t="n">
        <v>43921</v>
      </c>
      <c r="D5" s="6" t="s">
        <v>2653</v>
      </c>
      <c r="E5" s="6" t="n">
        <v>21</v>
      </c>
    </row>
    <row r="6" customFormat="false" ht="113.4" hidden="false" customHeight="false" outlineLevel="0" collapsed="false">
      <c r="A6" s="6" t="s">
        <v>722</v>
      </c>
      <c r="B6" s="7" t="n">
        <v>43922</v>
      </c>
      <c r="C6" s="7" t="n">
        <v>45820</v>
      </c>
      <c r="D6" s="6" t="s">
        <v>2654</v>
      </c>
      <c r="E6" s="6" t="n">
        <v>34</v>
      </c>
    </row>
    <row r="7" customFormat="false" ht="102.2" hidden="false" customHeight="false" outlineLevel="0" collapsed="false">
      <c r="A7" s="6" t="s">
        <v>844</v>
      </c>
      <c r="B7" s="7" t="n">
        <v>45821</v>
      </c>
      <c r="C7" s="7" t="n">
        <v>45832</v>
      </c>
      <c r="D7" s="6" t="s">
        <v>2655</v>
      </c>
      <c r="E7" s="6" t="n">
        <v>5</v>
      </c>
    </row>
    <row r="8" customFormat="false" ht="79.85" hidden="false" customHeight="false" outlineLevel="0" collapsed="false">
      <c r="A8" s="6" t="s">
        <v>61</v>
      </c>
      <c r="B8" s="7" t="n">
        <v>45833</v>
      </c>
      <c r="C8" s="7" t="n">
        <v>46080</v>
      </c>
      <c r="D8" s="6" t="s">
        <v>2656</v>
      </c>
      <c r="E8" s="6" t="n">
        <v>6</v>
      </c>
    </row>
    <row r="9" customFormat="false" ht="35.05" hidden="false" customHeight="false" outlineLevel="0" collapsed="false">
      <c r="A9" s="6" t="s">
        <v>71</v>
      </c>
      <c r="B9" s="7" t="n">
        <v>46081</v>
      </c>
      <c r="C9" s="7" t="n">
        <v>46119</v>
      </c>
      <c r="D9" s="6" t="s">
        <v>2657</v>
      </c>
      <c r="E9" s="6" t="n">
        <v>27</v>
      </c>
    </row>
    <row r="10" customFormat="false" ht="68.65" hidden="false" customHeight="false" outlineLevel="0" collapsed="false">
      <c r="A10" s="6" t="s">
        <v>227</v>
      </c>
      <c r="B10" s="7" t="n">
        <v>46120</v>
      </c>
      <c r="C10" s="7" t="n">
        <v>46210</v>
      </c>
      <c r="D10" s="6" t="s">
        <v>2658</v>
      </c>
      <c r="E10" s="6" t="n">
        <v>30</v>
      </c>
    </row>
    <row r="11" customFormat="false" ht="68.65" hidden="false" customHeight="false" outlineLevel="0" collapsed="false">
      <c r="A11" s="6" t="s">
        <v>71</v>
      </c>
      <c r="B11" s="7" t="n">
        <v>46211</v>
      </c>
      <c r="C11" s="7" t="n">
        <v>46228</v>
      </c>
      <c r="D11" s="6" t="s">
        <v>2659</v>
      </c>
      <c r="E11" s="6" t="n">
        <v>8</v>
      </c>
    </row>
    <row r="12" customFormat="false" ht="79.85" hidden="false" customHeight="false" outlineLevel="0" collapsed="false">
      <c r="A12" s="6" t="s">
        <v>408</v>
      </c>
      <c r="B12" s="7" t="n">
        <v>46229</v>
      </c>
      <c r="C12" s="7" t="n">
        <v>46274</v>
      </c>
      <c r="D12" s="6" t="s">
        <v>2660</v>
      </c>
      <c r="E12" s="6" t="n">
        <v>12</v>
      </c>
    </row>
    <row r="13" customFormat="false" ht="91" hidden="false" customHeight="false" outlineLevel="0" collapsed="false">
      <c r="A13" s="6" t="s">
        <v>462</v>
      </c>
      <c r="B13" s="7" t="n">
        <v>46275</v>
      </c>
      <c r="C13" s="7" t="n">
        <v>46321</v>
      </c>
      <c r="D13" s="6" t="s">
        <v>2661</v>
      </c>
      <c r="E13" s="6" t="n">
        <v>47</v>
      </c>
    </row>
    <row r="15" customFormat="false" ht="15" hidden="false" customHeight="false" outlineLevel="0" collapsed="false">
      <c r="A15" s="14" t="s">
        <v>2662</v>
      </c>
    </row>
    <row r="16" customFormat="false" ht="15" hidden="false" customHeight="false" outlineLevel="0" collapsed="false">
      <c r="A16" s="13" t="s">
        <v>2648</v>
      </c>
      <c r="B16" s="13" t="s">
        <v>957</v>
      </c>
      <c r="C16" s="13" t="s">
        <v>2663</v>
      </c>
      <c r="D16" s="13" t="s">
        <v>2664</v>
      </c>
    </row>
    <row r="17" customFormat="false" ht="15" hidden="false" customHeight="false" outlineLevel="0" collapsed="false">
      <c r="A17" s="21" t="s">
        <v>71</v>
      </c>
      <c r="B17" s="21" t="n">
        <v>2</v>
      </c>
      <c r="C17" s="21" t="n">
        <v>2</v>
      </c>
      <c r="D17" s="23" t="n">
        <f aca="false">IF(C17&gt;0,B17/C17,"-")</f>
        <v>1</v>
      </c>
    </row>
    <row r="18" customFormat="false" ht="15" hidden="false" customHeight="false" outlineLevel="0" collapsed="false">
      <c r="A18" s="21" t="s">
        <v>227</v>
      </c>
      <c r="B18" s="21" t="n">
        <v>15</v>
      </c>
      <c r="C18" s="21" t="n">
        <v>17</v>
      </c>
      <c r="D18" s="23" t="n">
        <f aca="false">IF(C18&gt;0,B18/C18,"-")</f>
        <v>0.882352941176471</v>
      </c>
    </row>
    <row r="19" customFormat="false" ht="15" hidden="false" customHeight="false" outlineLevel="0" collapsed="false">
      <c r="A19" s="21" t="s">
        <v>408</v>
      </c>
      <c r="B19" s="21" t="n">
        <v>6</v>
      </c>
      <c r="C19" s="21" t="n">
        <v>7</v>
      </c>
      <c r="D19" s="23" t="n">
        <f aca="false">IF(C19&gt;0,B19/C19,"-")</f>
        <v>0.857142857142857</v>
      </c>
    </row>
    <row r="20" customFormat="false" ht="15" hidden="false" customHeight="false" outlineLevel="0" collapsed="false">
      <c r="A20" s="21" t="s">
        <v>462</v>
      </c>
      <c r="B20" s="21" t="n">
        <v>0</v>
      </c>
      <c r="C20" s="21" t="n">
        <v>2</v>
      </c>
      <c r="D20" s="23" t="n">
        <f aca="false">IF(C20&gt;0,B20/C20,"-")</f>
        <v>0</v>
      </c>
    </row>
    <row r="21" customFormat="false" ht="15" hidden="false" customHeight="false" outlineLevel="0" collapsed="false">
      <c r="A21" s="16" t="s">
        <v>2665</v>
      </c>
    </row>
    <row r="24" customFormat="false" ht="15" hidden="false" customHeight="false" outlineLevel="0" collapsed="false">
      <c r="A24" s="27" t="s">
        <v>2666</v>
      </c>
    </row>
    <row r="25" customFormat="false" ht="15" hidden="false" customHeight="false" outlineLevel="0" collapsed="false">
      <c r="A25" s="16" t="s">
        <v>2667</v>
      </c>
    </row>
    <row r="27" customFormat="false" ht="15" hidden="false" customHeight="false" outlineLevel="0" collapsed="false">
      <c r="A27" s="13" t="s">
        <v>2668</v>
      </c>
      <c r="B27" s="13" t="s">
        <v>2669</v>
      </c>
      <c r="C27" s="13" t="s">
        <v>2670</v>
      </c>
      <c r="D27" s="13" t="s">
        <v>2671</v>
      </c>
      <c r="E27" s="13" t="s">
        <v>2672</v>
      </c>
      <c r="F27" s="13" t="s">
        <v>2673</v>
      </c>
      <c r="G27" s="13" t="s">
        <v>2674</v>
      </c>
      <c r="H27" s="13" t="s">
        <v>2675</v>
      </c>
      <c r="I27" s="13" t="s">
        <v>2648</v>
      </c>
      <c r="J27" s="13" t="s">
        <v>2676</v>
      </c>
    </row>
    <row r="28" customFormat="false" ht="23.85" hidden="false" customHeight="false" outlineLevel="0" collapsed="false">
      <c r="A28" s="6" t="s">
        <v>649</v>
      </c>
      <c r="B28" s="6" t="s">
        <v>2677</v>
      </c>
      <c r="C28" s="7" t="n">
        <v>43629</v>
      </c>
      <c r="D28" s="7" t="n">
        <v>43633</v>
      </c>
      <c r="E28" s="6" t="n">
        <v>4</v>
      </c>
      <c r="F28" s="6" t="n">
        <v>2</v>
      </c>
      <c r="G28" s="6" t="n">
        <v>1</v>
      </c>
      <c r="H28" s="6" t="n">
        <v>1</v>
      </c>
      <c r="I28" s="6" t="s">
        <v>637</v>
      </c>
      <c r="J28" s="6" t="s">
        <v>2678</v>
      </c>
    </row>
    <row r="29" customFormat="false" ht="23.85" hidden="false" customHeight="false" outlineLevel="0" collapsed="false">
      <c r="A29" s="6" t="s">
        <v>657</v>
      </c>
      <c r="B29" s="6" t="s">
        <v>2679</v>
      </c>
      <c r="C29" s="7" t="n">
        <v>43636</v>
      </c>
      <c r="D29" s="7" t="n">
        <v>43640</v>
      </c>
      <c r="E29" s="6" t="n">
        <v>4</v>
      </c>
      <c r="F29" s="6" t="n">
        <v>2</v>
      </c>
      <c r="G29" s="6" t="n">
        <v>1</v>
      </c>
      <c r="H29" s="6" t="n">
        <v>1</v>
      </c>
      <c r="I29" s="6" t="s">
        <v>637</v>
      </c>
      <c r="J29" s="6" t="s">
        <v>2680</v>
      </c>
    </row>
    <row r="30" customFormat="false" ht="23.85" hidden="false" customHeight="false" outlineLevel="0" collapsed="false">
      <c r="A30" s="6" t="s">
        <v>673</v>
      </c>
      <c r="B30" s="6" t="s">
        <v>2681</v>
      </c>
      <c r="C30" s="7" t="n">
        <v>43722</v>
      </c>
      <c r="D30" s="7" t="n">
        <v>43728</v>
      </c>
      <c r="E30" s="6" t="n">
        <v>6</v>
      </c>
      <c r="F30" s="6" t="n">
        <v>3</v>
      </c>
      <c r="G30" s="6" t="n">
        <v>1</v>
      </c>
      <c r="H30" s="6" t="n">
        <v>1</v>
      </c>
      <c r="I30" s="6" t="s">
        <v>637</v>
      </c>
      <c r="J30" s="6" t="s">
        <v>2682</v>
      </c>
    </row>
    <row r="31" customFormat="false" ht="23.85" hidden="false" customHeight="false" outlineLevel="0" collapsed="false">
      <c r="A31" s="6" t="s">
        <v>685</v>
      </c>
      <c r="B31" s="6" t="s">
        <v>2683</v>
      </c>
      <c r="C31" s="7" t="n">
        <v>43826</v>
      </c>
      <c r="D31" s="7" t="n">
        <v>43840</v>
      </c>
      <c r="E31" s="6" t="n">
        <v>14</v>
      </c>
      <c r="F31" s="6" t="n">
        <v>6</v>
      </c>
      <c r="G31" s="6" t="n">
        <v>5</v>
      </c>
      <c r="H31" s="6" t="n">
        <v>5</v>
      </c>
      <c r="I31" s="6" t="s">
        <v>637</v>
      </c>
      <c r="J31" s="6" t="s">
        <v>2684</v>
      </c>
    </row>
    <row r="32" customFormat="false" ht="23.85" hidden="false" customHeight="false" outlineLevel="0" collapsed="false">
      <c r="A32" s="6" t="s">
        <v>710</v>
      </c>
      <c r="B32" s="6" t="s">
        <v>2685</v>
      </c>
      <c r="C32" s="7" t="n">
        <v>43901</v>
      </c>
      <c r="D32" s="7" t="n">
        <v>43904</v>
      </c>
      <c r="E32" s="6" t="n">
        <v>3</v>
      </c>
      <c r="F32" s="6" t="n">
        <v>3</v>
      </c>
      <c r="G32" s="6" t="n">
        <v>2</v>
      </c>
      <c r="H32" s="6" t="n">
        <v>3</v>
      </c>
      <c r="I32" s="6" t="s">
        <v>637</v>
      </c>
      <c r="J32" s="6" t="s">
        <v>2686</v>
      </c>
    </row>
    <row r="33" customFormat="false" ht="15" hidden="false" customHeight="false" outlineLevel="0" collapsed="false">
      <c r="A33" s="6" t="s">
        <v>730</v>
      </c>
      <c r="B33" s="6" t="s">
        <v>2687</v>
      </c>
      <c r="C33" s="7" t="n">
        <v>44374</v>
      </c>
      <c r="D33" s="7" t="n">
        <v>44375</v>
      </c>
      <c r="E33" s="6" t="n">
        <v>1</v>
      </c>
      <c r="F33" s="6" t="n">
        <v>2</v>
      </c>
      <c r="G33" s="6" t="n">
        <v>1</v>
      </c>
      <c r="H33" s="6" t="n">
        <v>2</v>
      </c>
      <c r="I33" s="6" t="s">
        <v>722</v>
      </c>
      <c r="J33" s="6" t="s">
        <v>2688</v>
      </c>
    </row>
    <row r="34" customFormat="false" ht="15" hidden="false" customHeight="false" outlineLevel="0" collapsed="false">
      <c r="A34" s="6" t="s">
        <v>740</v>
      </c>
      <c r="B34" s="6" t="s">
        <v>2689</v>
      </c>
      <c r="C34" s="7" t="n">
        <v>44797</v>
      </c>
      <c r="D34" s="7" t="n">
        <v>44797</v>
      </c>
      <c r="E34" s="6" t="n">
        <v>0</v>
      </c>
      <c r="F34" s="6" t="n">
        <v>2</v>
      </c>
      <c r="G34" s="6" t="n">
        <v>1</v>
      </c>
      <c r="H34" s="6" t="n">
        <v>2</v>
      </c>
      <c r="I34" s="6" t="s">
        <v>722</v>
      </c>
      <c r="J34" s="6" t="s">
        <v>2690</v>
      </c>
    </row>
    <row r="35" customFormat="false" ht="15" hidden="false" customHeight="false" outlineLevel="0" collapsed="false">
      <c r="A35" s="6" t="s">
        <v>752</v>
      </c>
      <c r="B35" s="6" t="s">
        <v>2691</v>
      </c>
      <c r="C35" s="7" t="n">
        <v>45008</v>
      </c>
      <c r="D35" s="7" t="n">
        <v>45009</v>
      </c>
      <c r="E35" s="6" t="n">
        <v>1</v>
      </c>
      <c r="F35" s="6" t="n">
        <v>3</v>
      </c>
      <c r="G35" s="6" t="n">
        <v>2</v>
      </c>
      <c r="H35" s="6" t="n">
        <v>3</v>
      </c>
      <c r="I35" s="6" t="s">
        <v>722</v>
      </c>
      <c r="J35" s="6" t="s">
        <v>2692</v>
      </c>
    </row>
    <row r="36" customFormat="false" ht="23.85" hidden="false" customHeight="false" outlineLevel="0" collapsed="false">
      <c r="A36" s="6" t="s">
        <v>784</v>
      </c>
      <c r="B36" s="6" t="s">
        <v>2693</v>
      </c>
      <c r="C36" s="7" t="n">
        <v>45285</v>
      </c>
      <c r="D36" s="7" t="n">
        <v>45286</v>
      </c>
      <c r="E36" s="6" t="n">
        <v>1</v>
      </c>
      <c r="F36" s="6" t="n">
        <v>2</v>
      </c>
      <c r="G36" s="6" t="n">
        <v>1</v>
      </c>
      <c r="H36" s="6" t="n">
        <v>2</v>
      </c>
      <c r="I36" s="6" t="s">
        <v>722</v>
      </c>
      <c r="J36" s="6" t="s">
        <v>2694</v>
      </c>
    </row>
    <row r="37" customFormat="false" ht="23.85" hidden="false" customHeight="false" outlineLevel="0" collapsed="false">
      <c r="A37" s="6" t="s">
        <v>797</v>
      </c>
      <c r="B37" s="6" t="s">
        <v>2695</v>
      </c>
      <c r="C37" s="7" t="n">
        <v>45319</v>
      </c>
      <c r="D37" s="7" t="n">
        <v>45326</v>
      </c>
      <c r="E37" s="6" t="n">
        <v>7</v>
      </c>
      <c r="F37" s="6" t="n">
        <v>4</v>
      </c>
      <c r="G37" s="6" t="n">
        <v>2</v>
      </c>
      <c r="H37" s="6" t="n">
        <v>3</v>
      </c>
      <c r="I37" s="6" t="s">
        <v>722</v>
      </c>
      <c r="J37" s="6" t="s">
        <v>2696</v>
      </c>
    </row>
    <row r="38" customFormat="false" ht="23.85" hidden="false" customHeight="false" outlineLevel="0" collapsed="false">
      <c r="A38" s="6" t="s">
        <v>820</v>
      </c>
      <c r="B38" s="6" t="s">
        <v>2697</v>
      </c>
      <c r="C38" s="7" t="n">
        <v>45395</v>
      </c>
      <c r="D38" s="7" t="n">
        <v>45400</v>
      </c>
      <c r="E38" s="6" t="n">
        <v>5</v>
      </c>
      <c r="F38" s="6" t="n">
        <v>2</v>
      </c>
      <c r="G38" s="6" t="n">
        <v>1</v>
      </c>
      <c r="H38" s="6" t="n">
        <v>1</v>
      </c>
      <c r="I38" s="6" t="s">
        <v>722</v>
      </c>
      <c r="J38" s="6" t="s">
        <v>2698</v>
      </c>
    </row>
    <row r="39" customFormat="false" ht="15" hidden="false" customHeight="false" outlineLevel="0" collapsed="false">
      <c r="A39" s="6" t="s">
        <v>826</v>
      </c>
      <c r="B39" s="6" t="s">
        <v>2699</v>
      </c>
      <c r="C39" s="7" t="n">
        <v>45566</v>
      </c>
      <c r="D39" s="7" t="n">
        <v>45578</v>
      </c>
      <c r="E39" s="6" t="n">
        <v>12</v>
      </c>
      <c r="F39" s="6" t="n">
        <v>2</v>
      </c>
      <c r="G39" s="6" t="n">
        <v>1</v>
      </c>
      <c r="H39" s="6" t="n">
        <v>1</v>
      </c>
      <c r="I39" s="6" t="s">
        <v>722</v>
      </c>
      <c r="J39" s="6" t="s">
        <v>2700</v>
      </c>
    </row>
    <row r="40" customFormat="false" ht="23.85" hidden="false" customHeight="false" outlineLevel="0" collapsed="false">
      <c r="A40" s="6" t="s">
        <v>845</v>
      </c>
      <c r="B40" s="6" t="s">
        <v>2701</v>
      </c>
      <c r="C40" s="7" t="n">
        <v>45821</v>
      </c>
      <c r="D40" s="7" t="n">
        <v>45832</v>
      </c>
      <c r="E40" s="6" t="n">
        <v>11</v>
      </c>
      <c r="F40" s="6" t="n">
        <v>5</v>
      </c>
      <c r="G40" s="6" t="n">
        <v>4</v>
      </c>
      <c r="H40" s="6" t="n">
        <v>4</v>
      </c>
      <c r="I40" s="6" t="s">
        <v>844</v>
      </c>
      <c r="J40" s="6" t="s">
        <v>2702</v>
      </c>
    </row>
    <row r="41" customFormat="false" ht="15" hidden="false" customHeight="false" outlineLevel="0" collapsed="false">
      <c r="A41" s="6" t="s">
        <v>72</v>
      </c>
      <c r="B41" s="6" t="s">
        <v>2703</v>
      </c>
      <c r="C41" s="7" t="n">
        <v>46081</v>
      </c>
      <c r="D41" s="7" t="n">
        <v>46082</v>
      </c>
      <c r="E41" s="6" t="n">
        <v>1</v>
      </c>
      <c r="F41" s="6" t="n">
        <v>5</v>
      </c>
      <c r="G41" s="6" t="n">
        <v>1</v>
      </c>
      <c r="H41" s="6" t="n">
        <v>5</v>
      </c>
      <c r="I41" s="6" t="s">
        <v>71</v>
      </c>
      <c r="J41" s="6" t="s">
        <v>2704</v>
      </c>
    </row>
    <row r="42" customFormat="false" ht="23.85" hidden="false" customHeight="false" outlineLevel="0" collapsed="false">
      <c r="A42" s="6" t="s">
        <v>120</v>
      </c>
      <c r="B42" s="6" t="s">
        <v>2705</v>
      </c>
      <c r="C42" s="7" t="n">
        <v>46084</v>
      </c>
      <c r="D42" s="7" t="n">
        <v>46084</v>
      </c>
      <c r="E42" s="6" t="n">
        <v>0</v>
      </c>
      <c r="F42" s="6" t="n">
        <v>2</v>
      </c>
      <c r="G42" s="6" t="n">
        <v>1</v>
      </c>
      <c r="H42" s="6" t="n">
        <v>2</v>
      </c>
      <c r="I42" s="6" t="s">
        <v>71</v>
      </c>
      <c r="J42" s="6" t="s">
        <v>2706</v>
      </c>
    </row>
    <row r="43" customFormat="false" ht="15" hidden="false" customHeight="false" outlineLevel="0" collapsed="false">
      <c r="A43" s="6" t="s">
        <v>154</v>
      </c>
      <c r="B43" s="6" t="s">
        <v>2707</v>
      </c>
      <c r="C43" s="7" t="n">
        <v>46102</v>
      </c>
      <c r="D43" s="7" t="n">
        <v>46102</v>
      </c>
      <c r="E43" s="6" t="n">
        <v>0</v>
      </c>
      <c r="F43" s="6" t="n">
        <v>2</v>
      </c>
      <c r="G43" s="6" t="n">
        <v>1</v>
      </c>
      <c r="H43" s="6" t="n">
        <v>2</v>
      </c>
      <c r="I43" s="6" t="s">
        <v>71</v>
      </c>
      <c r="J43" s="6" t="s">
        <v>2708</v>
      </c>
    </row>
    <row r="44" customFormat="false" ht="15" hidden="false" customHeight="false" outlineLevel="0" collapsed="false">
      <c r="A44" s="6" t="s">
        <v>174</v>
      </c>
      <c r="B44" s="6" t="s">
        <v>2709</v>
      </c>
      <c r="C44" s="7" t="n">
        <v>46107</v>
      </c>
      <c r="D44" s="7" t="n">
        <v>46108</v>
      </c>
      <c r="E44" s="6" t="n">
        <v>1</v>
      </c>
      <c r="F44" s="6" t="n">
        <v>2</v>
      </c>
      <c r="G44" s="6" t="n">
        <v>1</v>
      </c>
      <c r="H44" s="6" t="n">
        <v>2</v>
      </c>
      <c r="I44" s="6" t="s">
        <v>71</v>
      </c>
      <c r="J44" s="6" t="s">
        <v>2710</v>
      </c>
    </row>
    <row r="45" customFormat="false" ht="23.85" hidden="false" customHeight="false" outlineLevel="0" collapsed="false">
      <c r="A45" s="6" t="s">
        <v>219</v>
      </c>
      <c r="B45" s="6" t="s">
        <v>2711</v>
      </c>
      <c r="C45" s="7" t="n">
        <v>46119</v>
      </c>
      <c r="D45" s="7" t="n">
        <v>46120</v>
      </c>
      <c r="E45" s="6" t="n">
        <v>1</v>
      </c>
      <c r="F45" s="6" t="n">
        <v>3</v>
      </c>
      <c r="G45" s="6" t="n">
        <v>1</v>
      </c>
      <c r="H45" s="6" t="n">
        <v>2</v>
      </c>
      <c r="I45" s="6" t="s">
        <v>71</v>
      </c>
      <c r="J45" s="6" t="s">
        <v>2712</v>
      </c>
    </row>
    <row r="46" customFormat="false" ht="23.85" hidden="false" customHeight="false" outlineLevel="0" collapsed="false">
      <c r="A46" s="6" t="s">
        <v>252</v>
      </c>
      <c r="B46" s="6" t="s">
        <v>2713</v>
      </c>
      <c r="C46" s="7" t="n">
        <v>46123</v>
      </c>
      <c r="D46" s="7" t="n">
        <v>46130</v>
      </c>
      <c r="E46" s="6" t="n">
        <v>7</v>
      </c>
      <c r="F46" s="6" t="n">
        <v>3</v>
      </c>
      <c r="G46" s="6" t="n">
        <v>1</v>
      </c>
      <c r="H46" s="6" t="n">
        <v>2</v>
      </c>
      <c r="I46" s="6" t="s">
        <v>227</v>
      </c>
      <c r="J46" s="6" t="s">
        <v>2714</v>
      </c>
    </row>
    <row r="47" customFormat="false" ht="15" hidden="false" customHeight="false" outlineLevel="0" collapsed="false">
      <c r="A47" s="6" t="s">
        <v>265</v>
      </c>
      <c r="B47" s="6" t="s">
        <v>2715</v>
      </c>
      <c r="C47" s="7" t="n">
        <v>46131</v>
      </c>
      <c r="D47" s="7" t="n">
        <v>46134</v>
      </c>
      <c r="E47" s="6" t="n">
        <v>3</v>
      </c>
      <c r="F47" s="6" t="n">
        <v>2</v>
      </c>
      <c r="G47" s="6" t="n">
        <v>1</v>
      </c>
      <c r="H47" s="6" t="n">
        <v>2</v>
      </c>
      <c r="I47" s="6" t="s">
        <v>227</v>
      </c>
      <c r="J47" s="6" t="s">
        <v>2716</v>
      </c>
    </row>
    <row r="48" customFormat="false" ht="23.85" hidden="false" customHeight="false" outlineLevel="0" collapsed="false">
      <c r="A48" s="6" t="s">
        <v>288</v>
      </c>
      <c r="B48" s="6" t="s">
        <v>2717</v>
      </c>
      <c r="C48" s="7" t="n">
        <v>46149</v>
      </c>
      <c r="D48" s="7" t="n">
        <v>46149</v>
      </c>
      <c r="E48" s="6" t="n">
        <v>0</v>
      </c>
      <c r="F48" s="6" t="n">
        <v>2</v>
      </c>
      <c r="G48" s="6" t="n">
        <v>1</v>
      </c>
      <c r="H48" s="6" t="n">
        <v>2</v>
      </c>
      <c r="I48" s="6" t="s">
        <v>227</v>
      </c>
      <c r="J48" s="6" t="s">
        <v>2718</v>
      </c>
    </row>
    <row r="49" customFormat="false" ht="23.85" hidden="false" customHeight="false" outlineLevel="0" collapsed="false">
      <c r="A49" s="6" t="s">
        <v>296</v>
      </c>
      <c r="B49" s="6" t="s">
        <v>2719</v>
      </c>
      <c r="C49" s="7" t="n">
        <v>46181</v>
      </c>
      <c r="D49" s="7" t="n">
        <v>46184</v>
      </c>
      <c r="E49" s="6" t="n">
        <v>3</v>
      </c>
      <c r="F49" s="6" t="n">
        <v>6</v>
      </c>
      <c r="G49" s="6" t="n">
        <v>3</v>
      </c>
      <c r="H49" s="6" t="n">
        <v>5</v>
      </c>
      <c r="I49" s="6" t="s">
        <v>227</v>
      </c>
      <c r="J49" s="6" t="s">
        <v>2720</v>
      </c>
    </row>
    <row r="50" customFormat="false" ht="15" hidden="false" customHeight="false" outlineLevel="0" collapsed="false">
      <c r="A50" s="6" t="s">
        <v>330</v>
      </c>
      <c r="B50" s="6" t="s">
        <v>2721</v>
      </c>
      <c r="C50" s="7" t="n">
        <v>46190</v>
      </c>
      <c r="D50" s="7" t="n">
        <v>46191</v>
      </c>
      <c r="E50" s="6" t="n">
        <v>1</v>
      </c>
      <c r="F50" s="6" t="n">
        <v>2</v>
      </c>
      <c r="G50" s="6" t="n">
        <v>0</v>
      </c>
      <c r="H50" s="6" t="n">
        <v>1</v>
      </c>
      <c r="I50" s="6" t="s">
        <v>227</v>
      </c>
      <c r="J50" s="6" t="s">
        <v>2722</v>
      </c>
    </row>
    <row r="51" customFormat="false" ht="15" hidden="false" customHeight="false" outlineLevel="0" collapsed="false">
      <c r="A51" s="6" t="s">
        <v>338</v>
      </c>
      <c r="B51" s="6" t="s">
        <v>2723</v>
      </c>
      <c r="C51" s="7" t="n">
        <v>46193</v>
      </c>
      <c r="D51" s="7" t="n">
        <v>46193</v>
      </c>
      <c r="E51" s="6" t="n">
        <v>0</v>
      </c>
      <c r="F51" s="6" t="n">
        <v>2</v>
      </c>
      <c r="G51" s="6" t="n">
        <v>1</v>
      </c>
      <c r="H51" s="6" t="n">
        <v>2</v>
      </c>
      <c r="I51" s="6" t="s">
        <v>227</v>
      </c>
      <c r="J51" s="6" t="s">
        <v>2724</v>
      </c>
    </row>
    <row r="52" customFormat="false" ht="23.85" hidden="false" customHeight="false" outlineLevel="0" collapsed="false">
      <c r="A52" s="6" t="s">
        <v>346</v>
      </c>
      <c r="B52" s="6" t="s">
        <v>2725</v>
      </c>
      <c r="C52" s="7" t="n">
        <v>46198</v>
      </c>
      <c r="D52" s="7" t="n">
        <v>46200</v>
      </c>
      <c r="E52" s="6" t="n">
        <v>2</v>
      </c>
      <c r="F52" s="6" t="n">
        <v>3</v>
      </c>
      <c r="G52" s="6" t="n">
        <v>2</v>
      </c>
      <c r="H52" s="6" t="n">
        <v>3</v>
      </c>
      <c r="I52" s="6" t="s">
        <v>227</v>
      </c>
      <c r="J52" s="6" t="s">
        <v>2726</v>
      </c>
    </row>
    <row r="53" customFormat="false" ht="23.85" hidden="false" customHeight="false" outlineLevel="0" collapsed="false">
      <c r="A53" s="6" t="s">
        <v>359</v>
      </c>
      <c r="B53" s="6" t="s">
        <v>2727</v>
      </c>
      <c r="C53" s="7" t="n">
        <v>46210</v>
      </c>
      <c r="D53" s="7" t="n">
        <v>46215</v>
      </c>
      <c r="E53" s="6" t="n">
        <v>5</v>
      </c>
      <c r="F53" s="6" t="n">
        <v>7</v>
      </c>
      <c r="G53" s="6" t="n">
        <v>2</v>
      </c>
      <c r="H53" s="6" t="n">
        <v>5</v>
      </c>
      <c r="I53" s="6" t="s">
        <v>227</v>
      </c>
      <c r="J53" s="6" t="s">
        <v>2728</v>
      </c>
    </row>
    <row r="54" customFormat="false" ht="15" hidden="false" customHeight="false" outlineLevel="0" collapsed="false">
      <c r="A54" s="6" t="s">
        <v>417</v>
      </c>
      <c r="B54" s="6" t="s">
        <v>2729</v>
      </c>
      <c r="C54" s="7" t="n">
        <v>46264</v>
      </c>
      <c r="D54" s="7" t="n">
        <v>46266</v>
      </c>
      <c r="E54" s="6" t="n">
        <v>2</v>
      </c>
      <c r="F54" s="6" t="n">
        <v>5</v>
      </c>
      <c r="G54" s="6" t="n">
        <v>3</v>
      </c>
      <c r="H54" s="6" t="n">
        <v>5</v>
      </c>
      <c r="I54" s="6" t="s">
        <v>408</v>
      </c>
      <c r="J54" s="6" t="s">
        <v>2730</v>
      </c>
    </row>
    <row r="55" customFormat="false" ht="23.85" hidden="false" customHeight="false" outlineLevel="0" collapsed="false">
      <c r="A55" s="6" t="s">
        <v>449</v>
      </c>
      <c r="B55" s="6" t="s">
        <v>2731</v>
      </c>
      <c r="C55" s="7" t="n">
        <v>46273</v>
      </c>
      <c r="D55" s="7" t="n">
        <v>46274</v>
      </c>
      <c r="E55" s="6" t="n">
        <v>1</v>
      </c>
      <c r="F55" s="6" t="n">
        <v>3</v>
      </c>
      <c r="G55" s="6" t="n">
        <v>2</v>
      </c>
      <c r="H55" s="6" t="n">
        <v>3</v>
      </c>
      <c r="I55" s="6" t="s">
        <v>408</v>
      </c>
      <c r="J55" s="6" t="s">
        <v>2732</v>
      </c>
    </row>
    <row r="56" customFormat="false" ht="23.85" hidden="false" customHeight="false" outlineLevel="0" collapsed="false">
      <c r="A56" s="6" t="s">
        <v>463</v>
      </c>
      <c r="B56" s="6" t="s">
        <v>2733</v>
      </c>
      <c r="C56" s="7" t="n">
        <v>46288</v>
      </c>
      <c r="D56" s="7" t="n">
        <v>46320</v>
      </c>
      <c r="E56" s="6" t="n">
        <v>32</v>
      </c>
      <c r="F56" s="6" t="n">
        <v>8</v>
      </c>
      <c r="G56" s="6" t="n">
        <v>2</v>
      </c>
      <c r="H56" s="6" t="n">
        <v>0</v>
      </c>
      <c r="I56" s="6" t="s">
        <v>462</v>
      </c>
      <c r="J56" s="6" t="s">
        <v>2734</v>
      </c>
    </row>
    <row r="57" customFormat="false" ht="15" hidden="false" customHeight="false" outlineLevel="0" collapsed="false">
      <c r="A57" s="6" t="s">
        <v>474</v>
      </c>
      <c r="B57" s="6" t="s">
        <v>2735</v>
      </c>
      <c r="C57" s="7" t="n">
        <v>46292</v>
      </c>
      <c r="D57" s="7" t="n">
        <v>46299</v>
      </c>
      <c r="E57" s="6" t="n">
        <v>7</v>
      </c>
      <c r="F57" s="6" t="n">
        <v>2</v>
      </c>
      <c r="G57" s="6" t="n">
        <v>1</v>
      </c>
      <c r="H57" s="6" t="n">
        <v>0</v>
      </c>
      <c r="I57" s="6" t="s">
        <v>462</v>
      </c>
      <c r="J57" s="6" t="s">
        <v>2736</v>
      </c>
    </row>
    <row r="58" customFormat="false" ht="23.85" hidden="false" customHeight="false" outlineLevel="0" collapsed="false">
      <c r="A58" s="6" t="s">
        <v>527</v>
      </c>
      <c r="B58" s="6" t="s">
        <v>2737</v>
      </c>
      <c r="C58" s="7" t="n">
        <v>46303</v>
      </c>
      <c r="D58" s="7" t="n">
        <v>46320</v>
      </c>
      <c r="E58" s="6" t="n">
        <v>17</v>
      </c>
      <c r="F58" s="6" t="n">
        <v>4</v>
      </c>
      <c r="G58" s="6" t="n">
        <v>0</v>
      </c>
      <c r="H58" s="6" t="n">
        <v>0</v>
      </c>
      <c r="I58" s="6" t="s">
        <v>462</v>
      </c>
      <c r="J58" s="6" t="s">
        <v>2738</v>
      </c>
    </row>
    <row r="59" customFormat="false" ht="23.85" hidden="false" customHeight="false" outlineLevel="0" collapsed="false">
      <c r="A59" s="6" t="s">
        <v>534</v>
      </c>
      <c r="B59" s="6" t="s">
        <v>2739</v>
      </c>
      <c r="C59" s="7" t="n">
        <v>46303</v>
      </c>
      <c r="D59" s="7" t="n">
        <v>46305</v>
      </c>
      <c r="E59" s="6" t="n">
        <v>2</v>
      </c>
      <c r="F59" s="6" t="n">
        <v>2</v>
      </c>
      <c r="G59" s="6" t="n">
        <v>0</v>
      </c>
      <c r="H59" s="6" t="n">
        <v>2</v>
      </c>
      <c r="I59" s="6" t="s">
        <v>462</v>
      </c>
      <c r="J59" s="6" t="s">
        <v>2740</v>
      </c>
    </row>
    <row r="62" customFormat="false" ht="15" hidden="false" customHeight="false" outlineLevel="0" collapsed="false">
      <c r="A62" s="27" t="s">
        <v>2741</v>
      </c>
    </row>
    <row r="63" customFormat="false" ht="15" hidden="false" customHeight="false" outlineLevel="0" collapsed="false">
      <c r="A63" s="16" t="s">
        <v>2742</v>
      </c>
    </row>
    <row r="65" customFormat="false" ht="15" hidden="false" customHeight="false" outlineLevel="0" collapsed="false">
      <c r="A65" s="13" t="s">
        <v>2743</v>
      </c>
      <c r="B65" s="13" t="s">
        <v>2744</v>
      </c>
      <c r="C65" s="13" t="s">
        <v>2745</v>
      </c>
      <c r="D65" s="13" t="s">
        <v>2746</v>
      </c>
      <c r="E65" s="13" t="s">
        <v>2747</v>
      </c>
      <c r="F65" s="13" t="s">
        <v>2748</v>
      </c>
      <c r="G65" s="13" t="s">
        <v>2749</v>
      </c>
    </row>
    <row r="66" customFormat="false" ht="15" hidden="false" customHeight="false" outlineLevel="0" collapsed="false">
      <c r="A66" s="28" t="n">
        <v>43584</v>
      </c>
      <c r="B66" s="28" t="n">
        <v>43590</v>
      </c>
      <c r="C66" s="21" t="n">
        <v>0</v>
      </c>
      <c r="D66" s="21" t="n">
        <v>0</v>
      </c>
      <c r="E66" s="21" t="n">
        <v>0</v>
      </c>
      <c r="F66" s="21" t="n">
        <v>0</v>
      </c>
      <c r="G66" s="29" t="s">
        <v>2750</v>
      </c>
    </row>
    <row r="67" customFormat="false" ht="15" hidden="false" customHeight="false" outlineLevel="0" collapsed="false">
      <c r="A67" s="28" t="n">
        <v>43591</v>
      </c>
      <c r="B67" s="28" t="n">
        <v>43597</v>
      </c>
      <c r="C67" s="21" t="n">
        <v>0</v>
      </c>
      <c r="D67" s="21" t="n">
        <v>1</v>
      </c>
      <c r="E67" s="21" t="n">
        <v>0</v>
      </c>
      <c r="F67" s="21" t="n">
        <v>1</v>
      </c>
      <c r="G67" s="30" t="s">
        <v>184</v>
      </c>
    </row>
    <row r="68" customFormat="false" ht="15" hidden="false" customHeight="false" outlineLevel="0" collapsed="false">
      <c r="A68" s="28" t="n">
        <v>43598</v>
      </c>
      <c r="B68" s="28" t="n">
        <v>43604</v>
      </c>
      <c r="C68" s="21" t="n">
        <v>0</v>
      </c>
      <c r="D68" s="21" t="n">
        <v>0</v>
      </c>
      <c r="E68" s="21" t="n">
        <v>0</v>
      </c>
      <c r="F68" s="21" t="n">
        <v>0</v>
      </c>
      <c r="G68" s="30" t="s">
        <v>184</v>
      </c>
    </row>
    <row r="69" customFormat="false" ht="15" hidden="false" customHeight="false" outlineLevel="0" collapsed="false">
      <c r="A69" s="28" t="n">
        <v>43605</v>
      </c>
      <c r="B69" s="28" t="n">
        <v>43611</v>
      </c>
      <c r="C69" s="21" t="n">
        <v>0</v>
      </c>
      <c r="D69" s="21" t="n">
        <v>0</v>
      </c>
      <c r="E69" s="21" t="n">
        <v>0</v>
      </c>
      <c r="F69" s="21" t="n">
        <v>0</v>
      </c>
      <c r="G69" s="29" t="s">
        <v>2750</v>
      </c>
    </row>
    <row r="70" customFormat="false" ht="15" hidden="false" customHeight="false" outlineLevel="0" collapsed="false">
      <c r="A70" s="28" t="n">
        <v>43612</v>
      </c>
      <c r="B70" s="28" t="n">
        <v>43618</v>
      </c>
      <c r="C70" s="21" t="n">
        <v>0</v>
      </c>
      <c r="D70" s="21" t="n">
        <v>0</v>
      </c>
      <c r="E70" s="21" t="n">
        <v>0</v>
      </c>
      <c r="F70" s="21" t="n">
        <v>0</v>
      </c>
      <c r="G70" s="29" t="s">
        <v>2750</v>
      </c>
    </row>
    <row r="71" customFormat="false" ht="15" hidden="false" customHeight="false" outlineLevel="0" collapsed="false">
      <c r="A71" s="28" t="n">
        <v>43619</v>
      </c>
      <c r="B71" s="28" t="n">
        <v>43625</v>
      </c>
      <c r="C71" s="21" t="n">
        <v>0</v>
      </c>
      <c r="D71" s="21" t="n">
        <v>0</v>
      </c>
      <c r="E71" s="21" t="n">
        <v>0</v>
      </c>
      <c r="F71" s="21" t="n">
        <v>0</v>
      </c>
      <c r="G71" s="29" t="s">
        <v>2750</v>
      </c>
    </row>
    <row r="72" customFormat="false" ht="15" hidden="false" customHeight="false" outlineLevel="0" collapsed="false">
      <c r="A72" s="28" t="n">
        <v>43626</v>
      </c>
      <c r="B72" s="28" t="n">
        <v>43632</v>
      </c>
      <c r="C72" s="21" t="n">
        <v>0</v>
      </c>
      <c r="D72" s="21" t="n">
        <v>1</v>
      </c>
      <c r="E72" s="21" t="n">
        <v>0</v>
      </c>
      <c r="F72" s="21" t="n">
        <v>1</v>
      </c>
      <c r="G72" s="30" t="s">
        <v>184</v>
      </c>
    </row>
    <row r="73" customFormat="false" ht="15" hidden="false" customHeight="false" outlineLevel="0" collapsed="false">
      <c r="A73" s="28" t="n">
        <v>43633</v>
      </c>
      <c r="B73" s="28" t="n">
        <v>43639</v>
      </c>
      <c r="C73" s="21" t="n">
        <v>1</v>
      </c>
      <c r="D73" s="21" t="n">
        <v>0</v>
      </c>
      <c r="E73" s="21" t="n">
        <v>0</v>
      </c>
      <c r="F73" s="21" t="n">
        <v>2</v>
      </c>
      <c r="G73" s="30" t="s">
        <v>184</v>
      </c>
    </row>
    <row r="74" customFormat="false" ht="15" hidden="false" customHeight="false" outlineLevel="0" collapsed="false">
      <c r="A74" s="28" t="n">
        <v>43640</v>
      </c>
      <c r="B74" s="28" t="n">
        <v>43646</v>
      </c>
      <c r="C74" s="21" t="n">
        <v>0</v>
      </c>
      <c r="D74" s="21" t="n">
        <v>0</v>
      </c>
      <c r="E74" s="21" t="n">
        <v>0</v>
      </c>
      <c r="F74" s="21" t="n">
        <v>0</v>
      </c>
      <c r="G74" s="30" t="s">
        <v>184</v>
      </c>
    </row>
    <row r="75" customFormat="false" ht="15" hidden="false" customHeight="false" outlineLevel="0" collapsed="false">
      <c r="A75" s="28" t="n">
        <v>43647</v>
      </c>
      <c r="B75" s="28" t="n">
        <v>43653</v>
      </c>
      <c r="C75" s="21" t="n">
        <v>0</v>
      </c>
      <c r="D75" s="21" t="n">
        <v>0</v>
      </c>
      <c r="E75" s="21" t="n">
        <v>0</v>
      </c>
      <c r="F75" s="21" t="n">
        <v>0</v>
      </c>
      <c r="G75" s="29" t="s">
        <v>2750</v>
      </c>
    </row>
    <row r="76" customFormat="false" ht="15" hidden="false" customHeight="false" outlineLevel="0" collapsed="false">
      <c r="A76" s="28" t="n">
        <v>43654</v>
      </c>
      <c r="B76" s="28" t="n">
        <v>43660</v>
      </c>
      <c r="C76" s="21" t="n">
        <v>0</v>
      </c>
      <c r="D76" s="21" t="n">
        <v>0</v>
      </c>
      <c r="E76" s="21" t="n">
        <v>0</v>
      </c>
      <c r="F76" s="21" t="n">
        <v>0</v>
      </c>
      <c r="G76" s="29" t="s">
        <v>2750</v>
      </c>
    </row>
    <row r="77" customFormat="false" ht="15" hidden="false" customHeight="false" outlineLevel="0" collapsed="false">
      <c r="A77" s="28" t="n">
        <v>43661</v>
      </c>
      <c r="B77" s="28" t="n">
        <v>43667</v>
      </c>
      <c r="C77" s="21" t="n">
        <v>1</v>
      </c>
      <c r="D77" s="21" t="n">
        <v>0</v>
      </c>
      <c r="E77" s="21" t="n">
        <v>0</v>
      </c>
      <c r="F77" s="21" t="n">
        <v>2</v>
      </c>
      <c r="G77" s="30" t="s">
        <v>184</v>
      </c>
    </row>
    <row r="78" customFormat="false" ht="15" hidden="false" customHeight="false" outlineLevel="0" collapsed="false">
      <c r="A78" s="28" t="n">
        <v>43668</v>
      </c>
      <c r="B78" s="28" t="n">
        <v>43674</v>
      </c>
      <c r="C78" s="21" t="n">
        <v>0</v>
      </c>
      <c r="D78" s="21" t="n">
        <v>0</v>
      </c>
      <c r="E78" s="21" t="n">
        <v>0</v>
      </c>
      <c r="F78" s="21" t="n">
        <v>0</v>
      </c>
      <c r="G78" s="30" t="s">
        <v>184</v>
      </c>
    </row>
    <row r="79" customFormat="false" ht="15" hidden="false" customHeight="false" outlineLevel="0" collapsed="false">
      <c r="A79" s="28" t="n">
        <v>43675</v>
      </c>
      <c r="B79" s="28" t="n">
        <v>43681</v>
      </c>
      <c r="C79" s="21" t="n">
        <v>0</v>
      </c>
      <c r="D79" s="21" t="n">
        <v>0</v>
      </c>
      <c r="E79" s="21" t="n">
        <v>0</v>
      </c>
      <c r="F79" s="21" t="n">
        <v>0</v>
      </c>
      <c r="G79" s="29" t="s">
        <v>2750</v>
      </c>
    </row>
    <row r="80" customFormat="false" ht="15" hidden="false" customHeight="false" outlineLevel="0" collapsed="false">
      <c r="A80" s="28" t="n">
        <v>43682</v>
      </c>
      <c r="B80" s="28" t="n">
        <v>43688</v>
      </c>
      <c r="C80" s="21" t="n">
        <v>0</v>
      </c>
      <c r="D80" s="21" t="n">
        <v>0</v>
      </c>
      <c r="E80" s="21" t="n">
        <v>0</v>
      </c>
      <c r="F80" s="21" t="n">
        <v>0</v>
      </c>
      <c r="G80" s="29" t="s">
        <v>2750</v>
      </c>
    </row>
    <row r="81" customFormat="false" ht="15" hidden="false" customHeight="false" outlineLevel="0" collapsed="false">
      <c r="A81" s="28" t="n">
        <v>43689</v>
      </c>
      <c r="B81" s="28" t="n">
        <v>43695</v>
      </c>
      <c r="C81" s="21" t="n">
        <v>0</v>
      </c>
      <c r="D81" s="21" t="n">
        <v>0</v>
      </c>
      <c r="E81" s="21" t="n">
        <v>0</v>
      </c>
      <c r="F81" s="21" t="n">
        <v>0</v>
      </c>
      <c r="G81" s="29" t="s">
        <v>2750</v>
      </c>
    </row>
    <row r="82" customFormat="false" ht="15" hidden="false" customHeight="false" outlineLevel="0" collapsed="false">
      <c r="A82" s="28" t="n">
        <v>43696</v>
      </c>
      <c r="B82" s="28" t="n">
        <v>43702</v>
      </c>
      <c r="C82" s="21" t="n">
        <v>0</v>
      </c>
      <c r="D82" s="21" t="n">
        <v>0</v>
      </c>
      <c r="E82" s="21" t="n">
        <v>0</v>
      </c>
      <c r="F82" s="21" t="n">
        <v>0</v>
      </c>
      <c r="G82" s="29" t="s">
        <v>2750</v>
      </c>
    </row>
    <row r="83" customFormat="false" ht="15" hidden="false" customHeight="false" outlineLevel="0" collapsed="false">
      <c r="A83" s="28" t="n">
        <v>43703</v>
      </c>
      <c r="B83" s="28" t="n">
        <v>43709</v>
      </c>
      <c r="C83" s="21" t="n">
        <v>0</v>
      </c>
      <c r="D83" s="21" t="n">
        <v>0</v>
      </c>
      <c r="E83" s="21" t="n">
        <v>0</v>
      </c>
      <c r="F83" s="21" t="n">
        <v>0</v>
      </c>
      <c r="G83" s="29" t="s">
        <v>2750</v>
      </c>
    </row>
    <row r="84" customFormat="false" ht="15" hidden="false" customHeight="false" outlineLevel="0" collapsed="false">
      <c r="A84" s="28" t="n">
        <v>43710</v>
      </c>
      <c r="B84" s="28" t="n">
        <v>43716</v>
      </c>
      <c r="C84" s="21" t="n">
        <v>0</v>
      </c>
      <c r="D84" s="21" t="n">
        <v>0</v>
      </c>
      <c r="E84" s="21" t="n">
        <v>0</v>
      </c>
      <c r="F84" s="21" t="n">
        <v>0</v>
      </c>
      <c r="G84" s="29" t="s">
        <v>2750</v>
      </c>
    </row>
    <row r="85" customFormat="false" ht="15" hidden="false" customHeight="false" outlineLevel="0" collapsed="false">
      <c r="A85" s="28" t="n">
        <v>43717</v>
      </c>
      <c r="B85" s="28" t="n">
        <v>43723</v>
      </c>
      <c r="C85" s="21" t="n">
        <v>1</v>
      </c>
      <c r="D85" s="21" t="n">
        <v>0</v>
      </c>
      <c r="E85" s="21" t="n">
        <v>0</v>
      </c>
      <c r="F85" s="21" t="n">
        <v>2</v>
      </c>
      <c r="G85" s="30" t="s">
        <v>184</v>
      </c>
    </row>
    <row r="86" customFormat="false" ht="15" hidden="false" customHeight="false" outlineLevel="0" collapsed="false">
      <c r="A86" s="28" t="n">
        <v>43724</v>
      </c>
      <c r="B86" s="28" t="n">
        <v>43730</v>
      </c>
      <c r="C86" s="21" t="n">
        <v>0</v>
      </c>
      <c r="D86" s="21" t="n">
        <v>0</v>
      </c>
      <c r="E86" s="21" t="n">
        <v>0</v>
      </c>
      <c r="F86" s="21" t="n">
        <v>0</v>
      </c>
      <c r="G86" s="30" t="s">
        <v>184</v>
      </c>
    </row>
    <row r="87" customFormat="false" ht="15" hidden="false" customHeight="false" outlineLevel="0" collapsed="false">
      <c r="A87" s="28" t="n">
        <v>43731</v>
      </c>
      <c r="B87" s="28" t="n">
        <v>43737</v>
      </c>
      <c r="C87" s="21" t="n">
        <v>0</v>
      </c>
      <c r="D87" s="21" t="n">
        <v>0</v>
      </c>
      <c r="E87" s="21" t="n">
        <v>0</v>
      </c>
      <c r="F87" s="21" t="n">
        <v>0</v>
      </c>
      <c r="G87" s="29" t="s">
        <v>2750</v>
      </c>
    </row>
    <row r="88" customFormat="false" ht="15" hidden="false" customHeight="false" outlineLevel="0" collapsed="false">
      <c r="A88" s="28" t="n">
        <v>43738</v>
      </c>
      <c r="B88" s="28" t="n">
        <v>43744</v>
      </c>
      <c r="C88" s="21" t="n">
        <v>0</v>
      </c>
      <c r="D88" s="21" t="n">
        <v>0</v>
      </c>
      <c r="E88" s="21" t="n">
        <v>0</v>
      </c>
      <c r="F88" s="21" t="n">
        <v>0</v>
      </c>
      <c r="G88" s="29" t="s">
        <v>2750</v>
      </c>
    </row>
    <row r="89" customFormat="false" ht="15" hidden="false" customHeight="false" outlineLevel="0" collapsed="false">
      <c r="A89" s="28" t="n">
        <v>43745</v>
      </c>
      <c r="B89" s="28" t="n">
        <v>43751</v>
      </c>
      <c r="C89" s="21" t="n">
        <v>0</v>
      </c>
      <c r="D89" s="21" t="n">
        <v>0</v>
      </c>
      <c r="E89" s="21" t="n">
        <v>0</v>
      </c>
      <c r="F89" s="21" t="n">
        <v>0</v>
      </c>
      <c r="G89" s="29" t="s">
        <v>2750</v>
      </c>
    </row>
    <row r="90" customFormat="false" ht="15" hidden="false" customHeight="false" outlineLevel="0" collapsed="false">
      <c r="A90" s="28" t="n">
        <v>43752</v>
      </c>
      <c r="B90" s="28" t="n">
        <v>43758</v>
      </c>
      <c r="C90" s="21" t="n">
        <v>0</v>
      </c>
      <c r="D90" s="21" t="n">
        <v>0</v>
      </c>
      <c r="E90" s="21" t="n">
        <v>0</v>
      </c>
      <c r="F90" s="21" t="n">
        <v>0</v>
      </c>
      <c r="G90" s="29" t="s">
        <v>2750</v>
      </c>
    </row>
    <row r="91" customFormat="false" ht="15" hidden="false" customHeight="false" outlineLevel="0" collapsed="false">
      <c r="A91" s="28" t="n">
        <v>43759</v>
      </c>
      <c r="B91" s="28" t="n">
        <v>43765</v>
      </c>
      <c r="C91" s="21" t="n">
        <v>0</v>
      </c>
      <c r="D91" s="21" t="n">
        <v>0</v>
      </c>
      <c r="E91" s="21" t="n">
        <v>0</v>
      </c>
      <c r="F91" s="21" t="n">
        <v>0</v>
      </c>
      <c r="G91" s="29" t="s">
        <v>2750</v>
      </c>
    </row>
    <row r="92" customFormat="false" ht="15" hidden="false" customHeight="false" outlineLevel="0" collapsed="false">
      <c r="A92" s="28" t="n">
        <v>43766</v>
      </c>
      <c r="B92" s="28" t="n">
        <v>43772</v>
      </c>
      <c r="C92" s="21" t="n">
        <v>0</v>
      </c>
      <c r="D92" s="21" t="n">
        <v>0</v>
      </c>
      <c r="E92" s="21" t="n">
        <v>0</v>
      </c>
      <c r="F92" s="21" t="n">
        <v>0</v>
      </c>
      <c r="G92" s="29" t="s">
        <v>2750</v>
      </c>
    </row>
    <row r="93" customFormat="false" ht="15" hidden="false" customHeight="false" outlineLevel="0" collapsed="false">
      <c r="A93" s="28" t="n">
        <v>43773</v>
      </c>
      <c r="B93" s="28" t="n">
        <v>43779</v>
      </c>
      <c r="C93" s="21" t="n">
        <v>0</v>
      </c>
      <c r="D93" s="21" t="n">
        <v>0</v>
      </c>
      <c r="E93" s="21" t="n">
        <v>0</v>
      </c>
      <c r="F93" s="21" t="n">
        <v>0</v>
      </c>
      <c r="G93" s="29" t="s">
        <v>2750</v>
      </c>
    </row>
    <row r="94" customFormat="false" ht="15" hidden="false" customHeight="false" outlineLevel="0" collapsed="false">
      <c r="A94" s="28" t="n">
        <v>43780</v>
      </c>
      <c r="B94" s="28" t="n">
        <v>43786</v>
      </c>
      <c r="C94" s="21" t="n">
        <v>0</v>
      </c>
      <c r="D94" s="21" t="n">
        <v>0</v>
      </c>
      <c r="E94" s="21" t="n">
        <v>0</v>
      </c>
      <c r="F94" s="21" t="n">
        <v>0</v>
      </c>
      <c r="G94" s="29" t="s">
        <v>2750</v>
      </c>
    </row>
    <row r="95" customFormat="false" ht="15" hidden="false" customHeight="false" outlineLevel="0" collapsed="false">
      <c r="A95" s="28" t="n">
        <v>43787</v>
      </c>
      <c r="B95" s="28" t="n">
        <v>43793</v>
      </c>
      <c r="C95" s="21" t="n">
        <v>0</v>
      </c>
      <c r="D95" s="21" t="n">
        <v>0</v>
      </c>
      <c r="E95" s="21" t="n">
        <v>0</v>
      </c>
      <c r="F95" s="21" t="n">
        <v>0</v>
      </c>
      <c r="G95" s="29" t="s">
        <v>2750</v>
      </c>
    </row>
    <row r="96" customFormat="false" ht="15" hidden="false" customHeight="false" outlineLevel="0" collapsed="false">
      <c r="A96" s="28" t="n">
        <v>43794</v>
      </c>
      <c r="B96" s="28" t="n">
        <v>43800</v>
      </c>
      <c r="C96" s="21" t="n">
        <v>0</v>
      </c>
      <c r="D96" s="21" t="n">
        <v>0</v>
      </c>
      <c r="E96" s="21" t="n">
        <v>0</v>
      </c>
      <c r="F96" s="21" t="n">
        <v>0</v>
      </c>
      <c r="G96" s="29" t="s">
        <v>2750</v>
      </c>
    </row>
    <row r="97" customFormat="false" ht="15" hidden="false" customHeight="false" outlineLevel="0" collapsed="false">
      <c r="A97" s="28" t="n">
        <v>43801</v>
      </c>
      <c r="B97" s="28" t="n">
        <v>43807</v>
      </c>
      <c r="C97" s="21" t="n">
        <v>0</v>
      </c>
      <c r="D97" s="21" t="n">
        <v>0</v>
      </c>
      <c r="E97" s="21" t="n">
        <v>0</v>
      </c>
      <c r="F97" s="21" t="n">
        <v>0</v>
      </c>
      <c r="G97" s="29" t="s">
        <v>2750</v>
      </c>
    </row>
    <row r="98" customFormat="false" ht="15" hidden="false" customHeight="false" outlineLevel="0" collapsed="false">
      <c r="A98" s="28" t="n">
        <v>43808</v>
      </c>
      <c r="B98" s="28" t="n">
        <v>43814</v>
      </c>
      <c r="C98" s="21" t="n">
        <v>0</v>
      </c>
      <c r="D98" s="21" t="n">
        <v>0</v>
      </c>
      <c r="E98" s="21" t="n">
        <v>0</v>
      </c>
      <c r="F98" s="21" t="n">
        <v>0</v>
      </c>
      <c r="G98" s="29" t="s">
        <v>2750</v>
      </c>
    </row>
    <row r="99" customFormat="false" ht="15" hidden="false" customHeight="false" outlineLevel="0" collapsed="false">
      <c r="A99" s="28" t="n">
        <v>43815</v>
      </c>
      <c r="B99" s="28" t="n">
        <v>43821</v>
      </c>
      <c r="C99" s="21" t="n">
        <v>0</v>
      </c>
      <c r="D99" s="21" t="n">
        <v>0</v>
      </c>
      <c r="E99" s="21" t="n">
        <v>0</v>
      </c>
      <c r="F99" s="21" t="n">
        <v>0</v>
      </c>
      <c r="G99" s="29" t="s">
        <v>2750</v>
      </c>
    </row>
    <row r="100" customFormat="false" ht="15" hidden="false" customHeight="false" outlineLevel="0" collapsed="false">
      <c r="A100" s="28" t="n">
        <v>43822</v>
      </c>
      <c r="B100" s="28" t="n">
        <v>43828</v>
      </c>
      <c r="C100" s="21" t="n">
        <v>2</v>
      </c>
      <c r="D100" s="21" t="n">
        <v>0</v>
      </c>
      <c r="E100" s="21" t="n">
        <v>2</v>
      </c>
      <c r="F100" s="21" t="n">
        <v>8</v>
      </c>
      <c r="G100" s="31" t="s">
        <v>89</v>
      </c>
    </row>
    <row r="101" customFormat="false" ht="15" hidden="false" customHeight="false" outlineLevel="0" collapsed="false">
      <c r="A101" s="28" t="n">
        <v>43829</v>
      </c>
      <c r="B101" s="28" t="n">
        <v>43835</v>
      </c>
      <c r="C101" s="21" t="n">
        <v>2</v>
      </c>
      <c r="D101" s="21" t="n">
        <v>0</v>
      </c>
      <c r="E101" s="21" t="n">
        <v>1</v>
      </c>
      <c r="F101" s="21" t="n">
        <v>6</v>
      </c>
      <c r="G101" s="32" t="s">
        <v>56</v>
      </c>
    </row>
    <row r="102" customFormat="false" ht="15" hidden="false" customHeight="false" outlineLevel="0" collapsed="false">
      <c r="A102" s="28" t="n">
        <v>43836</v>
      </c>
      <c r="B102" s="28" t="n">
        <v>43842</v>
      </c>
      <c r="C102" s="21" t="n">
        <v>1</v>
      </c>
      <c r="D102" s="21" t="n">
        <v>0</v>
      </c>
      <c r="E102" s="21" t="n">
        <v>0</v>
      </c>
      <c r="F102" s="21" t="n">
        <v>2</v>
      </c>
      <c r="G102" s="31" t="s">
        <v>89</v>
      </c>
    </row>
    <row r="103" customFormat="false" ht="15" hidden="false" customHeight="false" outlineLevel="0" collapsed="false">
      <c r="A103" s="28" t="n">
        <v>43843</v>
      </c>
      <c r="B103" s="28" t="n">
        <v>43849</v>
      </c>
      <c r="C103" s="21" t="n">
        <v>0</v>
      </c>
      <c r="D103" s="21" t="n">
        <v>0</v>
      </c>
      <c r="E103" s="21" t="n">
        <v>0</v>
      </c>
      <c r="F103" s="21" t="n">
        <v>0</v>
      </c>
      <c r="G103" s="30" t="s">
        <v>184</v>
      </c>
    </row>
    <row r="104" customFormat="false" ht="15" hidden="false" customHeight="false" outlineLevel="0" collapsed="false">
      <c r="A104" s="28" t="n">
        <v>43850</v>
      </c>
      <c r="B104" s="28" t="n">
        <v>43856</v>
      </c>
      <c r="C104" s="21" t="n">
        <v>0</v>
      </c>
      <c r="D104" s="21" t="n">
        <v>0</v>
      </c>
      <c r="E104" s="21" t="n">
        <v>0</v>
      </c>
      <c r="F104" s="21" t="n">
        <v>0</v>
      </c>
      <c r="G104" s="29" t="s">
        <v>2750</v>
      </c>
    </row>
    <row r="105" customFormat="false" ht="15" hidden="false" customHeight="false" outlineLevel="0" collapsed="false">
      <c r="A105" s="28" t="n">
        <v>43857</v>
      </c>
      <c r="B105" s="28" t="n">
        <v>43863</v>
      </c>
      <c r="C105" s="21" t="n">
        <v>0</v>
      </c>
      <c r="D105" s="21" t="n">
        <v>0</v>
      </c>
      <c r="E105" s="21" t="n">
        <v>0</v>
      </c>
      <c r="F105" s="21" t="n">
        <v>0</v>
      </c>
      <c r="G105" s="29" t="s">
        <v>2750</v>
      </c>
    </row>
    <row r="106" customFormat="false" ht="15" hidden="false" customHeight="false" outlineLevel="0" collapsed="false">
      <c r="A106" s="28" t="n">
        <v>43864</v>
      </c>
      <c r="B106" s="28" t="n">
        <v>43870</v>
      </c>
      <c r="C106" s="21" t="n">
        <v>0</v>
      </c>
      <c r="D106" s="21" t="n">
        <v>0</v>
      </c>
      <c r="E106" s="21" t="n">
        <v>0</v>
      </c>
      <c r="F106" s="21" t="n">
        <v>0</v>
      </c>
      <c r="G106" s="29" t="s">
        <v>2750</v>
      </c>
    </row>
    <row r="107" customFormat="false" ht="15" hidden="false" customHeight="false" outlineLevel="0" collapsed="false">
      <c r="A107" s="28" t="n">
        <v>43871</v>
      </c>
      <c r="B107" s="28" t="n">
        <v>43877</v>
      </c>
      <c r="C107" s="21" t="n">
        <v>0</v>
      </c>
      <c r="D107" s="21" t="n">
        <v>1</v>
      </c>
      <c r="E107" s="21" t="n">
        <v>0</v>
      </c>
      <c r="F107" s="21" t="n">
        <v>1</v>
      </c>
      <c r="G107" s="30" t="s">
        <v>184</v>
      </c>
    </row>
    <row r="108" customFormat="false" ht="15" hidden="false" customHeight="false" outlineLevel="0" collapsed="false">
      <c r="A108" s="28" t="n">
        <v>43878</v>
      </c>
      <c r="B108" s="28" t="n">
        <v>43884</v>
      </c>
      <c r="C108" s="21" t="n">
        <v>0</v>
      </c>
      <c r="D108" s="21" t="n">
        <v>0</v>
      </c>
      <c r="E108" s="21" t="n">
        <v>0</v>
      </c>
      <c r="F108" s="21" t="n">
        <v>0</v>
      </c>
      <c r="G108" s="30" t="s">
        <v>184</v>
      </c>
    </row>
    <row r="109" customFormat="false" ht="15" hidden="false" customHeight="false" outlineLevel="0" collapsed="false">
      <c r="A109" s="28" t="n">
        <v>43885</v>
      </c>
      <c r="B109" s="28" t="n">
        <v>43891</v>
      </c>
      <c r="C109" s="21" t="n">
        <v>0</v>
      </c>
      <c r="D109" s="21" t="n">
        <v>0</v>
      </c>
      <c r="E109" s="21" t="n">
        <v>0</v>
      </c>
      <c r="F109" s="21" t="n">
        <v>0</v>
      </c>
      <c r="G109" s="29" t="s">
        <v>2750</v>
      </c>
    </row>
    <row r="110" customFormat="false" ht="15" hidden="false" customHeight="false" outlineLevel="0" collapsed="false">
      <c r="A110" s="28" t="n">
        <v>43892</v>
      </c>
      <c r="B110" s="28" t="n">
        <v>43898</v>
      </c>
      <c r="C110" s="21" t="n">
        <v>0</v>
      </c>
      <c r="D110" s="21" t="n">
        <v>0</v>
      </c>
      <c r="E110" s="21" t="n">
        <v>0</v>
      </c>
      <c r="F110" s="21" t="n">
        <v>0</v>
      </c>
      <c r="G110" s="29" t="s">
        <v>2750</v>
      </c>
    </row>
    <row r="111" customFormat="false" ht="15" hidden="false" customHeight="false" outlineLevel="0" collapsed="false">
      <c r="A111" s="28" t="n">
        <v>43899</v>
      </c>
      <c r="B111" s="28" t="n">
        <v>43905</v>
      </c>
      <c r="C111" s="21" t="n">
        <v>3</v>
      </c>
      <c r="D111" s="21" t="n">
        <v>0</v>
      </c>
      <c r="E111" s="21" t="n">
        <v>1</v>
      </c>
      <c r="F111" s="21" t="n">
        <v>8</v>
      </c>
      <c r="G111" s="31" t="s">
        <v>89</v>
      </c>
    </row>
    <row r="112" customFormat="false" ht="15" hidden="false" customHeight="false" outlineLevel="0" collapsed="false">
      <c r="A112" s="28" t="n">
        <v>43906</v>
      </c>
      <c r="B112" s="28" t="n">
        <v>43912</v>
      </c>
      <c r="C112" s="21" t="n">
        <v>0</v>
      </c>
      <c r="D112" s="21" t="n">
        <v>0</v>
      </c>
      <c r="E112" s="21" t="n">
        <v>0</v>
      </c>
      <c r="F112" s="21" t="n">
        <v>0</v>
      </c>
      <c r="G112" s="31" t="s">
        <v>89</v>
      </c>
    </row>
    <row r="113" customFormat="false" ht="15" hidden="false" customHeight="false" outlineLevel="0" collapsed="false">
      <c r="A113" s="28" t="n">
        <v>43913</v>
      </c>
      <c r="B113" s="28" t="n">
        <v>43919</v>
      </c>
      <c r="C113" s="21" t="n">
        <v>0</v>
      </c>
      <c r="D113" s="21" t="n">
        <v>0</v>
      </c>
      <c r="E113" s="21" t="n">
        <v>0</v>
      </c>
      <c r="F113" s="21" t="n">
        <v>0</v>
      </c>
      <c r="G113" s="29" t="s">
        <v>2750</v>
      </c>
    </row>
    <row r="114" customFormat="false" ht="15" hidden="false" customHeight="false" outlineLevel="0" collapsed="false">
      <c r="A114" s="28" t="n">
        <v>43920</v>
      </c>
      <c r="B114" s="28" t="n">
        <v>43926</v>
      </c>
      <c r="C114" s="21" t="n">
        <v>0</v>
      </c>
      <c r="D114" s="21" t="n">
        <v>0</v>
      </c>
      <c r="E114" s="21" t="n">
        <v>0</v>
      </c>
      <c r="F114" s="21" t="n">
        <v>0</v>
      </c>
      <c r="G114" s="29" t="s">
        <v>2750</v>
      </c>
    </row>
    <row r="115" customFormat="false" ht="15" hidden="false" customHeight="false" outlineLevel="0" collapsed="false">
      <c r="A115" s="28" t="n">
        <v>43927</v>
      </c>
      <c r="B115" s="28" t="n">
        <v>43933</v>
      </c>
      <c r="C115" s="21" t="n">
        <v>0</v>
      </c>
      <c r="D115" s="21" t="n">
        <v>0</v>
      </c>
      <c r="E115" s="21" t="n">
        <v>0</v>
      </c>
      <c r="F115" s="21" t="n">
        <v>0</v>
      </c>
      <c r="G115" s="29" t="s">
        <v>2750</v>
      </c>
    </row>
    <row r="116" customFormat="false" ht="15" hidden="false" customHeight="false" outlineLevel="0" collapsed="false">
      <c r="A116" s="28" t="n">
        <v>43934</v>
      </c>
      <c r="B116" s="28" t="n">
        <v>43940</v>
      </c>
      <c r="C116" s="21" t="n">
        <v>0</v>
      </c>
      <c r="D116" s="21" t="n">
        <v>0</v>
      </c>
      <c r="E116" s="21" t="n">
        <v>0</v>
      </c>
      <c r="F116" s="21" t="n">
        <v>0</v>
      </c>
      <c r="G116" s="29" t="s">
        <v>2750</v>
      </c>
    </row>
    <row r="117" customFormat="false" ht="15" hidden="false" customHeight="false" outlineLevel="0" collapsed="false">
      <c r="A117" s="28" t="n">
        <v>43941</v>
      </c>
      <c r="B117" s="28" t="n">
        <v>43947</v>
      </c>
      <c r="C117" s="21" t="n">
        <v>0</v>
      </c>
      <c r="D117" s="21" t="n">
        <v>0</v>
      </c>
      <c r="E117" s="21" t="n">
        <v>0</v>
      </c>
      <c r="F117" s="21" t="n">
        <v>0</v>
      </c>
      <c r="G117" s="29" t="s">
        <v>2750</v>
      </c>
    </row>
    <row r="118" customFormat="false" ht="15" hidden="false" customHeight="false" outlineLevel="0" collapsed="false">
      <c r="A118" s="28" t="n">
        <v>43948</v>
      </c>
      <c r="B118" s="28" t="n">
        <v>43954</v>
      </c>
      <c r="C118" s="21" t="n">
        <v>0</v>
      </c>
      <c r="D118" s="21" t="n">
        <v>0</v>
      </c>
      <c r="E118" s="21" t="n">
        <v>0</v>
      </c>
      <c r="F118" s="21" t="n">
        <v>0</v>
      </c>
      <c r="G118" s="29" t="s">
        <v>2750</v>
      </c>
    </row>
    <row r="119" customFormat="false" ht="15" hidden="false" customHeight="false" outlineLevel="0" collapsed="false">
      <c r="A119" s="28" t="n">
        <v>43955</v>
      </c>
      <c r="B119" s="28" t="n">
        <v>43961</v>
      </c>
      <c r="C119" s="21" t="n">
        <v>0</v>
      </c>
      <c r="D119" s="21" t="n">
        <v>0</v>
      </c>
      <c r="E119" s="21" t="n">
        <v>0</v>
      </c>
      <c r="F119" s="21" t="n">
        <v>0</v>
      </c>
      <c r="G119" s="29" t="s">
        <v>2750</v>
      </c>
    </row>
    <row r="120" customFormat="false" ht="15" hidden="false" customHeight="false" outlineLevel="0" collapsed="false">
      <c r="A120" s="28" t="n">
        <v>43962</v>
      </c>
      <c r="B120" s="28" t="n">
        <v>43968</v>
      </c>
      <c r="C120" s="21" t="n">
        <v>0</v>
      </c>
      <c r="D120" s="21" t="n">
        <v>0</v>
      </c>
      <c r="E120" s="21" t="n">
        <v>0</v>
      </c>
      <c r="F120" s="21" t="n">
        <v>0</v>
      </c>
      <c r="G120" s="29" t="s">
        <v>2750</v>
      </c>
    </row>
    <row r="121" customFormat="false" ht="15" hidden="false" customHeight="false" outlineLevel="0" collapsed="false">
      <c r="A121" s="28" t="n">
        <v>43969</v>
      </c>
      <c r="B121" s="28" t="n">
        <v>43975</v>
      </c>
      <c r="C121" s="21" t="n">
        <v>0</v>
      </c>
      <c r="D121" s="21" t="n">
        <v>0</v>
      </c>
      <c r="E121" s="21" t="n">
        <v>0</v>
      </c>
      <c r="F121" s="21" t="n">
        <v>0</v>
      </c>
      <c r="G121" s="29" t="s">
        <v>2750</v>
      </c>
    </row>
    <row r="122" customFormat="false" ht="15" hidden="false" customHeight="false" outlineLevel="0" collapsed="false">
      <c r="A122" s="28" t="n">
        <v>43976</v>
      </c>
      <c r="B122" s="28" t="n">
        <v>43982</v>
      </c>
      <c r="C122" s="21" t="n">
        <v>0</v>
      </c>
      <c r="D122" s="21" t="n">
        <v>0</v>
      </c>
      <c r="E122" s="21" t="n">
        <v>0</v>
      </c>
      <c r="F122" s="21" t="n">
        <v>0</v>
      </c>
      <c r="G122" s="29" t="s">
        <v>2750</v>
      </c>
    </row>
    <row r="123" customFormat="false" ht="15" hidden="false" customHeight="false" outlineLevel="0" collapsed="false">
      <c r="A123" s="28" t="n">
        <v>43983</v>
      </c>
      <c r="B123" s="28" t="n">
        <v>43989</v>
      </c>
      <c r="C123" s="21" t="n">
        <v>0</v>
      </c>
      <c r="D123" s="21" t="n">
        <v>0</v>
      </c>
      <c r="E123" s="21" t="n">
        <v>0</v>
      </c>
      <c r="F123" s="21" t="n">
        <v>0</v>
      </c>
      <c r="G123" s="29" t="s">
        <v>2750</v>
      </c>
    </row>
    <row r="124" customFormat="false" ht="15" hidden="false" customHeight="false" outlineLevel="0" collapsed="false">
      <c r="A124" s="28" t="n">
        <v>43990</v>
      </c>
      <c r="B124" s="28" t="n">
        <v>43996</v>
      </c>
      <c r="C124" s="21" t="n">
        <v>0</v>
      </c>
      <c r="D124" s="21" t="n">
        <v>0</v>
      </c>
      <c r="E124" s="21" t="n">
        <v>0</v>
      </c>
      <c r="F124" s="21" t="n">
        <v>0</v>
      </c>
      <c r="G124" s="29" t="s">
        <v>2750</v>
      </c>
    </row>
    <row r="125" customFormat="false" ht="15" hidden="false" customHeight="false" outlineLevel="0" collapsed="false">
      <c r="A125" s="28" t="n">
        <v>43997</v>
      </c>
      <c r="B125" s="28" t="n">
        <v>44003</v>
      </c>
      <c r="C125" s="21" t="n">
        <v>0</v>
      </c>
      <c r="D125" s="21" t="n">
        <v>0</v>
      </c>
      <c r="E125" s="21" t="n">
        <v>0</v>
      </c>
      <c r="F125" s="21" t="n">
        <v>0</v>
      </c>
      <c r="G125" s="29" t="s">
        <v>2750</v>
      </c>
    </row>
    <row r="126" customFormat="false" ht="15" hidden="false" customHeight="false" outlineLevel="0" collapsed="false">
      <c r="A126" s="28" t="n">
        <v>44004</v>
      </c>
      <c r="B126" s="28" t="n">
        <v>44010</v>
      </c>
      <c r="C126" s="21" t="n">
        <v>0</v>
      </c>
      <c r="D126" s="21" t="n">
        <v>0</v>
      </c>
      <c r="E126" s="21" t="n">
        <v>0</v>
      </c>
      <c r="F126" s="21" t="n">
        <v>0</v>
      </c>
      <c r="G126" s="29" t="s">
        <v>2750</v>
      </c>
    </row>
    <row r="127" customFormat="false" ht="15" hidden="false" customHeight="false" outlineLevel="0" collapsed="false">
      <c r="A127" s="28" t="n">
        <v>44011</v>
      </c>
      <c r="B127" s="28" t="n">
        <v>44017</v>
      </c>
      <c r="C127" s="21" t="n">
        <v>0</v>
      </c>
      <c r="D127" s="21" t="n">
        <v>0</v>
      </c>
      <c r="E127" s="21" t="n">
        <v>0</v>
      </c>
      <c r="F127" s="21" t="n">
        <v>0</v>
      </c>
      <c r="G127" s="29" t="s">
        <v>2750</v>
      </c>
    </row>
    <row r="128" customFormat="false" ht="15" hidden="false" customHeight="false" outlineLevel="0" collapsed="false">
      <c r="A128" s="28" t="n">
        <v>44018</v>
      </c>
      <c r="B128" s="28" t="n">
        <v>44024</v>
      </c>
      <c r="C128" s="21" t="n">
        <v>0</v>
      </c>
      <c r="D128" s="21" t="n">
        <v>0</v>
      </c>
      <c r="E128" s="21" t="n">
        <v>0</v>
      </c>
      <c r="F128" s="21" t="n">
        <v>0</v>
      </c>
      <c r="G128" s="29" t="s">
        <v>2750</v>
      </c>
    </row>
    <row r="129" customFormat="false" ht="15" hidden="false" customHeight="false" outlineLevel="0" collapsed="false">
      <c r="A129" s="28" t="n">
        <v>44025</v>
      </c>
      <c r="B129" s="28" t="n">
        <v>44031</v>
      </c>
      <c r="C129" s="21" t="n">
        <v>0</v>
      </c>
      <c r="D129" s="21" t="n">
        <v>0</v>
      </c>
      <c r="E129" s="21" t="n">
        <v>0</v>
      </c>
      <c r="F129" s="21" t="n">
        <v>0</v>
      </c>
      <c r="G129" s="29" t="s">
        <v>2750</v>
      </c>
    </row>
    <row r="130" customFormat="false" ht="15" hidden="false" customHeight="false" outlineLevel="0" collapsed="false">
      <c r="A130" s="28" t="n">
        <v>44032</v>
      </c>
      <c r="B130" s="28" t="n">
        <v>44038</v>
      </c>
      <c r="C130" s="21" t="n">
        <v>0</v>
      </c>
      <c r="D130" s="21" t="n">
        <v>0</v>
      </c>
      <c r="E130" s="21" t="n">
        <v>0</v>
      </c>
      <c r="F130" s="21" t="n">
        <v>0</v>
      </c>
      <c r="G130" s="29" t="s">
        <v>2750</v>
      </c>
    </row>
    <row r="131" customFormat="false" ht="15" hidden="false" customHeight="false" outlineLevel="0" collapsed="false">
      <c r="A131" s="28" t="n">
        <v>44039</v>
      </c>
      <c r="B131" s="28" t="n">
        <v>44045</v>
      </c>
      <c r="C131" s="21" t="n">
        <v>0</v>
      </c>
      <c r="D131" s="21" t="n">
        <v>0</v>
      </c>
      <c r="E131" s="21" t="n">
        <v>0</v>
      </c>
      <c r="F131" s="21" t="n">
        <v>0</v>
      </c>
      <c r="G131" s="29" t="s">
        <v>2750</v>
      </c>
    </row>
    <row r="132" customFormat="false" ht="15" hidden="false" customHeight="false" outlineLevel="0" collapsed="false">
      <c r="A132" s="28" t="n">
        <v>44046</v>
      </c>
      <c r="B132" s="28" t="n">
        <v>44052</v>
      </c>
      <c r="C132" s="21" t="n">
        <v>0</v>
      </c>
      <c r="D132" s="21" t="n">
        <v>0</v>
      </c>
      <c r="E132" s="21" t="n">
        <v>0</v>
      </c>
      <c r="F132" s="21" t="n">
        <v>0</v>
      </c>
      <c r="G132" s="29" t="s">
        <v>2750</v>
      </c>
    </row>
    <row r="133" customFormat="false" ht="15" hidden="false" customHeight="false" outlineLevel="0" collapsed="false">
      <c r="A133" s="28" t="n">
        <v>44053</v>
      </c>
      <c r="B133" s="28" t="n">
        <v>44059</v>
      </c>
      <c r="C133" s="21" t="n">
        <v>0</v>
      </c>
      <c r="D133" s="21" t="n">
        <v>1</v>
      </c>
      <c r="E133" s="21" t="n">
        <v>0</v>
      </c>
      <c r="F133" s="21" t="n">
        <v>1</v>
      </c>
      <c r="G133" s="30" t="s">
        <v>184</v>
      </c>
    </row>
    <row r="134" customFormat="false" ht="15" hidden="false" customHeight="false" outlineLevel="0" collapsed="false">
      <c r="A134" s="28" t="n">
        <v>44060</v>
      </c>
      <c r="B134" s="28" t="n">
        <v>44066</v>
      </c>
      <c r="C134" s="21" t="n">
        <v>0</v>
      </c>
      <c r="D134" s="21" t="n">
        <v>0</v>
      </c>
      <c r="E134" s="21" t="n">
        <v>0</v>
      </c>
      <c r="F134" s="21" t="n">
        <v>0</v>
      </c>
      <c r="G134" s="30" t="s">
        <v>184</v>
      </c>
    </row>
    <row r="135" customFormat="false" ht="15" hidden="false" customHeight="false" outlineLevel="0" collapsed="false">
      <c r="A135" s="28" t="n">
        <v>44067</v>
      </c>
      <c r="B135" s="28" t="n">
        <v>44073</v>
      </c>
      <c r="C135" s="21" t="n">
        <v>0</v>
      </c>
      <c r="D135" s="21" t="n">
        <v>0</v>
      </c>
      <c r="E135" s="21" t="n">
        <v>0</v>
      </c>
      <c r="F135" s="21" t="n">
        <v>0</v>
      </c>
      <c r="G135" s="29" t="s">
        <v>2750</v>
      </c>
    </row>
    <row r="136" customFormat="false" ht="15" hidden="false" customHeight="false" outlineLevel="0" collapsed="false">
      <c r="A136" s="28" t="n">
        <v>44074</v>
      </c>
      <c r="B136" s="28" t="n">
        <v>44080</v>
      </c>
      <c r="C136" s="21" t="n">
        <v>0</v>
      </c>
      <c r="D136" s="21" t="n">
        <v>0</v>
      </c>
      <c r="E136" s="21" t="n">
        <v>0</v>
      </c>
      <c r="F136" s="21" t="n">
        <v>0</v>
      </c>
      <c r="G136" s="29" t="s">
        <v>2750</v>
      </c>
    </row>
    <row r="137" customFormat="false" ht="15" hidden="false" customHeight="false" outlineLevel="0" collapsed="false">
      <c r="A137" s="28" t="n">
        <v>44081</v>
      </c>
      <c r="B137" s="28" t="n">
        <v>44087</v>
      </c>
      <c r="C137" s="21" t="n">
        <v>0</v>
      </c>
      <c r="D137" s="21" t="n">
        <v>0</v>
      </c>
      <c r="E137" s="21" t="n">
        <v>0</v>
      </c>
      <c r="F137" s="21" t="n">
        <v>0</v>
      </c>
      <c r="G137" s="29" t="s">
        <v>2750</v>
      </c>
    </row>
    <row r="138" customFormat="false" ht="15" hidden="false" customHeight="false" outlineLevel="0" collapsed="false">
      <c r="A138" s="28" t="n">
        <v>44088</v>
      </c>
      <c r="B138" s="28" t="n">
        <v>44094</v>
      </c>
      <c r="C138" s="21" t="n">
        <v>0</v>
      </c>
      <c r="D138" s="21" t="n">
        <v>0</v>
      </c>
      <c r="E138" s="21" t="n">
        <v>0</v>
      </c>
      <c r="F138" s="21" t="n">
        <v>0</v>
      </c>
      <c r="G138" s="29" t="s">
        <v>2750</v>
      </c>
    </row>
    <row r="139" customFormat="false" ht="15" hidden="false" customHeight="false" outlineLevel="0" collapsed="false">
      <c r="A139" s="28" t="n">
        <v>44095</v>
      </c>
      <c r="B139" s="28" t="n">
        <v>44101</v>
      </c>
      <c r="C139" s="21" t="n">
        <v>0</v>
      </c>
      <c r="D139" s="21" t="n">
        <v>0</v>
      </c>
      <c r="E139" s="21" t="n">
        <v>0</v>
      </c>
      <c r="F139" s="21" t="n">
        <v>0</v>
      </c>
      <c r="G139" s="29" t="s">
        <v>2750</v>
      </c>
    </row>
    <row r="140" customFormat="false" ht="15" hidden="false" customHeight="false" outlineLevel="0" collapsed="false">
      <c r="A140" s="28" t="n">
        <v>44102</v>
      </c>
      <c r="B140" s="28" t="n">
        <v>44108</v>
      </c>
      <c r="C140" s="21" t="n">
        <v>0</v>
      </c>
      <c r="D140" s="21" t="n">
        <v>0</v>
      </c>
      <c r="E140" s="21" t="n">
        <v>0</v>
      </c>
      <c r="F140" s="21" t="n">
        <v>0</v>
      </c>
      <c r="G140" s="29" t="s">
        <v>2750</v>
      </c>
    </row>
    <row r="141" customFormat="false" ht="15" hidden="false" customHeight="false" outlineLevel="0" collapsed="false">
      <c r="A141" s="28" t="n">
        <v>44109</v>
      </c>
      <c r="B141" s="28" t="n">
        <v>44115</v>
      </c>
      <c r="C141" s="21" t="n">
        <v>0</v>
      </c>
      <c r="D141" s="21" t="n">
        <v>0</v>
      </c>
      <c r="E141" s="21" t="n">
        <v>0</v>
      </c>
      <c r="F141" s="21" t="n">
        <v>0</v>
      </c>
      <c r="G141" s="29" t="s">
        <v>2750</v>
      </c>
    </row>
    <row r="142" customFormat="false" ht="15" hidden="false" customHeight="false" outlineLevel="0" collapsed="false">
      <c r="A142" s="28" t="n">
        <v>44116</v>
      </c>
      <c r="B142" s="28" t="n">
        <v>44122</v>
      </c>
      <c r="C142" s="21" t="n">
        <v>0</v>
      </c>
      <c r="D142" s="21" t="n">
        <v>0</v>
      </c>
      <c r="E142" s="21" t="n">
        <v>0</v>
      </c>
      <c r="F142" s="21" t="n">
        <v>0</v>
      </c>
      <c r="G142" s="29" t="s">
        <v>2750</v>
      </c>
    </row>
    <row r="143" customFormat="false" ht="15" hidden="false" customHeight="false" outlineLevel="0" collapsed="false">
      <c r="A143" s="28" t="n">
        <v>44123</v>
      </c>
      <c r="B143" s="28" t="n">
        <v>44129</v>
      </c>
      <c r="C143" s="21" t="n">
        <v>0</v>
      </c>
      <c r="D143" s="21" t="n">
        <v>0</v>
      </c>
      <c r="E143" s="21" t="n">
        <v>0</v>
      </c>
      <c r="F143" s="21" t="n">
        <v>0</v>
      </c>
      <c r="G143" s="29" t="s">
        <v>2750</v>
      </c>
    </row>
    <row r="144" customFormat="false" ht="15" hidden="false" customHeight="false" outlineLevel="0" collapsed="false">
      <c r="A144" s="28" t="n">
        <v>44130</v>
      </c>
      <c r="B144" s="28" t="n">
        <v>44136</v>
      </c>
      <c r="C144" s="21" t="n">
        <v>0</v>
      </c>
      <c r="D144" s="21" t="n">
        <v>0</v>
      </c>
      <c r="E144" s="21" t="n">
        <v>0</v>
      </c>
      <c r="F144" s="21" t="n">
        <v>0</v>
      </c>
      <c r="G144" s="29" t="s">
        <v>2750</v>
      </c>
    </row>
    <row r="145" customFormat="false" ht="15" hidden="false" customHeight="false" outlineLevel="0" collapsed="false">
      <c r="A145" s="28" t="n">
        <v>44137</v>
      </c>
      <c r="B145" s="28" t="n">
        <v>44143</v>
      </c>
      <c r="C145" s="21" t="n">
        <v>0</v>
      </c>
      <c r="D145" s="21" t="n">
        <v>0</v>
      </c>
      <c r="E145" s="21" t="n">
        <v>0</v>
      </c>
      <c r="F145" s="21" t="n">
        <v>0</v>
      </c>
      <c r="G145" s="29" t="s">
        <v>2750</v>
      </c>
    </row>
    <row r="146" customFormat="false" ht="15" hidden="false" customHeight="false" outlineLevel="0" collapsed="false">
      <c r="A146" s="28" t="n">
        <v>44144</v>
      </c>
      <c r="B146" s="28" t="n">
        <v>44150</v>
      </c>
      <c r="C146" s="21" t="n">
        <v>0</v>
      </c>
      <c r="D146" s="21" t="n">
        <v>0</v>
      </c>
      <c r="E146" s="21" t="n">
        <v>0</v>
      </c>
      <c r="F146" s="21" t="n">
        <v>0</v>
      </c>
      <c r="G146" s="29" t="s">
        <v>2750</v>
      </c>
    </row>
    <row r="147" customFormat="false" ht="15" hidden="false" customHeight="false" outlineLevel="0" collapsed="false">
      <c r="A147" s="28" t="n">
        <v>44151</v>
      </c>
      <c r="B147" s="28" t="n">
        <v>44157</v>
      </c>
      <c r="C147" s="21" t="n">
        <v>0</v>
      </c>
      <c r="D147" s="21" t="n">
        <v>0</v>
      </c>
      <c r="E147" s="21" t="n">
        <v>0</v>
      </c>
      <c r="F147" s="21" t="n">
        <v>0</v>
      </c>
      <c r="G147" s="29" t="s">
        <v>2750</v>
      </c>
    </row>
    <row r="148" customFormat="false" ht="15" hidden="false" customHeight="false" outlineLevel="0" collapsed="false">
      <c r="A148" s="28" t="n">
        <v>44158</v>
      </c>
      <c r="B148" s="28" t="n">
        <v>44164</v>
      </c>
      <c r="C148" s="21" t="n">
        <v>0</v>
      </c>
      <c r="D148" s="21" t="n">
        <v>0</v>
      </c>
      <c r="E148" s="21" t="n">
        <v>0</v>
      </c>
      <c r="F148" s="21" t="n">
        <v>0</v>
      </c>
      <c r="G148" s="29" t="s">
        <v>2750</v>
      </c>
    </row>
    <row r="149" customFormat="false" ht="15" hidden="false" customHeight="false" outlineLevel="0" collapsed="false">
      <c r="A149" s="28" t="n">
        <v>44165</v>
      </c>
      <c r="B149" s="28" t="n">
        <v>44171</v>
      </c>
      <c r="C149" s="21" t="n">
        <v>0</v>
      </c>
      <c r="D149" s="21" t="n">
        <v>0</v>
      </c>
      <c r="E149" s="21" t="n">
        <v>0</v>
      </c>
      <c r="F149" s="21" t="n">
        <v>0</v>
      </c>
      <c r="G149" s="29" t="s">
        <v>2750</v>
      </c>
    </row>
    <row r="150" customFormat="false" ht="15" hidden="false" customHeight="false" outlineLevel="0" collapsed="false">
      <c r="A150" s="28" t="n">
        <v>44172</v>
      </c>
      <c r="B150" s="28" t="n">
        <v>44178</v>
      </c>
      <c r="C150" s="21" t="n">
        <v>0</v>
      </c>
      <c r="D150" s="21" t="n">
        <v>0</v>
      </c>
      <c r="E150" s="21" t="n">
        <v>0</v>
      </c>
      <c r="F150" s="21" t="n">
        <v>0</v>
      </c>
      <c r="G150" s="29" t="s">
        <v>2750</v>
      </c>
    </row>
    <row r="151" customFormat="false" ht="15" hidden="false" customHeight="false" outlineLevel="0" collapsed="false">
      <c r="A151" s="28" t="n">
        <v>44179</v>
      </c>
      <c r="B151" s="28" t="n">
        <v>44185</v>
      </c>
      <c r="C151" s="21" t="n">
        <v>0</v>
      </c>
      <c r="D151" s="21" t="n">
        <v>0</v>
      </c>
      <c r="E151" s="21" t="n">
        <v>0</v>
      </c>
      <c r="F151" s="21" t="n">
        <v>0</v>
      </c>
      <c r="G151" s="29" t="s">
        <v>2750</v>
      </c>
    </row>
    <row r="152" customFormat="false" ht="15" hidden="false" customHeight="false" outlineLevel="0" collapsed="false">
      <c r="A152" s="28" t="n">
        <v>44186</v>
      </c>
      <c r="B152" s="28" t="n">
        <v>44192</v>
      </c>
      <c r="C152" s="21" t="n">
        <v>0</v>
      </c>
      <c r="D152" s="21" t="n">
        <v>0</v>
      </c>
      <c r="E152" s="21" t="n">
        <v>0</v>
      </c>
      <c r="F152" s="21" t="n">
        <v>0</v>
      </c>
      <c r="G152" s="29" t="s">
        <v>2750</v>
      </c>
    </row>
    <row r="153" customFormat="false" ht="15" hidden="false" customHeight="false" outlineLevel="0" collapsed="false">
      <c r="A153" s="28" t="n">
        <v>44193</v>
      </c>
      <c r="B153" s="28" t="n">
        <v>44199</v>
      </c>
      <c r="C153" s="21" t="n">
        <v>0</v>
      </c>
      <c r="D153" s="21" t="n">
        <v>0</v>
      </c>
      <c r="E153" s="21" t="n">
        <v>0</v>
      </c>
      <c r="F153" s="21" t="n">
        <v>0</v>
      </c>
      <c r="G153" s="29" t="s">
        <v>2750</v>
      </c>
    </row>
    <row r="154" customFormat="false" ht="15" hidden="false" customHeight="false" outlineLevel="0" collapsed="false">
      <c r="A154" s="28" t="n">
        <v>44200</v>
      </c>
      <c r="B154" s="28" t="n">
        <v>44206</v>
      </c>
      <c r="C154" s="21" t="n">
        <v>0</v>
      </c>
      <c r="D154" s="21" t="n">
        <v>0</v>
      </c>
      <c r="E154" s="21" t="n">
        <v>0</v>
      </c>
      <c r="F154" s="21" t="n">
        <v>0</v>
      </c>
      <c r="G154" s="29" t="s">
        <v>2750</v>
      </c>
    </row>
    <row r="155" customFormat="false" ht="15" hidden="false" customHeight="false" outlineLevel="0" collapsed="false">
      <c r="A155" s="28" t="n">
        <v>44207</v>
      </c>
      <c r="B155" s="28" t="n">
        <v>44213</v>
      </c>
      <c r="C155" s="21" t="n">
        <v>0</v>
      </c>
      <c r="D155" s="21" t="n">
        <v>0</v>
      </c>
      <c r="E155" s="21" t="n">
        <v>0</v>
      </c>
      <c r="F155" s="21" t="n">
        <v>0</v>
      </c>
      <c r="G155" s="29" t="s">
        <v>2750</v>
      </c>
    </row>
    <row r="156" customFormat="false" ht="15" hidden="false" customHeight="false" outlineLevel="0" collapsed="false">
      <c r="A156" s="28" t="n">
        <v>44214</v>
      </c>
      <c r="B156" s="28" t="n">
        <v>44220</v>
      </c>
      <c r="C156" s="21" t="n">
        <v>0</v>
      </c>
      <c r="D156" s="21" t="n">
        <v>0</v>
      </c>
      <c r="E156" s="21" t="n">
        <v>0</v>
      </c>
      <c r="F156" s="21" t="n">
        <v>0</v>
      </c>
      <c r="G156" s="29" t="s">
        <v>2750</v>
      </c>
    </row>
    <row r="157" customFormat="false" ht="15" hidden="false" customHeight="false" outlineLevel="0" collapsed="false">
      <c r="A157" s="28" t="n">
        <v>44221</v>
      </c>
      <c r="B157" s="28" t="n">
        <v>44227</v>
      </c>
      <c r="C157" s="21" t="n">
        <v>0</v>
      </c>
      <c r="D157" s="21" t="n">
        <v>0</v>
      </c>
      <c r="E157" s="21" t="n">
        <v>0</v>
      </c>
      <c r="F157" s="21" t="n">
        <v>0</v>
      </c>
      <c r="G157" s="29" t="s">
        <v>2750</v>
      </c>
    </row>
    <row r="158" customFormat="false" ht="15" hidden="false" customHeight="false" outlineLevel="0" collapsed="false">
      <c r="A158" s="28" t="n">
        <v>44228</v>
      </c>
      <c r="B158" s="28" t="n">
        <v>44234</v>
      </c>
      <c r="C158" s="21" t="n">
        <v>0</v>
      </c>
      <c r="D158" s="21" t="n">
        <v>0</v>
      </c>
      <c r="E158" s="21" t="n">
        <v>0</v>
      </c>
      <c r="F158" s="21" t="n">
        <v>0</v>
      </c>
      <c r="G158" s="29" t="s">
        <v>2750</v>
      </c>
    </row>
    <row r="159" customFormat="false" ht="15" hidden="false" customHeight="false" outlineLevel="0" collapsed="false">
      <c r="A159" s="28" t="n">
        <v>44235</v>
      </c>
      <c r="B159" s="28" t="n">
        <v>44241</v>
      </c>
      <c r="C159" s="21" t="n">
        <v>0</v>
      </c>
      <c r="D159" s="21" t="n">
        <v>0</v>
      </c>
      <c r="E159" s="21" t="n">
        <v>0</v>
      </c>
      <c r="F159" s="21" t="n">
        <v>0</v>
      </c>
      <c r="G159" s="29" t="s">
        <v>2750</v>
      </c>
    </row>
    <row r="160" customFormat="false" ht="15" hidden="false" customHeight="false" outlineLevel="0" collapsed="false">
      <c r="A160" s="28" t="n">
        <v>44242</v>
      </c>
      <c r="B160" s="28" t="n">
        <v>44248</v>
      </c>
      <c r="C160" s="21" t="n">
        <v>0</v>
      </c>
      <c r="D160" s="21" t="n">
        <v>0</v>
      </c>
      <c r="E160" s="21" t="n">
        <v>0</v>
      </c>
      <c r="F160" s="21" t="n">
        <v>0</v>
      </c>
      <c r="G160" s="29" t="s">
        <v>2750</v>
      </c>
    </row>
    <row r="161" customFormat="false" ht="15" hidden="false" customHeight="false" outlineLevel="0" collapsed="false">
      <c r="A161" s="28" t="n">
        <v>44249</v>
      </c>
      <c r="B161" s="28" t="n">
        <v>44255</v>
      </c>
      <c r="C161" s="21" t="n">
        <v>1</v>
      </c>
      <c r="D161" s="21" t="n">
        <v>0</v>
      </c>
      <c r="E161" s="21" t="n">
        <v>0</v>
      </c>
      <c r="F161" s="21" t="n">
        <v>2</v>
      </c>
      <c r="G161" s="30" t="s">
        <v>184</v>
      </c>
    </row>
    <row r="162" customFormat="false" ht="15" hidden="false" customHeight="false" outlineLevel="0" collapsed="false">
      <c r="A162" s="28" t="n">
        <v>44256</v>
      </c>
      <c r="B162" s="28" t="n">
        <v>44262</v>
      </c>
      <c r="C162" s="21" t="n">
        <v>1</v>
      </c>
      <c r="D162" s="21" t="n">
        <v>0</v>
      </c>
      <c r="E162" s="21" t="n">
        <v>0</v>
      </c>
      <c r="F162" s="21" t="n">
        <v>2</v>
      </c>
      <c r="G162" s="30" t="s">
        <v>184</v>
      </c>
    </row>
    <row r="163" customFormat="false" ht="15" hidden="false" customHeight="false" outlineLevel="0" collapsed="false">
      <c r="A163" s="28" t="n">
        <v>44263</v>
      </c>
      <c r="B163" s="28" t="n">
        <v>44269</v>
      </c>
      <c r="C163" s="21" t="n">
        <v>0</v>
      </c>
      <c r="D163" s="21" t="n">
        <v>0</v>
      </c>
      <c r="E163" s="21" t="n">
        <v>0</v>
      </c>
      <c r="F163" s="21" t="n">
        <v>0</v>
      </c>
      <c r="G163" s="30" t="s">
        <v>184</v>
      </c>
    </row>
    <row r="164" customFormat="false" ht="15" hidden="false" customHeight="false" outlineLevel="0" collapsed="false">
      <c r="A164" s="28" t="n">
        <v>44270</v>
      </c>
      <c r="B164" s="28" t="n">
        <v>44276</v>
      </c>
      <c r="C164" s="21" t="n">
        <v>0</v>
      </c>
      <c r="D164" s="21" t="n">
        <v>0</v>
      </c>
      <c r="E164" s="21" t="n">
        <v>0</v>
      </c>
      <c r="F164" s="21" t="n">
        <v>0</v>
      </c>
      <c r="G164" s="29" t="s">
        <v>2750</v>
      </c>
    </row>
    <row r="165" customFormat="false" ht="15" hidden="false" customHeight="false" outlineLevel="0" collapsed="false">
      <c r="A165" s="28" t="n">
        <v>44277</v>
      </c>
      <c r="B165" s="28" t="n">
        <v>44283</v>
      </c>
      <c r="C165" s="21" t="n">
        <v>0</v>
      </c>
      <c r="D165" s="21" t="n">
        <v>0</v>
      </c>
      <c r="E165" s="21" t="n">
        <v>0</v>
      </c>
      <c r="F165" s="21" t="n">
        <v>0</v>
      </c>
      <c r="G165" s="29" t="s">
        <v>2750</v>
      </c>
    </row>
    <row r="166" customFormat="false" ht="15" hidden="false" customHeight="false" outlineLevel="0" collapsed="false">
      <c r="A166" s="28" t="n">
        <v>44284</v>
      </c>
      <c r="B166" s="28" t="n">
        <v>44290</v>
      </c>
      <c r="C166" s="21" t="n">
        <v>0</v>
      </c>
      <c r="D166" s="21" t="n">
        <v>0</v>
      </c>
      <c r="E166" s="21" t="n">
        <v>0</v>
      </c>
      <c r="F166" s="21" t="n">
        <v>0</v>
      </c>
      <c r="G166" s="29" t="s">
        <v>2750</v>
      </c>
    </row>
    <row r="167" customFormat="false" ht="15" hidden="false" customHeight="false" outlineLevel="0" collapsed="false">
      <c r="A167" s="28" t="n">
        <v>44291</v>
      </c>
      <c r="B167" s="28" t="n">
        <v>44297</v>
      </c>
      <c r="C167" s="21" t="n">
        <v>0</v>
      </c>
      <c r="D167" s="21" t="n">
        <v>0</v>
      </c>
      <c r="E167" s="21" t="n">
        <v>0</v>
      </c>
      <c r="F167" s="21" t="n">
        <v>0</v>
      </c>
      <c r="G167" s="29" t="s">
        <v>2750</v>
      </c>
    </row>
    <row r="168" customFormat="false" ht="15" hidden="false" customHeight="false" outlineLevel="0" collapsed="false">
      <c r="A168" s="28" t="n">
        <v>44298</v>
      </c>
      <c r="B168" s="28" t="n">
        <v>44304</v>
      </c>
      <c r="C168" s="21" t="n">
        <v>0</v>
      </c>
      <c r="D168" s="21" t="n">
        <v>0</v>
      </c>
      <c r="E168" s="21" t="n">
        <v>0</v>
      </c>
      <c r="F168" s="21" t="n">
        <v>0</v>
      </c>
      <c r="G168" s="29" t="s">
        <v>2750</v>
      </c>
    </row>
    <row r="169" customFormat="false" ht="15" hidden="false" customHeight="false" outlineLevel="0" collapsed="false">
      <c r="A169" s="28" t="n">
        <v>44305</v>
      </c>
      <c r="B169" s="28" t="n">
        <v>44311</v>
      </c>
      <c r="C169" s="21" t="n">
        <v>0</v>
      </c>
      <c r="D169" s="21" t="n">
        <v>0</v>
      </c>
      <c r="E169" s="21" t="n">
        <v>0</v>
      </c>
      <c r="F169" s="21" t="n">
        <v>0</v>
      </c>
      <c r="G169" s="29" t="s">
        <v>2750</v>
      </c>
    </row>
    <row r="170" customFormat="false" ht="15" hidden="false" customHeight="false" outlineLevel="0" collapsed="false">
      <c r="A170" s="28" t="n">
        <v>44312</v>
      </c>
      <c r="B170" s="28" t="n">
        <v>44318</v>
      </c>
      <c r="C170" s="21" t="n">
        <v>0</v>
      </c>
      <c r="D170" s="21" t="n">
        <v>0</v>
      </c>
      <c r="E170" s="21" t="n">
        <v>0</v>
      </c>
      <c r="F170" s="21" t="n">
        <v>0</v>
      </c>
      <c r="G170" s="29" t="s">
        <v>2750</v>
      </c>
    </row>
    <row r="171" customFormat="false" ht="15" hidden="false" customHeight="false" outlineLevel="0" collapsed="false">
      <c r="A171" s="28" t="n">
        <v>44319</v>
      </c>
      <c r="B171" s="28" t="n">
        <v>44325</v>
      </c>
      <c r="C171" s="21" t="n">
        <v>0</v>
      </c>
      <c r="D171" s="21" t="n">
        <v>0</v>
      </c>
      <c r="E171" s="21" t="n">
        <v>0</v>
      </c>
      <c r="F171" s="21" t="n">
        <v>0</v>
      </c>
      <c r="G171" s="29" t="s">
        <v>2750</v>
      </c>
    </row>
    <row r="172" customFormat="false" ht="15" hidden="false" customHeight="false" outlineLevel="0" collapsed="false">
      <c r="A172" s="28" t="n">
        <v>44326</v>
      </c>
      <c r="B172" s="28" t="n">
        <v>44332</v>
      </c>
      <c r="C172" s="21" t="n">
        <v>0</v>
      </c>
      <c r="D172" s="21" t="n">
        <v>0</v>
      </c>
      <c r="E172" s="21" t="n">
        <v>0</v>
      </c>
      <c r="F172" s="21" t="n">
        <v>0</v>
      </c>
      <c r="G172" s="29" t="s">
        <v>2750</v>
      </c>
    </row>
    <row r="173" customFormat="false" ht="15" hidden="false" customHeight="false" outlineLevel="0" collapsed="false">
      <c r="A173" s="28" t="n">
        <v>44333</v>
      </c>
      <c r="B173" s="28" t="n">
        <v>44339</v>
      </c>
      <c r="C173" s="21" t="n">
        <v>0</v>
      </c>
      <c r="D173" s="21" t="n">
        <v>0</v>
      </c>
      <c r="E173" s="21" t="n">
        <v>0</v>
      </c>
      <c r="F173" s="21" t="n">
        <v>0</v>
      </c>
      <c r="G173" s="29" t="s">
        <v>2750</v>
      </c>
    </row>
    <row r="174" customFormat="false" ht="15" hidden="false" customHeight="false" outlineLevel="0" collapsed="false">
      <c r="A174" s="28" t="n">
        <v>44340</v>
      </c>
      <c r="B174" s="28" t="n">
        <v>44346</v>
      </c>
      <c r="C174" s="21" t="n">
        <v>0</v>
      </c>
      <c r="D174" s="21" t="n">
        <v>0</v>
      </c>
      <c r="E174" s="21" t="n">
        <v>0</v>
      </c>
      <c r="F174" s="21" t="n">
        <v>0</v>
      </c>
      <c r="G174" s="29" t="s">
        <v>2750</v>
      </c>
    </row>
    <row r="175" customFormat="false" ht="15" hidden="false" customHeight="false" outlineLevel="0" collapsed="false">
      <c r="A175" s="28" t="n">
        <v>44347</v>
      </c>
      <c r="B175" s="28" t="n">
        <v>44353</v>
      </c>
      <c r="C175" s="21" t="n">
        <v>0</v>
      </c>
      <c r="D175" s="21" t="n">
        <v>0</v>
      </c>
      <c r="E175" s="21" t="n">
        <v>0</v>
      </c>
      <c r="F175" s="21" t="n">
        <v>0</v>
      </c>
      <c r="G175" s="29" t="s">
        <v>2750</v>
      </c>
    </row>
    <row r="176" customFormat="false" ht="15" hidden="false" customHeight="false" outlineLevel="0" collapsed="false">
      <c r="A176" s="28" t="n">
        <v>44354</v>
      </c>
      <c r="B176" s="28" t="n">
        <v>44360</v>
      </c>
      <c r="C176" s="21" t="n">
        <v>0</v>
      </c>
      <c r="D176" s="21" t="n">
        <v>0</v>
      </c>
      <c r="E176" s="21" t="n">
        <v>0</v>
      </c>
      <c r="F176" s="21" t="n">
        <v>0</v>
      </c>
      <c r="G176" s="29" t="s">
        <v>2750</v>
      </c>
    </row>
    <row r="177" customFormat="false" ht="15" hidden="false" customHeight="false" outlineLevel="0" collapsed="false">
      <c r="A177" s="28" t="n">
        <v>44361</v>
      </c>
      <c r="B177" s="28" t="n">
        <v>44367</v>
      </c>
      <c r="C177" s="21" t="n">
        <v>0</v>
      </c>
      <c r="D177" s="21" t="n">
        <v>0</v>
      </c>
      <c r="E177" s="21" t="n">
        <v>0</v>
      </c>
      <c r="F177" s="21" t="n">
        <v>0</v>
      </c>
      <c r="G177" s="29" t="s">
        <v>2750</v>
      </c>
    </row>
    <row r="178" customFormat="false" ht="15" hidden="false" customHeight="false" outlineLevel="0" collapsed="false">
      <c r="A178" s="28" t="n">
        <v>44368</v>
      </c>
      <c r="B178" s="28" t="n">
        <v>44374</v>
      </c>
      <c r="C178" s="21" t="n">
        <v>1</v>
      </c>
      <c r="D178" s="21" t="n">
        <v>0</v>
      </c>
      <c r="E178" s="21" t="n">
        <v>0</v>
      </c>
      <c r="F178" s="21" t="n">
        <v>2</v>
      </c>
      <c r="G178" s="30" t="s">
        <v>184</v>
      </c>
    </row>
    <row r="179" customFormat="false" ht="15" hidden="false" customHeight="false" outlineLevel="0" collapsed="false">
      <c r="A179" s="28" t="n">
        <v>44375</v>
      </c>
      <c r="B179" s="28" t="n">
        <v>44381</v>
      </c>
      <c r="C179" s="21" t="n">
        <v>1</v>
      </c>
      <c r="D179" s="21" t="n">
        <v>0</v>
      </c>
      <c r="E179" s="21" t="n">
        <v>0</v>
      </c>
      <c r="F179" s="21" t="n">
        <v>2</v>
      </c>
      <c r="G179" s="30" t="s">
        <v>184</v>
      </c>
    </row>
    <row r="180" customFormat="false" ht="15" hidden="false" customHeight="false" outlineLevel="0" collapsed="false">
      <c r="A180" s="28" t="n">
        <v>44382</v>
      </c>
      <c r="B180" s="28" t="n">
        <v>44388</v>
      </c>
      <c r="C180" s="21" t="n">
        <v>0</v>
      </c>
      <c r="D180" s="21" t="n">
        <v>0</v>
      </c>
      <c r="E180" s="21" t="n">
        <v>0</v>
      </c>
      <c r="F180" s="21" t="n">
        <v>0</v>
      </c>
      <c r="G180" s="30" t="s">
        <v>184</v>
      </c>
    </row>
    <row r="181" customFormat="false" ht="15" hidden="false" customHeight="false" outlineLevel="0" collapsed="false">
      <c r="A181" s="28" t="n">
        <v>44389</v>
      </c>
      <c r="B181" s="28" t="n">
        <v>44395</v>
      </c>
      <c r="C181" s="21" t="n">
        <v>0</v>
      </c>
      <c r="D181" s="21" t="n">
        <v>0</v>
      </c>
      <c r="E181" s="21" t="n">
        <v>0</v>
      </c>
      <c r="F181" s="21" t="n">
        <v>0</v>
      </c>
      <c r="G181" s="29" t="s">
        <v>2750</v>
      </c>
    </row>
    <row r="182" customFormat="false" ht="15" hidden="false" customHeight="false" outlineLevel="0" collapsed="false">
      <c r="A182" s="28" t="n">
        <v>44396</v>
      </c>
      <c r="B182" s="28" t="n">
        <v>44402</v>
      </c>
      <c r="C182" s="21" t="n">
        <v>0</v>
      </c>
      <c r="D182" s="21" t="n">
        <v>0</v>
      </c>
      <c r="E182" s="21" t="n">
        <v>0</v>
      </c>
      <c r="F182" s="21" t="n">
        <v>0</v>
      </c>
      <c r="G182" s="29" t="s">
        <v>2750</v>
      </c>
    </row>
    <row r="183" customFormat="false" ht="15" hidden="false" customHeight="false" outlineLevel="0" collapsed="false">
      <c r="A183" s="28" t="n">
        <v>44403</v>
      </c>
      <c r="B183" s="28" t="n">
        <v>44409</v>
      </c>
      <c r="C183" s="21" t="n">
        <v>0</v>
      </c>
      <c r="D183" s="21" t="n">
        <v>0</v>
      </c>
      <c r="E183" s="21" t="n">
        <v>0</v>
      </c>
      <c r="F183" s="21" t="n">
        <v>0</v>
      </c>
      <c r="G183" s="29" t="s">
        <v>2750</v>
      </c>
    </row>
    <row r="184" customFormat="false" ht="15" hidden="false" customHeight="false" outlineLevel="0" collapsed="false">
      <c r="A184" s="28" t="n">
        <v>44410</v>
      </c>
      <c r="B184" s="28" t="n">
        <v>44416</v>
      </c>
      <c r="C184" s="21" t="n">
        <v>0</v>
      </c>
      <c r="D184" s="21" t="n">
        <v>0</v>
      </c>
      <c r="E184" s="21" t="n">
        <v>0</v>
      </c>
      <c r="F184" s="21" t="n">
        <v>0</v>
      </c>
      <c r="G184" s="29" t="s">
        <v>2750</v>
      </c>
    </row>
    <row r="185" customFormat="false" ht="15" hidden="false" customHeight="false" outlineLevel="0" collapsed="false">
      <c r="A185" s="28" t="n">
        <v>44417</v>
      </c>
      <c r="B185" s="28" t="n">
        <v>44423</v>
      </c>
      <c r="C185" s="21" t="n">
        <v>0</v>
      </c>
      <c r="D185" s="21" t="n">
        <v>0</v>
      </c>
      <c r="E185" s="21" t="n">
        <v>0</v>
      </c>
      <c r="F185" s="21" t="n">
        <v>0</v>
      </c>
      <c r="G185" s="29" t="s">
        <v>2750</v>
      </c>
    </row>
    <row r="186" customFormat="false" ht="15" hidden="false" customHeight="false" outlineLevel="0" collapsed="false">
      <c r="A186" s="28" t="n">
        <v>44424</v>
      </c>
      <c r="B186" s="28" t="n">
        <v>44430</v>
      </c>
      <c r="C186" s="21" t="n">
        <v>0</v>
      </c>
      <c r="D186" s="21" t="n">
        <v>0</v>
      </c>
      <c r="E186" s="21" t="n">
        <v>0</v>
      </c>
      <c r="F186" s="21" t="n">
        <v>0</v>
      </c>
      <c r="G186" s="29" t="s">
        <v>2750</v>
      </c>
    </row>
    <row r="187" customFormat="false" ht="15" hidden="false" customHeight="false" outlineLevel="0" collapsed="false">
      <c r="A187" s="28" t="n">
        <v>44431</v>
      </c>
      <c r="B187" s="28" t="n">
        <v>44437</v>
      </c>
      <c r="C187" s="21" t="n">
        <v>0</v>
      </c>
      <c r="D187" s="21" t="n">
        <v>0</v>
      </c>
      <c r="E187" s="21" t="n">
        <v>0</v>
      </c>
      <c r="F187" s="21" t="n">
        <v>0</v>
      </c>
      <c r="G187" s="29" t="s">
        <v>2750</v>
      </c>
    </row>
    <row r="188" customFormat="false" ht="15" hidden="false" customHeight="false" outlineLevel="0" collapsed="false">
      <c r="A188" s="28" t="n">
        <v>44438</v>
      </c>
      <c r="B188" s="28" t="n">
        <v>44444</v>
      </c>
      <c r="C188" s="21" t="n">
        <v>0</v>
      </c>
      <c r="D188" s="21" t="n">
        <v>0</v>
      </c>
      <c r="E188" s="21" t="n">
        <v>0</v>
      </c>
      <c r="F188" s="21" t="n">
        <v>0</v>
      </c>
      <c r="G188" s="29" t="s">
        <v>2750</v>
      </c>
    </row>
    <row r="189" customFormat="false" ht="15" hidden="false" customHeight="false" outlineLevel="0" collapsed="false">
      <c r="A189" s="28" t="n">
        <v>44445</v>
      </c>
      <c r="B189" s="28" t="n">
        <v>44451</v>
      </c>
      <c r="C189" s="21" t="n">
        <v>0</v>
      </c>
      <c r="D189" s="21" t="n">
        <v>0</v>
      </c>
      <c r="E189" s="21" t="n">
        <v>0</v>
      </c>
      <c r="F189" s="21" t="n">
        <v>0</v>
      </c>
      <c r="G189" s="29" t="s">
        <v>2750</v>
      </c>
    </row>
    <row r="190" customFormat="false" ht="15" hidden="false" customHeight="false" outlineLevel="0" collapsed="false">
      <c r="A190" s="28" t="n">
        <v>44452</v>
      </c>
      <c r="B190" s="28" t="n">
        <v>44458</v>
      </c>
      <c r="C190" s="21" t="n">
        <v>0</v>
      </c>
      <c r="D190" s="21" t="n">
        <v>0</v>
      </c>
      <c r="E190" s="21" t="n">
        <v>0</v>
      </c>
      <c r="F190" s="21" t="n">
        <v>0</v>
      </c>
      <c r="G190" s="29" t="s">
        <v>2750</v>
      </c>
    </row>
    <row r="191" customFormat="false" ht="15" hidden="false" customHeight="false" outlineLevel="0" collapsed="false">
      <c r="A191" s="28" t="n">
        <v>44459</v>
      </c>
      <c r="B191" s="28" t="n">
        <v>44465</v>
      </c>
      <c r="C191" s="21" t="n">
        <v>0</v>
      </c>
      <c r="D191" s="21" t="n">
        <v>0</v>
      </c>
      <c r="E191" s="21" t="n">
        <v>0</v>
      </c>
      <c r="F191" s="21" t="n">
        <v>0</v>
      </c>
      <c r="G191" s="29" t="s">
        <v>2750</v>
      </c>
    </row>
    <row r="192" customFormat="false" ht="15" hidden="false" customHeight="false" outlineLevel="0" collapsed="false">
      <c r="A192" s="28" t="n">
        <v>44466</v>
      </c>
      <c r="B192" s="28" t="n">
        <v>44472</v>
      </c>
      <c r="C192" s="21" t="n">
        <v>0</v>
      </c>
      <c r="D192" s="21" t="n">
        <v>0</v>
      </c>
      <c r="E192" s="21" t="n">
        <v>0</v>
      </c>
      <c r="F192" s="21" t="n">
        <v>0</v>
      </c>
      <c r="G192" s="29" t="s">
        <v>2750</v>
      </c>
    </row>
    <row r="193" customFormat="false" ht="15" hidden="false" customHeight="false" outlineLevel="0" collapsed="false">
      <c r="A193" s="28" t="n">
        <v>44473</v>
      </c>
      <c r="B193" s="28" t="n">
        <v>44479</v>
      </c>
      <c r="C193" s="21" t="n">
        <v>0</v>
      </c>
      <c r="D193" s="21" t="n">
        <v>0</v>
      </c>
      <c r="E193" s="21" t="n">
        <v>0</v>
      </c>
      <c r="F193" s="21" t="n">
        <v>0</v>
      </c>
      <c r="G193" s="29" t="s">
        <v>2750</v>
      </c>
    </row>
    <row r="194" customFormat="false" ht="15" hidden="false" customHeight="false" outlineLevel="0" collapsed="false">
      <c r="A194" s="28" t="n">
        <v>44480</v>
      </c>
      <c r="B194" s="28" t="n">
        <v>44486</v>
      </c>
      <c r="C194" s="21" t="n">
        <v>0</v>
      </c>
      <c r="D194" s="21" t="n">
        <v>0</v>
      </c>
      <c r="E194" s="21" t="n">
        <v>0</v>
      </c>
      <c r="F194" s="21" t="n">
        <v>0</v>
      </c>
      <c r="G194" s="29" t="s">
        <v>2750</v>
      </c>
    </row>
    <row r="195" customFormat="false" ht="15" hidden="false" customHeight="false" outlineLevel="0" collapsed="false">
      <c r="A195" s="28" t="n">
        <v>44487</v>
      </c>
      <c r="B195" s="28" t="n">
        <v>44493</v>
      </c>
      <c r="C195" s="21" t="n">
        <v>0</v>
      </c>
      <c r="D195" s="21" t="n">
        <v>0</v>
      </c>
      <c r="E195" s="21" t="n">
        <v>0</v>
      </c>
      <c r="F195" s="21" t="n">
        <v>0</v>
      </c>
      <c r="G195" s="29" t="s">
        <v>2750</v>
      </c>
    </row>
    <row r="196" customFormat="false" ht="15" hidden="false" customHeight="false" outlineLevel="0" collapsed="false">
      <c r="A196" s="28" t="n">
        <v>44494</v>
      </c>
      <c r="B196" s="28" t="n">
        <v>44500</v>
      </c>
      <c r="C196" s="21" t="n">
        <v>0</v>
      </c>
      <c r="D196" s="21" t="n">
        <v>0</v>
      </c>
      <c r="E196" s="21" t="n">
        <v>0</v>
      </c>
      <c r="F196" s="21" t="n">
        <v>0</v>
      </c>
      <c r="G196" s="29" t="s">
        <v>2750</v>
      </c>
    </row>
    <row r="197" customFormat="false" ht="15" hidden="false" customHeight="false" outlineLevel="0" collapsed="false">
      <c r="A197" s="28" t="n">
        <v>44501</v>
      </c>
      <c r="B197" s="28" t="n">
        <v>44507</v>
      </c>
      <c r="C197" s="21" t="n">
        <v>0</v>
      </c>
      <c r="D197" s="21" t="n">
        <v>0</v>
      </c>
      <c r="E197" s="21" t="n">
        <v>0</v>
      </c>
      <c r="F197" s="21" t="n">
        <v>0</v>
      </c>
      <c r="G197" s="29" t="s">
        <v>2750</v>
      </c>
    </row>
    <row r="198" customFormat="false" ht="15" hidden="false" customHeight="false" outlineLevel="0" collapsed="false">
      <c r="A198" s="28" t="n">
        <v>44508</v>
      </c>
      <c r="B198" s="28" t="n">
        <v>44514</v>
      </c>
      <c r="C198" s="21" t="n">
        <v>0</v>
      </c>
      <c r="D198" s="21" t="n">
        <v>0</v>
      </c>
      <c r="E198" s="21" t="n">
        <v>0</v>
      </c>
      <c r="F198" s="21" t="n">
        <v>0</v>
      </c>
      <c r="G198" s="29" t="s">
        <v>2750</v>
      </c>
    </row>
    <row r="199" customFormat="false" ht="15" hidden="false" customHeight="false" outlineLevel="0" collapsed="false">
      <c r="A199" s="28" t="n">
        <v>44515</v>
      </c>
      <c r="B199" s="28" t="n">
        <v>44521</v>
      </c>
      <c r="C199" s="21" t="n">
        <v>0</v>
      </c>
      <c r="D199" s="21" t="n">
        <v>0</v>
      </c>
      <c r="E199" s="21" t="n">
        <v>0</v>
      </c>
      <c r="F199" s="21" t="n">
        <v>0</v>
      </c>
      <c r="G199" s="29" t="s">
        <v>2750</v>
      </c>
    </row>
    <row r="200" customFormat="false" ht="15" hidden="false" customHeight="false" outlineLevel="0" collapsed="false">
      <c r="A200" s="28" t="n">
        <v>44522</v>
      </c>
      <c r="B200" s="28" t="n">
        <v>44528</v>
      </c>
      <c r="C200" s="21" t="n">
        <v>0</v>
      </c>
      <c r="D200" s="21" t="n">
        <v>0</v>
      </c>
      <c r="E200" s="21" t="n">
        <v>0</v>
      </c>
      <c r="F200" s="21" t="n">
        <v>0</v>
      </c>
      <c r="G200" s="29" t="s">
        <v>2750</v>
      </c>
    </row>
    <row r="201" customFormat="false" ht="15" hidden="false" customHeight="false" outlineLevel="0" collapsed="false">
      <c r="A201" s="28" t="n">
        <v>44529</v>
      </c>
      <c r="B201" s="28" t="n">
        <v>44535</v>
      </c>
      <c r="C201" s="21" t="n">
        <v>0</v>
      </c>
      <c r="D201" s="21" t="n">
        <v>0</v>
      </c>
      <c r="E201" s="21" t="n">
        <v>0</v>
      </c>
      <c r="F201" s="21" t="n">
        <v>0</v>
      </c>
      <c r="G201" s="29" t="s">
        <v>2750</v>
      </c>
    </row>
    <row r="202" customFormat="false" ht="15" hidden="false" customHeight="false" outlineLevel="0" collapsed="false">
      <c r="A202" s="28" t="n">
        <v>44536</v>
      </c>
      <c r="B202" s="28" t="n">
        <v>44542</v>
      </c>
      <c r="C202" s="21" t="n">
        <v>0</v>
      </c>
      <c r="D202" s="21" t="n">
        <v>0</v>
      </c>
      <c r="E202" s="21" t="n">
        <v>0</v>
      </c>
      <c r="F202" s="21" t="n">
        <v>0</v>
      </c>
      <c r="G202" s="29" t="s">
        <v>2750</v>
      </c>
    </row>
    <row r="203" customFormat="false" ht="15" hidden="false" customHeight="false" outlineLevel="0" collapsed="false">
      <c r="A203" s="28" t="n">
        <v>44543</v>
      </c>
      <c r="B203" s="28" t="n">
        <v>44549</v>
      </c>
      <c r="C203" s="21" t="n">
        <v>0</v>
      </c>
      <c r="D203" s="21" t="n">
        <v>0</v>
      </c>
      <c r="E203" s="21" t="n">
        <v>0</v>
      </c>
      <c r="F203" s="21" t="n">
        <v>0</v>
      </c>
      <c r="G203" s="29" t="s">
        <v>2750</v>
      </c>
    </row>
    <row r="204" customFormat="false" ht="15" hidden="false" customHeight="false" outlineLevel="0" collapsed="false">
      <c r="A204" s="28" t="n">
        <v>44550</v>
      </c>
      <c r="B204" s="28" t="n">
        <v>44556</v>
      </c>
      <c r="C204" s="21" t="n">
        <v>0</v>
      </c>
      <c r="D204" s="21" t="n">
        <v>0</v>
      </c>
      <c r="E204" s="21" t="n">
        <v>0</v>
      </c>
      <c r="F204" s="21" t="n">
        <v>0</v>
      </c>
      <c r="G204" s="29" t="s">
        <v>2750</v>
      </c>
    </row>
    <row r="205" customFormat="false" ht="15" hidden="false" customHeight="false" outlineLevel="0" collapsed="false">
      <c r="A205" s="28" t="n">
        <v>44557</v>
      </c>
      <c r="B205" s="28" t="n">
        <v>44563</v>
      </c>
      <c r="C205" s="21" t="n">
        <v>0</v>
      </c>
      <c r="D205" s="21" t="n">
        <v>0</v>
      </c>
      <c r="E205" s="21" t="n">
        <v>0</v>
      </c>
      <c r="F205" s="21" t="n">
        <v>0</v>
      </c>
      <c r="G205" s="29" t="s">
        <v>2750</v>
      </c>
    </row>
    <row r="206" customFormat="false" ht="15" hidden="false" customHeight="false" outlineLevel="0" collapsed="false">
      <c r="A206" s="28" t="n">
        <v>44564</v>
      </c>
      <c r="B206" s="28" t="n">
        <v>44570</v>
      </c>
      <c r="C206" s="21" t="n">
        <v>0</v>
      </c>
      <c r="D206" s="21" t="n">
        <v>0</v>
      </c>
      <c r="E206" s="21" t="n">
        <v>0</v>
      </c>
      <c r="F206" s="21" t="n">
        <v>0</v>
      </c>
      <c r="G206" s="29" t="s">
        <v>2750</v>
      </c>
    </row>
    <row r="207" customFormat="false" ht="15" hidden="false" customHeight="false" outlineLevel="0" collapsed="false">
      <c r="A207" s="28" t="n">
        <v>44571</v>
      </c>
      <c r="B207" s="28" t="n">
        <v>44577</v>
      </c>
      <c r="C207" s="21" t="n">
        <v>0</v>
      </c>
      <c r="D207" s="21" t="n">
        <v>0</v>
      </c>
      <c r="E207" s="21" t="n">
        <v>0</v>
      </c>
      <c r="F207" s="21" t="n">
        <v>0</v>
      </c>
      <c r="G207" s="29" t="s">
        <v>2750</v>
      </c>
    </row>
    <row r="208" customFormat="false" ht="15" hidden="false" customHeight="false" outlineLevel="0" collapsed="false">
      <c r="A208" s="28" t="n">
        <v>44578</v>
      </c>
      <c r="B208" s="28" t="n">
        <v>44584</v>
      </c>
      <c r="C208" s="21" t="n">
        <v>0</v>
      </c>
      <c r="D208" s="21" t="n">
        <v>0</v>
      </c>
      <c r="E208" s="21" t="n">
        <v>0</v>
      </c>
      <c r="F208" s="21" t="n">
        <v>0</v>
      </c>
      <c r="G208" s="29" t="s">
        <v>2750</v>
      </c>
    </row>
    <row r="209" customFormat="false" ht="15" hidden="false" customHeight="false" outlineLevel="0" collapsed="false">
      <c r="A209" s="28" t="n">
        <v>44585</v>
      </c>
      <c r="B209" s="28" t="n">
        <v>44591</v>
      </c>
      <c r="C209" s="21" t="n">
        <v>0</v>
      </c>
      <c r="D209" s="21" t="n">
        <v>0</v>
      </c>
      <c r="E209" s="21" t="n">
        <v>0</v>
      </c>
      <c r="F209" s="21" t="n">
        <v>0</v>
      </c>
      <c r="G209" s="29" t="s">
        <v>2750</v>
      </c>
    </row>
    <row r="210" customFormat="false" ht="15" hidden="false" customHeight="false" outlineLevel="0" collapsed="false">
      <c r="A210" s="28" t="n">
        <v>44592</v>
      </c>
      <c r="B210" s="28" t="n">
        <v>44598</v>
      </c>
      <c r="C210" s="21" t="n">
        <v>0</v>
      </c>
      <c r="D210" s="21" t="n">
        <v>0</v>
      </c>
      <c r="E210" s="21" t="n">
        <v>0</v>
      </c>
      <c r="F210" s="21" t="n">
        <v>0</v>
      </c>
      <c r="G210" s="29" t="s">
        <v>2750</v>
      </c>
    </row>
    <row r="211" customFormat="false" ht="15" hidden="false" customHeight="false" outlineLevel="0" collapsed="false">
      <c r="A211" s="28" t="n">
        <v>44599</v>
      </c>
      <c r="B211" s="28" t="n">
        <v>44605</v>
      </c>
      <c r="C211" s="21" t="n">
        <v>0</v>
      </c>
      <c r="D211" s="21" t="n">
        <v>0</v>
      </c>
      <c r="E211" s="21" t="n">
        <v>0</v>
      </c>
      <c r="F211" s="21" t="n">
        <v>0</v>
      </c>
      <c r="G211" s="29" t="s">
        <v>2750</v>
      </c>
    </row>
    <row r="212" customFormat="false" ht="15" hidden="false" customHeight="false" outlineLevel="0" collapsed="false">
      <c r="A212" s="28" t="n">
        <v>44606</v>
      </c>
      <c r="B212" s="28" t="n">
        <v>44612</v>
      </c>
      <c r="C212" s="21" t="n">
        <v>0</v>
      </c>
      <c r="D212" s="21" t="n">
        <v>0</v>
      </c>
      <c r="E212" s="21" t="n">
        <v>0</v>
      </c>
      <c r="F212" s="21" t="n">
        <v>0</v>
      </c>
      <c r="G212" s="29" t="s">
        <v>2750</v>
      </c>
    </row>
    <row r="213" customFormat="false" ht="15" hidden="false" customHeight="false" outlineLevel="0" collapsed="false">
      <c r="A213" s="28" t="n">
        <v>44613</v>
      </c>
      <c r="B213" s="28" t="n">
        <v>44619</v>
      </c>
      <c r="C213" s="21" t="n">
        <v>0</v>
      </c>
      <c r="D213" s="21" t="n">
        <v>0</v>
      </c>
      <c r="E213" s="21" t="n">
        <v>0</v>
      </c>
      <c r="F213" s="21" t="n">
        <v>0</v>
      </c>
      <c r="G213" s="29" t="s">
        <v>2750</v>
      </c>
    </row>
    <row r="214" customFormat="false" ht="15" hidden="false" customHeight="false" outlineLevel="0" collapsed="false">
      <c r="A214" s="28" t="n">
        <v>44620</v>
      </c>
      <c r="B214" s="28" t="n">
        <v>44626</v>
      </c>
      <c r="C214" s="21" t="n">
        <v>0</v>
      </c>
      <c r="D214" s="21" t="n">
        <v>0</v>
      </c>
      <c r="E214" s="21" t="n">
        <v>0</v>
      </c>
      <c r="F214" s="21" t="n">
        <v>0</v>
      </c>
      <c r="G214" s="29" t="s">
        <v>2750</v>
      </c>
    </row>
    <row r="215" customFormat="false" ht="15" hidden="false" customHeight="false" outlineLevel="0" collapsed="false">
      <c r="A215" s="28" t="n">
        <v>44627</v>
      </c>
      <c r="B215" s="28" t="n">
        <v>44633</v>
      </c>
      <c r="C215" s="21" t="n">
        <v>0</v>
      </c>
      <c r="D215" s="21" t="n">
        <v>0</v>
      </c>
      <c r="E215" s="21" t="n">
        <v>0</v>
      </c>
      <c r="F215" s="21" t="n">
        <v>0</v>
      </c>
      <c r="G215" s="29" t="s">
        <v>2750</v>
      </c>
    </row>
    <row r="216" customFormat="false" ht="15" hidden="false" customHeight="false" outlineLevel="0" collapsed="false">
      <c r="A216" s="28" t="n">
        <v>44634</v>
      </c>
      <c r="B216" s="28" t="n">
        <v>44640</v>
      </c>
      <c r="C216" s="21" t="n">
        <v>0</v>
      </c>
      <c r="D216" s="21" t="n">
        <v>0</v>
      </c>
      <c r="E216" s="21" t="n">
        <v>0</v>
      </c>
      <c r="F216" s="21" t="n">
        <v>0</v>
      </c>
      <c r="G216" s="29" t="s">
        <v>2750</v>
      </c>
    </row>
    <row r="217" customFormat="false" ht="15" hidden="false" customHeight="false" outlineLevel="0" collapsed="false">
      <c r="A217" s="28" t="n">
        <v>44641</v>
      </c>
      <c r="B217" s="28" t="n">
        <v>44647</v>
      </c>
      <c r="C217" s="21" t="n">
        <v>0</v>
      </c>
      <c r="D217" s="21" t="n">
        <v>0</v>
      </c>
      <c r="E217" s="21" t="n">
        <v>0</v>
      </c>
      <c r="F217" s="21" t="n">
        <v>0</v>
      </c>
      <c r="G217" s="29" t="s">
        <v>2750</v>
      </c>
    </row>
    <row r="218" customFormat="false" ht="15" hidden="false" customHeight="false" outlineLevel="0" collapsed="false">
      <c r="A218" s="28" t="n">
        <v>44648</v>
      </c>
      <c r="B218" s="28" t="n">
        <v>44654</v>
      </c>
      <c r="C218" s="21" t="n">
        <v>0</v>
      </c>
      <c r="D218" s="21" t="n">
        <v>0</v>
      </c>
      <c r="E218" s="21" t="n">
        <v>0</v>
      </c>
      <c r="F218" s="21" t="n">
        <v>0</v>
      </c>
      <c r="G218" s="29" t="s">
        <v>2750</v>
      </c>
    </row>
    <row r="219" customFormat="false" ht="15" hidden="false" customHeight="false" outlineLevel="0" collapsed="false">
      <c r="A219" s="28" t="n">
        <v>44655</v>
      </c>
      <c r="B219" s="28" t="n">
        <v>44661</v>
      </c>
      <c r="C219" s="21" t="n">
        <v>0</v>
      </c>
      <c r="D219" s="21" t="n">
        <v>0</v>
      </c>
      <c r="E219" s="21" t="n">
        <v>0</v>
      </c>
      <c r="F219" s="21" t="n">
        <v>0</v>
      </c>
      <c r="G219" s="29" t="s">
        <v>2750</v>
      </c>
    </row>
    <row r="220" customFormat="false" ht="15" hidden="false" customHeight="false" outlineLevel="0" collapsed="false">
      <c r="A220" s="28" t="n">
        <v>44662</v>
      </c>
      <c r="B220" s="28" t="n">
        <v>44668</v>
      </c>
      <c r="C220" s="21" t="n">
        <v>0</v>
      </c>
      <c r="D220" s="21" t="n">
        <v>0</v>
      </c>
      <c r="E220" s="21" t="n">
        <v>0</v>
      </c>
      <c r="F220" s="21" t="n">
        <v>0</v>
      </c>
      <c r="G220" s="29" t="s">
        <v>2750</v>
      </c>
    </row>
    <row r="221" customFormat="false" ht="15" hidden="false" customHeight="false" outlineLevel="0" collapsed="false">
      <c r="A221" s="28" t="n">
        <v>44669</v>
      </c>
      <c r="B221" s="28" t="n">
        <v>44675</v>
      </c>
      <c r="C221" s="21" t="n">
        <v>0</v>
      </c>
      <c r="D221" s="21" t="n">
        <v>0</v>
      </c>
      <c r="E221" s="21" t="n">
        <v>0</v>
      </c>
      <c r="F221" s="21" t="n">
        <v>0</v>
      </c>
      <c r="G221" s="29" t="s">
        <v>2750</v>
      </c>
    </row>
    <row r="222" customFormat="false" ht="15" hidden="false" customHeight="false" outlineLevel="0" collapsed="false">
      <c r="A222" s="28" t="n">
        <v>44676</v>
      </c>
      <c r="B222" s="28" t="n">
        <v>44682</v>
      </c>
      <c r="C222" s="21" t="n">
        <v>0</v>
      </c>
      <c r="D222" s="21" t="n">
        <v>0</v>
      </c>
      <c r="E222" s="21" t="n">
        <v>0</v>
      </c>
      <c r="F222" s="21" t="n">
        <v>0</v>
      </c>
      <c r="G222" s="29" t="s">
        <v>2750</v>
      </c>
    </row>
    <row r="223" customFormat="false" ht="15" hidden="false" customHeight="false" outlineLevel="0" collapsed="false">
      <c r="A223" s="28" t="n">
        <v>44683</v>
      </c>
      <c r="B223" s="28" t="n">
        <v>44689</v>
      </c>
      <c r="C223" s="21" t="n">
        <v>0</v>
      </c>
      <c r="D223" s="21" t="n">
        <v>0</v>
      </c>
      <c r="E223" s="21" t="n">
        <v>0</v>
      </c>
      <c r="F223" s="21" t="n">
        <v>0</v>
      </c>
      <c r="G223" s="29" t="s">
        <v>2750</v>
      </c>
    </row>
    <row r="224" customFormat="false" ht="15" hidden="false" customHeight="false" outlineLevel="0" collapsed="false">
      <c r="A224" s="28" t="n">
        <v>44690</v>
      </c>
      <c r="B224" s="28" t="n">
        <v>44696</v>
      </c>
      <c r="C224" s="21" t="n">
        <v>0</v>
      </c>
      <c r="D224" s="21" t="n">
        <v>0</v>
      </c>
      <c r="E224" s="21" t="n">
        <v>0</v>
      </c>
      <c r="F224" s="21" t="n">
        <v>0</v>
      </c>
      <c r="G224" s="29" t="s">
        <v>2750</v>
      </c>
    </row>
    <row r="225" customFormat="false" ht="15" hidden="false" customHeight="false" outlineLevel="0" collapsed="false">
      <c r="A225" s="28" t="n">
        <v>44697</v>
      </c>
      <c r="B225" s="28" t="n">
        <v>44703</v>
      </c>
      <c r="C225" s="21" t="n">
        <v>0</v>
      </c>
      <c r="D225" s="21" t="n">
        <v>0</v>
      </c>
      <c r="E225" s="21" t="n">
        <v>0</v>
      </c>
      <c r="F225" s="21" t="n">
        <v>0</v>
      </c>
      <c r="G225" s="29" t="s">
        <v>2750</v>
      </c>
    </row>
    <row r="226" customFormat="false" ht="15" hidden="false" customHeight="false" outlineLevel="0" collapsed="false">
      <c r="A226" s="28" t="n">
        <v>44704</v>
      </c>
      <c r="B226" s="28" t="n">
        <v>44710</v>
      </c>
      <c r="C226" s="21" t="n">
        <v>0</v>
      </c>
      <c r="D226" s="21" t="n">
        <v>0</v>
      </c>
      <c r="E226" s="21" t="n">
        <v>0</v>
      </c>
      <c r="F226" s="21" t="n">
        <v>0</v>
      </c>
      <c r="G226" s="29" t="s">
        <v>2750</v>
      </c>
    </row>
    <row r="227" customFormat="false" ht="15" hidden="false" customHeight="false" outlineLevel="0" collapsed="false">
      <c r="A227" s="28" t="n">
        <v>44711</v>
      </c>
      <c r="B227" s="28" t="n">
        <v>44717</v>
      </c>
      <c r="C227" s="21" t="n">
        <v>0</v>
      </c>
      <c r="D227" s="21" t="n">
        <v>0</v>
      </c>
      <c r="E227" s="21" t="n">
        <v>0</v>
      </c>
      <c r="F227" s="21" t="n">
        <v>0</v>
      </c>
      <c r="G227" s="29" t="s">
        <v>2750</v>
      </c>
    </row>
    <row r="228" customFormat="false" ht="15" hidden="false" customHeight="false" outlineLevel="0" collapsed="false">
      <c r="A228" s="28" t="n">
        <v>44718</v>
      </c>
      <c r="B228" s="28" t="n">
        <v>44724</v>
      </c>
      <c r="C228" s="21" t="n">
        <v>0</v>
      </c>
      <c r="D228" s="21" t="n">
        <v>0</v>
      </c>
      <c r="E228" s="21" t="n">
        <v>0</v>
      </c>
      <c r="F228" s="21" t="n">
        <v>0</v>
      </c>
      <c r="G228" s="29" t="s">
        <v>2750</v>
      </c>
    </row>
    <row r="229" customFormat="false" ht="15" hidden="false" customHeight="false" outlineLevel="0" collapsed="false">
      <c r="A229" s="28" t="n">
        <v>44725</v>
      </c>
      <c r="B229" s="28" t="n">
        <v>44731</v>
      </c>
      <c r="C229" s="21" t="n">
        <v>0</v>
      </c>
      <c r="D229" s="21" t="n">
        <v>0</v>
      </c>
      <c r="E229" s="21" t="n">
        <v>0</v>
      </c>
      <c r="F229" s="21" t="n">
        <v>0</v>
      </c>
      <c r="G229" s="29" t="s">
        <v>2750</v>
      </c>
    </row>
    <row r="230" customFormat="false" ht="15" hidden="false" customHeight="false" outlineLevel="0" collapsed="false">
      <c r="A230" s="28" t="n">
        <v>44732</v>
      </c>
      <c r="B230" s="28" t="n">
        <v>44738</v>
      </c>
      <c r="C230" s="21" t="n">
        <v>0</v>
      </c>
      <c r="D230" s="21" t="n">
        <v>0</v>
      </c>
      <c r="E230" s="21" t="n">
        <v>0</v>
      </c>
      <c r="F230" s="21" t="n">
        <v>0</v>
      </c>
      <c r="G230" s="29" t="s">
        <v>2750</v>
      </c>
    </row>
    <row r="231" customFormat="false" ht="15" hidden="false" customHeight="false" outlineLevel="0" collapsed="false">
      <c r="A231" s="28" t="n">
        <v>44739</v>
      </c>
      <c r="B231" s="28" t="n">
        <v>44745</v>
      </c>
      <c r="C231" s="21" t="n">
        <v>0</v>
      </c>
      <c r="D231" s="21" t="n">
        <v>0</v>
      </c>
      <c r="E231" s="21" t="n">
        <v>0</v>
      </c>
      <c r="F231" s="21" t="n">
        <v>0</v>
      </c>
      <c r="G231" s="29" t="s">
        <v>2750</v>
      </c>
    </row>
    <row r="232" customFormat="false" ht="15" hidden="false" customHeight="false" outlineLevel="0" collapsed="false">
      <c r="A232" s="28" t="n">
        <v>44746</v>
      </c>
      <c r="B232" s="28" t="n">
        <v>44752</v>
      </c>
      <c r="C232" s="21" t="n">
        <v>0</v>
      </c>
      <c r="D232" s="21" t="n">
        <v>0</v>
      </c>
      <c r="E232" s="21" t="n">
        <v>0</v>
      </c>
      <c r="F232" s="21" t="n">
        <v>0</v>
      </c>
      <c r="G232" s="29" t="s">
        <v>2750</v>
      </c>
    </row>
    <row r="233" customFormat="false" ht="15" hidden="false" customHeight="false" outlineLevel="0" collapsed="false">
      <c r="A233" s="28" t="n">
        <v>44753</v>
      </c>
      <c r="B233" s="28" t="n">
        <v>44759</v>
      </c>
      <c r="C233" s="21" t="n">
        <v>0</v>
      </c>
      <c r="D233" s="21" t="n">
        <v>0</v>
      </c>
      <c r="E233" s="21" t="n">
        <v>0</v>
      </c>
      <c r="F233" s="21" t="n">
        <v>0</v>
      </c>
      <c r="G233" s="29" t="s">
        <v>2750</v>
      </c>
    </row>
    <row r="234" customFormat="false" ht="15" hidden="false" customHeight="false" outlineLevel="0" collapsed="false">
      <c r="A234" s="28" t="n">
        <v>44760</v>
      </c>
      <c r="B234" s="28" t="n">
        <v>44766</v>
      </c>
      <c r="C234" s="21" t="n">
        <v>0</v>
      </c>
      <c r="D234" s="21" t="n">
        <v>0</v>
      </c>
      <c r="E234" s="21" t="n">
        <v>0</v>
      </c>
      <c r="F234" s="21" t="n">
        <v>0</v>
      </c>
      <c r="G234" s="29" t="s">
        <v>2750</v>
      </c>
    </row>
    <row r="235" customFormat="false" ht="15" hidden="false" customHeight="false" outlineLevel="0" collapsed="false">
      <c r="A235" s="28" t="n">
        <v>44767</v>
      </c>
      <c r="B235" s="28" t="n">
        <v>44773</v>
      </c>
      <c r="C235" s="21" t="n">
        <v>0</v>
      </c>
      <c r="D235" s="21" t="n">
        <v>0</v>
      </c>
      <c r="E235" s="21" t="n">
        <v>0</v>
      </c>
      <c r="F235" s="21" t="n">
        <v>0</v>
      </c>
      <c r="G235" s="29" t="s">
        <v>2750</v>
      </c>
    </row>
    <row r="236" customFormat="false" ht="15" hidden="false" customHeight="false" outlineLevel="0" collapsed="false">
      <c r="A236" s="28" t="n">
        <v>44774</v>
      </c>
      <c r="B236" s="28" t="n">
        <v>44780</v>
      </c>
      <c r="C236" s="21" t="n">
        <v>0</v>
      </c>
      <c r="D236" s="21" t="n">
        <v>0</v>
      </c>
      <c r="E236" s="21" t="n">
        <v>0</v>
      </c>
      <c r="F236" s="21" t="n">
        <v>0</v>
      </c>
      <c r="G236" s="29" t="s">
        <v>2750</v>
      </c>
    </row>
    <row r="237" customFormat="false" ht="15" hidden="false" customHeight="false" outlineLevel="0" collapsed="false">
      <c r="A237" s="28" t="n">
        <v>44781</v>
      </c>
      <c r="B237" s="28" t="n">
        <v>44787</v>
      </c>
      <c r="C237" s="21" t="n">
        <v>0</v>
      </c>
      <c r="D237" s="21" t="n">
        <v>0</v>
      </c>
      <c r="E237" s="21" t="n">
        <v>0</v>
      </c>
      <c r="F237" s="21" t="n">
        <v>0</v>
      </c>
      <c r="G237" s="29" t="s">
        <v>2750</v>
      </c>
    </row>
    <row r="238" customFormat="false" ht="15" hidden="false" customHeight="false" outlineLevel="0" collapsed="false">
      <c r="A238" s="28" t="n">
        <v>44788</v>
      </c>
      <c r="B238" s="28" t="n">
        <v>44794</v>
      </c>
      <c r="C238" s="21" t="n">
        <v>0</v>
      </c>
      <c r="D238" s="21" t="n">
        <v>0</v>
      </c>
      <c r="E238" s="21" t="n">
        <v>0</v>
      </c>
      <c r="F238" s="21" t="n">
        <v>0</v>
      </c>
      <c r="G238" s="29" t="s">
        <v>2750</v>
      </c>
    </row>
    <row r="239" customFormat="false" ht="15" hidden="false" customHeight="false" outlineLevel="0" collapsed="false">
      <c r="A239" s="28" t="n">
        <v>44795</v>
      </c>
      <c r="B239" s="28" t="n">
        <v>44801</v>
      </c>
      <c r="C239" s="21" t="n">
        <v>2</v>
      </c>
      <c r="D239" s="21" t="n">
        <v>0</v>
      </c>
      <c r="E239" s="21" t="n">
        <v>1</v>
      </c>
      <c r="F239" s="21" t="n">
        <v>6</v>
      </c>
      <c r="G239" s="31" t="s">
        <v>89</v>
      </c>
    </row>
    <row r="240" customFormat="false" ht="15" hidden="false" customHeight="false" outlineLevel="0" collapsed="false">
      <c r="A240" s="28" t="n">
        <v>44802</v>
      </c>
      <c r="B240" s="28" t="n">
        <v>44808</v>
      </c>
      <c r="C240" s="21" t="n">
        <v>0</v>
      </c>
      <c r="D240" s="21" t="n">
        <v>0</v>
      </c>
      <c r="E240" s="21" t="n">
        <v>0</v>
      </c>
      <c r="F240" s="21" t="n">
        <v>0</v>
      </c>
      <c r="G240" s="31" t="s">
        <v>89</v>
      </c>
    </row>
    <row r="241" customFormat="false" ht="15" hidden="false" customHeight="false" outlineLevel="0" collapsed="false">
      <c r="A241" s="28" t="n">
        <v>44809</v>
      </c>
      <c r="B241" s="28" t="n">
        <v>44815</v>
      </c>
      <c r="C241" s="21" t="n">
        <v>0</v>
      </c>
      <c r="D241" s="21" t="n">
        <v>0</v>
      </c>
      <c r="E241" s="21" t="n">
        <v>0</v>
      </c>
      <c r="F241" s="21" t="n">
        <v>0</v>
      </c>
      <c r="G241" s="29" t="s">
        <v>2750</v>
      </c>
    </row>
    <row r="242" customFormat="false" ht="15" hidden="false" customHeight="false" outlineLevel="0" collapsed="false">
      <c r="A242" s="28" t="n">
        <v>44816</v>
      </c>
      <c r="B242" s="28" t="n">
        <v>44822</v>
      </c>
      <c r="C242" s="21" t="n">
        <v>0</v>
      </c>
      <c r="D242" s="21" t="n">
        <v>0</v>
      </c>
      <c r="E242" s="21" t="n">
        <v>0</v>
      </c>
      <c r="F242" s="21" t="n">
        <v>0</v>
      </c>
      <c r="G242" s="29" t="s">
        <v>2750</v>
      </c>
    </row>
    <row r="243" customFormat="false" ht="15" hidden="false" customHeight="false" outlineLevel="0" collapsed="false">
      <c r="A243" s="28" t="n">
        <v>44823</v>
      </c>
      <c r="B243" s="28" t="n">
        <v>44829</v>
      </c>
      <c r="C243" s="21" t="n">
        <v>0</v>
      </c>
      <c r="D243" s="21" t="n">
        <v>0</v>
      </c>
      <c r="E243" s="21" t="n">
        <v>0</v>
      </c>
      <c r="F243" s="21" t="n">
        <v>0</v>
      </c>
      <c r="G243" s="29" t="s">
        <v>2750</v>
      </c>
    </row>
    <row r="244" customFormat="false" ht="15" hidden="false" customHeight="false" outlineLevel="0" collapsed="false">
      <c r="A244" s="28" t="n">
        <v>44830</v>
      </c>
      <c r="B244" s="28" t="n">
        <v>44836</v>
      </c>
      <c r="C244" s="21" t="n">
        <v>0</v>
      </c>
      <c r="D244" s="21" t="n">
        <v>0</v>
      </c>
      <c r="E244" s="21" t="n">
        <v>0</v>
      </c>
      <c r="F244" s="21" t="n">
        <v>0</v>
      </c>
      <c r="G244" s="29" t="s">
        <v>2750</v>
      </c>
    </row>
    <row r="245" customFormat="false" ht="15" hidden="false" customHeight="false" outlineLevel="0" collapsed="false">
      <c r="A245" s="28" t="n">
        <v>44837</v>
      </c>
      <c r="B245" s="28" t="n">
        <v>44843</v>
      </c>
      <c r="C245" s="21" t="n">
        <v>0</v>
      </c>
      <c r="D245" s="21" t="n">
        <v>0</v>
      </c>
      <c r="E245" s="21" t="n">
        <v>0</v>
      </c>
      <c r="F245" s="21" t="n">
        <v>0</v>
      </c>
      <c r="G245" s="29" t="s">
        <v>2750</v>
      </c>
    </row>
    <row r="246" customFormat="false" ht="15" hidden="false" customHeight="false" outlineLevel="0" collapsed="false">
      <c r="A246" s="28" t="n">
        <v>44844</v>
      </c>
      <c r="B246" s="28" t="n">
        <v>44850</v>
      </c>
      <c r="C246" s="21" t="n">
        <v>0</v>
      </c>
      <c r="D246" s="21" t="n">
        <v>0</v>
      </c>
      <c r="E246" s="21" t="n">
        <v>0</v>
      </c>
      <c r="F246" s="21" t="n">
        <v>0</v>
      </c>
      <c r="G246" s="29" t="s">
        <v>2750</v>
      </c>
    </row>
    <row r="247" customFormat="false" ht="15" hidden="false" customHeight="false" outlineLevel="0" collapsed="false">
      <c r="A247" s="28" t="n">
        <v>44851</v>
      </c>
      <c r="B247" s="28" t="n">
        <v>44857</v>
      </c>
      <c r="C247" s="21" t="n">
        <v>0</v>
      </c>
      <c r="D247" s="21" t="n">
        <v>0</v>
      </c>
      <c r="E247" s="21" t="n">
        <v>0</v>
      </c>
      <c r="F247" s="21" t="n">
        <v>0</v>
      </c>
      <c r="G247" s="29" t="s">
        <v>2750</v>
      </c>
    </row>
    <row r="248" customFormat="false" ht="15" hidden="false" customHeight="false" outlineLevel="0" collapsed="false">
      <c r="A248" s="28" t="n">
        <v>44858</v>
      </c>
      <c r="B248" s="28" t="n">
        <v>44864</v>
      </c>
      <c r="C248" s="21" t="n">
        <v>0</v>
      </c>
      <c r="D248" s="21" t="n">
        <v>0</v>
      </c>
      <c r="E248" s="21" t="n">
        <v>0</v>
      </c>
      <c r="F248" s="21" t="n">
        <v>0</v>
      </c>
      <c r="G248" s="29" t="s">
        <v>2750</v>
      </c>
    </row>
    <row r="249" customFormat="false" ht="15" hidden="false" customHeight="false" outlineLevel="0" collapsed="false">
      <c r="A249" s="28" t="n">
        <v>44865</v>
      </c>
      <c r="B249" s="28" t="n">
        <v>44871</v>
      </c>
      <c r="C249" s="21" t="n">
        <v>0</v>
      </c>
      <c r="D249" s="21" t="n">
        <v>0</v>
      </c>
      <c r="E249" s="21" t="n">
        <v>0</v>
      </c>
      <c r="F249" s="21" t="n">
        <v>0</v>
      </c>
      <c r="G249" s="29" t="s">
        <v>2750</v>
      </c>
    </row>
    <row r="250" customFormat="false" ht="15" hidden="false" customHeight="false" outlineLevel="0" collapsed="false">
      <c r="A250" s="28" t="n">
        <v>44872</v>
      </c>
      <c r="B250" s="28" t="n">
        <v>44878</v>
      </c>
      <c r="C250" s="21" t="n">
        <v>0</v>
      </c>
      <c r="D250" s="21" t="n">
        <v>0</v>
      </c>
      <c r="E250" s="21" t="n">
        <v>0</v>
      </c>
      <c r="F250" s="21" t="n">
        <v>0</v>
      </c>
      <c r="G250" s="29" t="s">
        <v>2750</v>
      </c>
    </row>
    <row r="251" customFormat="false" ht="15" hidden="false" customHeight="false" outlineLevel="0" collapsed="false">
      <c r="A251" s="28" t="n">
        <v>44879</v>
      </c>
      <c r="B251" s="28" t="n">
        <v>44885</v>
      </c>
      <c r="C251" s="21" t="n">
        <v>0</v>
      </c>
      <c r="D251" s="21" t="n">
        <v>0</v>
      </c>
      <c r="E251" s="21" t="n">
        <v>0</v>
      </c>
      <c r="F251" s="21" t="n">
        <v>0</v>
      </c>
      <c r="G251" s="29" t="s">
        <v>2750</v>
      </c>
    </row>
    <row r="252" customFormat="false" ht="15" hidden="false" customHeight="false" outlineLevel="0" collapsed="false">
      <c r="A252" s="28" t="n">
        <v>44886</v>
      </c>
      <c r="B252" s="28" t="n">
        <v>44892</v>
      </c>
      <c r="C252" s="21" t="n">
        <v>0</v>
      </c>
      <c r="D252" s="21" t="n">
        <v>0</v>
      </c>
      <c r="E252" s="21" t="n">
        <v>0</v>
      </c>
      <c r="F252" s="21" t="n">
        <v>0</v>
      </c>
      <c r="G252" s="29" t="s">
        <v>2750</v>
      </c>
    </row>
    <row r="253" customFormat="false" ht="15" hidden="false" customHeight="false" outlineLevel="0" collapsed="false">
      <c r="A253" s="28" t="n">
        <v>44893</v>
      </c>
      <c r="B253" s="28" t="n">
        <v>44899</v>
      </c>
      <c r="C253" s="21" t="n">
        <v>0</v>
      </c>
      <c r="D253" s="21" t="n">
        <v>0</v>
      </c>
      <c r="E253" s="21" t="n">
        <v>0</v>
      </c>
      <c r="F253" s="21" t="n">
        <v>0</v>
      </c>
      <c r="G253" s="29" t="s">
        <v>2750</v>
      </c>
    </row>
    <row r="254" customFormat="false" ht="15" hidden="false" customHeight="false" outlineLevel="0" collapsed="false">
      <c r="A254" s="28" t="n">
        <v>44900</v>
      </c>
      <c r="B254" s="28" t="n">
        <v>44906</v>
      </c>
      <c r="C254" s="21" t="n">
        <v>0</v>
      </c>
      <c r="D254" s="21" t="n">
        <v>0</v>
      </c>
      <c r="E254" s="21" t="n">
        <v>0</v>
      </c>
      <c r="F254" s="21" t="n">
        <v>0</v>
      </c>
      <c r="G254" s="29" t="s">
        <v>2750</v>
      </c>
    </row>
    <row r="255" customFormat="false" ht="15" hidden="false" customHeight="false" outlineLevel="0" collapsed="false">
      <c r="A255" s="28" t="n">
        <v>44907</v>
      </c>
      <c r="B255" s="28" t="n">
        <v>44913</v>
      </c>
      <c r="C255" s="21" t="n">
        <v>0</v>
      </c>
      <c r="D255" s="21" t="n">
        <v>0</v>
      </c>
      <c r="E255" s="21" t="n">
        <v>0</v>
      </c>
      <c r="F255" s="21" t="n">
        <v>0</v>
      </c>
      <c r="G255" s="29" t="s">
        <v>2750</v>
      </c>
    </row>
    <row r="256" customFormat="false" ht="15" hidden="false" customHeight="false" outlineLevel="0" collapsed="false">
      <c r="A256" s="28" t="n">
        <v>44914</v>
      </c>
      <c r="B256" s="28" t="n">
        <v>44920</v>
      </c>
      <c r="C256" s="21" t="n">
        <v>0</v>
      </c>
      <c r="D256" s="21" t="n">
        <v>0</v>
      </c>
      <c r="E256" s="21" t="n">
        <v>0</v>
      </c>
      <c r="F256" s="21" t="n">
        <v>0</v>
      </c>
      <c r="G256" s="29" t="s">
        <v>2750</v>
      </c>
    </row>
    <row r="257" customFormat="false" ht="15" hidden="false" customHeight="false" outlineLevel="0" collapsed="false">
      <c r="A257" s="28" t="n">
        <v>44921</v>
      </c>
      <c r="B257" s="28" t="n">
        <v>44927</v>
      </c>
      <c r="C257" s="21" t="n">
        <v>0</v>
      </c>
      <c r="D257" s="21" t="n">
        <v>0</v>
      </c>
      <c r="E257" s="21" t="n">
        <v>0</v>
      </c>
      <c r="F257" s="21" t="n">
        <v>0</v>
      </c>
      <c r="G257" s="29" t="s">
        <v>2750</v>
      </c>
    </row>
    <row r="258" customFormat="false" ht="15" hidden="false" customHeight="false" outlineLevel="0" collapsed="false">
      <c r="A258" s="28" t="n">
        <v>44928</v>
      </c>
      <c r="B258" s="28" t="n">
        <v>44934</v>
      </c>
      <c r="C258" s="21" t="n">
        <v>0</v>
      </c>
      <c r="D258" s="21" t="n">
        <v>0</v>
      </c>
      <c r="E258" s="21" t="n">
        <v>0</v>
      </c>
      <c r="F258" s="21" t="n">
        <v>0</v>
      </c>
      <c r="G258" s="29" t="s">
        <v>2750</v>
      </c>
    </row>
    <row r="259" customFormat="false" ht="15" hidden="false" customHeight="false" outlineLevel="0" collapsed="false">
      <c r="A259" s="28" t="n">
        <v>44935</v>
      </c>
      <c r="B259" s="28" t="n">
        <v>44941</v>
      </c>
      <c r="C259" s="21" t="n">
        <v>0</v>
      </c>
      <c r="D259" s="21" t="n">
        <v>1</v>
      </c>
      <c r="E259" s="21" t="n">
        <v>0</v>
      </c>
      <c r="F259" s="21" t="n">
        <v>1</v>
      </c>
      <c r="G259" s="30" t="s">
        <v>184</v>
      </c>
    </row>
    <row r="260" customFormat="false" ht="15" hidden="false" customHeight="false" outlineLevel="0" collapsed="false">
      <c r="A260" s="28" t="n">
        <v>44942</v>
      </c>
      <c r="B260" s="28" t="n">
        <v>44948</v>
      </c>
      <c r="C260" s="21" t="n">
        <v>0</v>
      </c>
      <c r="D260" s="21" t="n">
        <v>0</v>
      </c>
      <c r="E260" s="21" t="n">
        <v>0</v>
      </c>
      <c r="F260" s="21" t="n">
        <v>0</v>
      </c>
      <c r="G260" s="30" t="s">
        <v>184</v>
      </c>
    </row>
    <row r="261" customFormat="false" ht="15" hidden="false" customHeight="false" outlineLevel="0" collapsed="false">
      <c r="A261" s="28" t="n">
        <v>44949</v>
      </c>
      <c r="B261" s="28" t="n">
        <v>44955</v>
      </c>
      <c r="C261" s="21" t="n">
        <v>0</v>
      </c>
      <c r="D261" s="21" t="n">
        <v>0</v>
      </c>
      <c r="E261" s="21" t="n">
        <v>0</v>
      </c>
      <c r="F261" s="21" t="n">
        <v>0</v>
      </c>
      <c r="G261" s="29" t="s">
        <v>2750</v>
      </c>
    </row>
    <row r="262" customFormat="false" ht="15" hidden="false" customHeight="false" outlineLevel="0" collapsed="false">
      <c r="A262" s="28" t="n">
        <v>44956</v>
      </c>
      <c r="B262" s="28" t="n">
        <v>44962</v>
      </c>
      <c r="C262" s="21" t="n">
        <v>0</v>
      </c>
      <c r="D262" s="21" t="n">
        <v>0</v>
      </c>
      <c r="E262" s="21" t="n">
        <v>0</v>
      </c>
      <c r="F262" s="21" t="n">
        <v>0</v>
      </c>
      <c r="G262" s="29" t="s">
        <v>2750</v>
      </c>
    </row>
    <row r="263" customFormat="false" ht="15" hidden="false" customHeight="false" outlineLevel="0" collapsed="false">
      <c r="A263" s="28" t="n">
        <v>44963</v>
      </c>
      <c r="B263" s="28" t="n">
        <v>44969</v>
      </c>
      <c r="C263" s="21" t="n">
        <v>0</v>
      </c>
      <c r="D263" s="21" t="n">
        <v>0</v>
      </c>
      <c r="E263" s="21" t="n">
        <v>0</v>
      </c>
      <c r="F263" s="21" t="n">
        <v>0</v>
      </c>
      <c r="G263" s="29" t="s">
        <v>2750</v>
      </c>
    </row>
    <row r="264" customFormat="false" ht="15" hidden="false" customHeight="false" outlineLevel="0" collapsed="false">
      <c r="A264" s="28" t="n">
        <v>44970</v>
      </c>
      <c r="B264" s="28" t="n">
        <v>44976</v>
      </c>
      <c r="C264" s="21" t="n">
        <v>0</v>
      </c>
      <c r="D264" s="21" t="n">
        <v>0</v>
      </c>
      <c r="E264" s="21" t="n">
        <v>0</v>
      </c>
      <c r="F264" s="21" t="n">
        <v>0</v>
      </c>
      <c r="G264" s="29" t="s">
        <v>2750</v>
      </c>
    </row>
    <row r="265" customFormat="false" ht="15" hidden="false" customHeight="false" outlineLevel="0" collapsed="false">
      <c r="A265" s="28" t="n">
        <v>44977</v>
      </c>
      <c r="B265" s="28" t="n">
        <v>44983</v>
      </c>
      <c r="C265" s="21" t="n">
        <v>0</v>
      </c>
      <c r="D265" s="21" t="n">
        <v>0</v>
      </c>
      <c r="E265" s="21" t="n">
        <v>0</v>
      </c>
      <c r="F265" s="21" t="n">
        <v>0</v>
      </c>
      <c r="G265" s="29" t="s">
        <v>2750</v>
      </c>
    </row>
    <row r="266" customFormat="false" ht="15" hidden="false" customHeight="false" outlineLevel="0" collapsed="false">
      <c r="A266" s="28" t="n">
        <v>44984</v>
      </c>
      <c r="B266" s="28" t="n">
        <v>44990</v>
      </c>
      <c r="C266" s="21" t="n">
        <v>0</v>
      </c>
      <c r="D266" s="21" t="n">
        <v>0</v>
      </c>
      <c r="E266" s="21" t="n">
        <v>0</v>
      </c>
      <c r="F266" s="21" t="n">
        <v>0</v>
      </c>
      <c r="G266" s="29" t="s">
        <v>2750</v>
      </c>
    </row>
    <row r="267" customFormat="false" ht="15" hidden="false" customHeight="false" outlineLevel="0" collapsed="false">
      <c r="A267" s="28" t="n">
        <v>44991</v>
      </c>
      <c r="B267" s="28" t="n">
        <v>44997</v>
      </c>
      <c r="C267" s="21" t="n">
        <v>0</v>
      </c>
      <c r="D267" s="21" t="n">
        <v>0</v>
      </c>
      <c r="E267" s="21" t="n">
        <v>0</v>
      </c>
      <c r="F267" s="21" t="n">
        <v>0</v>
      </c>
      <c r="G267" s="29" t="s">
        <v>2750</v>
      </c>
    </row>
    <row r="268" customFormat="false" ht="15" hidden="false" customHeight="false" outlineLevel="0" collapsed="false">
      <c r="A268" s="28" t="n">
        <v>44998</v>
      </c>
      <c r="B268" s="28" t="n">
        <v>45004</v>
      </c>
      <c r="C268" s="21" t="n">
        <v>0</v>
      </c>
      <c r="D268" s="21" t="n">
        <v>0</v>
      </c>
      <c r="E268" s="21" t="n">
        <v>0</v>
      </c>
      <c r="F268" s="21" t="n">
        <v>0</v>
      </c>
      <c r="G268" s="29" t="s">
        <v>2750</v>
      </c>
    </row>
    <row r="269" customFormat="false" ht="15" hidden="false" customHeight="false" outlineLevel="0" collapsed="false">
      <c r="A269" s="28" t="n">
        <v>45005</v>
      </c>
      <c r="B269" s="28" t="n">
        <v>45011</v>
      </c>
      <c r="C269" s="21" t="n">
        <v>3</v>
      </c>
      <c r="D269" s="21" t="n">
        <v>0</v>
      </c>
      <c r="E269" s="21" t="n">
        <v>1</v>
      </c>
      <c r="F269" s="21" t="n">
        <v>8</v>
      </c>
      <c r="G269" s="31" t="s">
        <v>89</v>
      </c>
    </row>
    <row r="270" customFormat="false" ht="15" hidden="false" customHeight="false" outlineLevel="0" collapsed="false">
      <c r="A270" s="28" t="n">
        <v>45012</v>
      </c>
      <c r="B270" s="28" t="n">
        <v>45018</v>
      </c>
      <c r="C270" s="21" t="n">
        <v>0</v>
      </c>
      <c r="D270" s="21" t="n">
        <v>0</v>
      </c>
      <c r="E270" s="21" t="n">
        <v>0</v>
      </c>
      <c r="F270" s="21" t="n">
        <v>0</v>
      </c>
      <c r="G270" s="31" t="s">
        <v>89</v>
      </c>
    </row>
    <row r="271" customFormat="false" ht="15" hidden="false" customHeight="false" outlineLevel="0" collapsed="false">
      <c r="A271" s="28" t="n">
        <v>45019</v>
      </c>
      <c r="B271" s="28" t="n">
        <v>45025</v>
      </c>
      <c r="C271" s="21" t="n">
        <v>0</v>
      </c>
      <c r="D271" s="21" t="n">
        <v>0</v>
      </c>
      <c r="E271" s="21" t="n">
        <v>0</v>
      </c>
      <c r="F271" s="21" t="n">
        <v>0</v>
      </c>
      <c r="G271" s="29" t="s">
        <v>2750</v>
      </c>
    </row>
    <row r="272" customFormat="false" ht="15" hidden="false" customHeight="false" outlineLevel="0" collapsed="false">
      <c r="A272" s="28" t="n">
        <v>45026</v>
      </c>
      <c r="B272" s="28" t="n">
        <v>45032</v>
      </c>
      <c r="C272" s="21" t="n">
        <v>0</v>
      </c>
      <c r="D272" s="21" t="n">
        <v>0</v>
      </c>
      <c r="E272" s="21" t="n">
        <v>0</v>
      </c>
      <c r="F272" s="21" t="n">
        <v>0</v>
      </c>
      <c r="G272" s="29" t="s">
        <v>2750</v>
      </c>
    </row>
    <row r="273" customFormat="false" ht="15" hidden="false" customHeight="false" outlineLevel="0" collapsed="false">
      <c r="A273" s="28" t="n">
        <v>45033</v>
      </c>
      <c r="B273" s="28" t="n">
        <v>45039</v>
      </c>
      <c r="C273" s="21" t="n">
        <v>0</v>
      </c>
      <c r="D273" s="21" t="n">
        <v>0</v>
      </c>
      <c r="E273" s="21" t="n">
        <v>0</v>
      </c>
      <c r="F273" s="21" t="n">
        <v>0</v>
      </c>
      <c r="G273" s="29" t="s">
        <v>2750</v>
      </c>
    </row>
    <row r="274" customFormat="false" ht="15" hidden="false" customHeight="false" outlineLevel="0" collapsed="false">
      <c r="A274" s="28" t="n">
        <v>45040</v>
      </c>
      <c r="B274" s="28" t="n">
        <v>45046</v>
      </c>
      <c r="C274" s="21" t="n">
        <v>0</v>
      </c>
      <c r="D274" s="21" t="n">
        <v>1</v>
      </c>
      <c r="E274" s="21" t="n">
        <v>0</v>
      </c>
      <c r="F274" s="21" t="n">
        <v>1</v>
      </c>
      <c r="G274" s="30" t="s">
        <v>184</v>
      </c>
    </row>
    <row r="275" customFormat="false" ht="15" hidden="false" customHeight="false" outlineLevel="0" collapsed="false">
      <c r="A275" s="28" t="n">
        <v>45047</v>
      </c>
      <c r="B275" s="28" t="n">
        <v>45053</v>
      </c>
      <c r="C275" s="21" t="n">
        <v>0</v>
      </c>
      <c r="D275" s="21" t="n">
        <v>0</v>
      </c>
      <c r="E275" s="21" t="n">
        <v>0</v>
      </c>
      <c r="F275" s="21" t="n">
        <v>0</v>
      </c>
      <c r="G275" s="30" t="s">
        <v>184</v>
      </c>
    </row>
    <row r="276" customFormat="false" ht="15" hidden="false" customHeight="false" outlineLevel="0" collapsed="false">
      <c r="A276" s="28" t="n">
        <v>45054</v>
      </c>
      <c r="B276" s="28" t="n">
        <v>45060</v>
      </c>
      <c r="C276" s="21" t="n">
        <v>0</v>
      </c>
      <c r="D276" s="21" t="n">
        <v>0</v>
      </c>
      <c r="E276" s="21" t="n">
        <v>0</v>
      </c>
      <c r="F276" s="21" t="n">
        <v>0</v>
      </c>
      <c r="G276" s="29" t="s">
        <v>2750</v>
      </c>
    </row>
    <row r="277" customFormat="false" ht="15" hidden="false" customHeight="false" outlineLevel="0" collapsed="false">
      <c r="A277" s="28" t="n">
        <v>45061</v>
      </c>
      <c r="B277" s="28" t="n">
        <v>45067</v>
      </c>
      <c r="C277" s="21" t="n">
        <v>0</v>
      </c>
      <c r="D277" s="21" t="n">
        <v>0</v>
      </c>
      <c r="E277" s="21" t="n">
        <v>0</v>
      </c>
      <c r="F277" s="21" t="n">
        <v>0</v>
      </c>
      <c r="G277" s="29" t="s">
        <v>2750</v>
      </c>
    </row>
    <row r="278" customFormat="false" ht="15" hidden="false" customHeight="false" outlineLevel="0" collapsed="false">
      <c r="A278" s="28" t="n">
        <v>45068</v>
      </c>
      <c r="B278" s="28" t="n">
        <v>45074</v>
      </c>
      <c r="C278" s="21" t="n">
        <v>0</v>
      </c>
      <c r="D278" s="21" t="n">
        <v>0</v>
      </c>
      <c r="E278" s="21" t="n">
        <v>0</v>
      </c>
      <c r="F278" s="21" t="n">
        <v>0</v>
      </c>
      <c r="G278" s="29" t="s">
        <v>2750</v>
      </c>
    </row>
    <row r="279" customFormat="false" ht="15" hidden="false" customHeight="false" outlineLevel="0" collapsed="false">
      <c r="A279" s="28" t="n">
        <v>45075</v>
      </c>
      <c r="B279" s="28" t="n">
        <v>45081</v>
      </c>
      <c r="C279" s="21" t="n">
        <v>0</v>
      </c>
      <c r="D279" s="21" t="n">
        <v>0</v>
      </c>
      <c r="E279" s="21" t="n">
        <v>0</v>
      </c>
      <c r="F279" s="21" t="n">
        <v>0</v>
      </c>
      <c r="G279" s="29" t="s">
        <v>2750</v>
      </c>
    </row>
    <row r="280" customFormat="false" ht="15" hidden="false" customHeight="false" outlineLevel="0" collapsed="false">
      <c r="A280" s="28" t="n">
        <v>45082</v>
      </c>
      <c r="B280" s="28" t="n">
        <v>45088</v>
      </c>
      <c r="C280" s="21" t="n">
        <v>0</v>
      </c>
      <c r="D280" s="21" t="n">
        <v>0</v>
      </c>
      <c r="E280" s="21" t="n">
        <v>0</v>
      </c>
      <c r="F280" s="21" t="n">
        <v>0</v>
      </c>
      <c r="G280" s="29" t="s">
        <v>2750</v>
      </c>
    </row>
    <row r="281" customFormat="false" ht="15" hidden="false" customHeight="false" outlineLevel="0" collapsed="false">
      <c r="A281" s="28" t="n">
        <v>45089</v>
      </c>
      <c r="B281" s="28" t="n">
        <v>45095</v>
      </c>
      <c r="C281" s="21" t="n">
        <v>0</v>
      </c>
      <c r="D281" s="21" t="n">
        <v>0</v>
      </c>
      <c r="E281" s="21" t="n">
        <v>0</v>
      </c>
      <c r="F281" s="21" t="n">
        <v>0</v>
      </c>
      <c r="G281" s="29" t="s">
        <v>2750</v>
      </c>
    </row>
    <row r="282" customFormat="false" ht="15" hidden="false" customHeight="false" outlineLevel="0" collapsed="false">
      <c r="A282" s="28" t="n">
        <v>45096</v>
      </c>
      <c r="B282" s="28" t="n">
        <v>45102</v>
      </c>
      <c r="C282" s="21" t="n">
        <v>0</v>
      </c>
      <c r="D282" s="21" t="n">
        <v>0</v>
      </c>
      <c r="E282" s="21" t="n">
        <v>0</v>
      </c>
      <c r="F282" s="21" t="n">
        <v>0</v>
      </c>
      <c r="G282" s="29" t="s">
        <v>2750</v>
      </c>
    </row>
    <row r="283" customFormat="false" ht="15" hidden="false" customHeight="false" outlineLevel="0" collapsed="false">
      <c r="A283" s="28" t="n">
        <v>45103</v>
      </c>
      <c r="B283" s="28" t="n">
        <v>45109</v>
      </c>
      <c r="C283" s="21" t="n">
        <v>0</v>
      </c>
      <c r="D283" s="21" t="n">
        <v>0</v>
      </c>
      <c r="E283" s="21" t="n">
        <v>0</v>
      </c>
      <c r="F283" s="21" t="n">
        <v>0</v>
      </c>
      <c r="G283" s="29" t="s">
        <v>2750</v>
      </c>
    </row>
    <row r="284" customFormat="false" ht="15" hidden="false" customHeight="false" outlineLevel="0" collapsed="false">
      <c r="A284" s="28" t="n">
        <v>45110</v>
      </c>
      <c r="B284" s="28" t="n">
        <v>45116</v>
      </c>
      <c r="C284" s="21" t="n">
        <v>0</v>
      </c>
      <c r="D284" s="21" t="n">
        <v>0</v>
      </c>
      <c r="E284" s="21" t="n">
        <v>0</v>
      </c>
      <c r="F284" s="21" t="n">
        <v>0</v>
      </c>
      <c r="G284" s="29" t="s">
        <v>2750</v>
      </c>
    </row>
    <row r="285" customFormat="false" ht="15" hidden="false" customHeight="false" outlineLevel="0" collapsed="false">
      <c r="A285" s="28" t="n">
        <v>45117</v>
      </c>
      <c r="B285" s="28" t="n">
        <v>45123</v>
      </c>
      <c r="C285" s="21" t="n">
        <v>0</v>
      </c>
      <c r="D285" s="21" t="n">
        <v>0</v>
      </c>
      <c r="E285" s="21" t="n">
        <v>0</v>
      </c>
      <c r="F285" s="21" t="n">
        <v>0</v>
      </c>
      <c r="G285" s="29" t="s">
        <v>2750</v>
      </c>
    </row>
    <row r="286" customFormat="false" ht="15" hidden="false" customHeight="false" outlineLevel="0" collapsed="false">
      <c r="A286" s="28" t="n">
        <v>45124</v>
      </c>
      <c r="B286" s="28" t="n">
        <v>45130</v>
      </c>
      <c r="C286" s="21" t="n">
        <v>0</v>
      </c>
      <c r="D286" s="21" t="n">
        <v>0</v>
      </c>
      <c r="E286" s="21" t="n">
        <v>0</v>
      </c>
      <c r="F286" s="21" t="n">
        <v>0</v>
      </c>
      <c r="G286" s="29" t="s">
        <v>2750</v>
      </c>
    </row>
    <row r="287" customFormat="false" ht="15" hidden="false" customHeight="false" outlineLevel="0" collapsed="false">
      <c r="A287" s="28" t="n">
        <v>45131</v>
      </c>
      <c r="B287" s="28" t="n">
        <v>45137</v>
      </c>
      <c r="C287" s="21" t="n">
        <v>0</v>
      </c>
      <c r="D287" s="21" t="n">
        <v>0</v>
      </c>
      <c r="E287" s="21" t="n">
        <v>0</v>
      </c>
      <c r="F287" s="21" t="n">
        <v>0</v>
      </c>
      <c r="G287" s="29" t="s">
        <v>2750</v>
      </c>
    </row>
    <row r="288" customFormat="false" ht="15" hidden="false" customHeight="false" outlineLevel="0" collapsed="false">
      <c r="A288" s="28" t="n">
        <v>45138</v>
      </c>
      <c r="B288" s="28" t="n">
        <v>45144</v>
      </c>
      <c r="C288" s="21" t="n">
        <v>0</v>
      </c>
      <c r="D288" s="21" t="n">
        <v>0</v>
      </c>
      <c r="E288" s="21" t="n">
        <v>0</v>
      </c>
      <c r="F288" s="21" t="n">
        <v>0</v>
      </c>
      <c r="G288" s="29" t="s">
        <v>2750</v>
      </c>
    </row>
    <row r="289" customFormat="false" ht="15" hidden="false" customHeight="false" outlineLevel="0" collapsed="false">
      <c r="A289" s="28" t="n">
        <v>45145</v>
      </c>
      <c r="B289" s="28" t="n">
        <v>45151</v>
      </c>
      <c r="C289" s="21" t="n">
        <v>0</v>
      </c>
      <c r="D289" s="21" t="n">
        <v>0</v>
      </c>
      <c r="E289" s="21" t="n">
        <v>0</v>
      </c>
      <c r="F289" s="21" t="n">
        <v>0</v>
      </c>
      <c r="G289" s="29" t="s">
        <v>2750</v>
      </c>
    </row>
    <row r="290" customFormat="false" ht="15" hidden="false" customHeight="false" outlineLevel="0" collapsed="false">
      <c r="A290" s="28" t="n">
        <v>45152</v>
      </c>
      <c r="B290" s="28" t="n">
        <v>45158</v>
      </c>
      <c r="C290" s="21" t="n">
        <v>0</v>
      </c>
      <c r="D290" s="21" t="n">
        <v>0</v>
      </c>
      <c r="E290" s="21" t="n">
        <v>0</v>
      </c>
      <c r="F290" s="21" t="n">
        <v>0</v>
      </c>
      <c r="G290" s="29" t="s">
        <v>2750</v>
      </c>
    </row>
    <row r="291" customFormat="false" ht="15" hidden="false" customHeight="false" outlineLevel="0" collapsed="false">
      <c r="A291" s="28" t="n">
        <v>45159</v>
      </c>
      <c r="B291" s="28" t="n">
        <v>45165</v>
      </c>
      <c r="C291" s="21" t="n">
        <v>0</v>
      </c>
      <c r="D291" s="21" t="n">
        <v>0</v>
      </c>
      <c r="E291" s="21" t="n">
        <v>0</v>
      </c>
      <c r="F291" s="21" t="n">
        <v>0</v>
      </c>
      <c r="G291" s="29" t="s">
        <v>2750</v>
      </c>
    </row>
    <row r="292" customFormat="false" ht="15" hidden="false" customHeight="false" outlineLevel="0" collapsed="false">
      <c r="A292" s="28" t="n">
        <v>45166</v>
      </c>
      <c r="B292" s="28" t="n">
        <v>45172</v>
      </c>
      <c r="C292" s="21" t="n">
        <v>0</v>
      </c>
      <c r="D292" s="21" t="n">
        <v>0</v>
      </c>
      <c r="E292" s="21" t="n">
        <v>0</v>
      </c>
      <c r="F292" s="21" t="n">
        <v>0</v>
      </c>
      <c r="G292" s="29" t="s">
        <v>2750</v>
      </c>
    </row>
    <row r="293" customFormat="false" ht="15" hidden="false" customHeight="false" outlineLevel="0" collapsed="false">
      <c r="A293" s="28" t="n">
        <v>45173</v>
      </c>
      <c r="B293" s="28" t="n">
        <v>45179</v>
      </c>
      <c r="C293" s="21" t="n">
        <v>0</v>
      </c>
      <c r="D293" s="21" t="n">
        <v>0</v>
      </c>
      <c r="E293" s="21" t="n">
        <v>0</v>
      </c>
      <c r="F293" s="21" t="n">
        <v>0</v>
      </c>
      <c r="G293" s="29" t="s">
        <v>2750</v>
      </c>
    </row>
    <row r="294" customFormat="false" ht="15" hidden="false" customHeight="false" outlineLevel="0" collapsed="false">
      <c r="A294" s="28" t="n">
        <v>45180</v>
      </c>
      <c r="B294" s="28" t="n">
        <v>45186</v>
      </c>
      <c r="C294" s="21" t="n">
        <v>0</v>
      </c>
      <c r="D294" s="21" t="n">
        <v>0</v>
      </c>
      <c r="E294" s="21" t="n">
        <v>0</v>
      </c>
      <c r="F294" s="21" t="n">
        <v>0</v>
      </c>
      <c r="G294" s="29" t="s">
        <v>2750</v>
      </c>
    </row>
    <row r="295" customFormat="false" ht="15" hidden="false" customHeight="false" outlineLevel="0" collapsed="false">
      <c r="A295" s="28" t="n">
        <v>45187</v>
      </c>
      <c r="B295" s="28" t="n">
        <v>45193</v>
      </c>
      <c r="C295" s="21" t="n">
        <v>0</v>
      </c>
      <c r="D295" s="21" t="n">
        <v>0</v>
      </c>
      <c r="E295" s="21" t="n">
        <v>0</v>
      </c>
      <c r="F295" s="21" t="n">
        <v>0</v>
      </c>
      <c r="G295" s="29" t="s">
        <v>2750</v>
      </c>
    </row>
    <row r="296" customFormat="false" ht="15" hidden="false" customHeight="false" outlineLevel="0" collapsed="false">
      <c r="A296" s="28" t="n">
        <v>45194</v>
      </c>
      <c r="B296" s="28" t="n">
        <v>45200</v>
      </c>
      <c r="C296" s="21" t="n">
        <v>0</v>
      </c>
      <c r="D296" s="21" t="n">
        <v>0</v>
      </c>
      <c r="E296" s="21" t="n">
        <v>0</v>
      </c>
      <c r="F296" s="21" t="n">
        <v>0</v>
      </c>
      <c r="G296" s="29" t="s">
        <v>2750</v>
      </c>
    </row>
    <row r="297" customFormat="false" ht="15" hidden="false" customHeight="false" outlineLevel="0" collapsed="false">
      <c r="A297" s="28" t="n">
        <v>45201</v>
      </c>
      <c r="B297" s="28" t="n">
        <v>45207</v>
      </c>
      <c r="C297" s="21" t="n">
        <v>0</v>
      </c>
      <c r="D297" s="21" t="n">
        <v>0</v>
      </c>
      <c r="E297" s="21" t="n">
        <v>0</v>
      </c>
      <c r="F297" s="21" t="n">
        <v>0</v>
      </c>
      <c r="G297" s="29" t="s">
        <v>2750</v>
      </c>
    </row>
    <row r="298" customFormat="false" ht="15" hidden="false" customHeight="false" outlineLevel="0" collapsed="false">
      <c r="A298" s="28" t="n">
        <v>45208</v>
      </c>
      <c r="B298" s="28" t="n">
        <v>45214</v>
      </c>
      <c r="C298" s="21" t="n">
        <v>0</v>
      </c>
      <c r="D298" s="21" t="n">
        <v>0</v>
      </c>
      <c r="E298" s="21" t="n">
        <v>0</v>
      </c>
      <c r="F298" s="21" t="n">
        <v>0</v>
      </c>
      <c r="G298" s="29" t="s">
        <v>2750</v>
      </c>
    </row>
    <row r="299" customFormat="false" ht="15" hidden="false" customHeight="false" outlineLevel="0" collapsed="false">
      <c r="A299" s="28" t="n">
        <v>45215</v>
      </c>
      <c r="B299" s="28" t="n">
        <v>45221</v>
      </c>
      <c r="C299" s="21" t="n">
        <v>0</v>
      </c>
      <c r="D299" s="21" t="n">
        <v>0</v>
      </c>
      <c r="E299" s="21" t="n">
        <v>0</v>
      </c>
      <c r="F299" s="21" t="n">
        <v>0</v>
      </c>
      <c r="G299" s="29" t="s">
        <v>2750</v>
      </c>
    </row>
    <row r="300" customFormat="false" ht="15" hidden="false" customHeight="false" outlineLevel="0" collapsed="false">
      <c r="A300" s="28" t="n">
        <v>45222</v>
      </c>
      <c r="B300" s="28" t="n">
        <v>45228</v>
      </c>
      <c r="C300" s="21" t="n">
        <v>1</v>
      </c>
      <c r="D300" s="21" t="n">
        <v>0</v>
      </c>
      <c r="E300" s="21" t="n">
        <v>0</v>
      </c>
      <c r="F300" s="21" t="n">
        <v>2</v>
      </c>
      <c r="G300" s="30" t="s">
        <v>184</v>
      </c>
    </row>
    <row r="301" customFormat="false" ht="15" hidden="false" customHeight="false" outlineLevel="0" collapsed="false">
      <c r="A301" s="28" t="n">
        <v>45229</v>
      </c>
      <c r="B301" s="28" t="n">
        <v>45235</v>
      </c>
      <c r="C301" s="21" t="n">
        <v>0</v>
      </c>
      <c r="D301" s="21" t="n">
        <v>0</v>
      </c>
      <c r="E301" s="21" t="n">
        <v>0</v>
      </c>
      <c r="F301" s="21" t="n">
        <v>0</v>
      </c>
      <c r="G301" s="30" t="s">
        <v>184</v>
      </c>
    </row>
    <row r="302" customFormat="false" ht="15" hidden="false" customHeight="false" outlineLevel="0" collapsed="false">
      <c r="A302" s="28" t="n">
        <v>45236</v>
      </c>
      <c r="B302" s="28" t="n">
        <v>45242</v>
      </c>
      <c r="C302" s="21" t="n">
        <v>1</v>
      </c>
      <c r="D302" s="21" t="n">
        <v>0</v>
      </c>
      <c r="E302" s="21" t="n">
        <v>0</v>
      </c>
      <c r="F302" s="21" t="n">
        <v>2</v>
      </c>
      <c r="G302" s="30" t="s">
        <v>184</v>
      </c>
    </row>
    <row r="303" customFormat="false" ht="15" hidden="false" customHeight="false" outlineLevel="0" collapsed="false">
      <c r="A303" s="28" t="n">
        <v>45243</v>
      </c>
      <c r="B303" s="28" t="n">
        <v>45249</v>
      </c>
      <c r="C303" s="21" t="n">
        <v>0</v>
      </c>
      <c r="D303" s="21" t="n">
        <v>0</v>
      </c>
      <c r="E303" s="21" t="n">
        <v>0</v>
      </c>
      <c r="F303" s="21" t="n">
        <v>0</v>
      </c>
      <c r="G303" s="30" t="s">
        <v>184</v>
      </c>
    </row>
    <row r="304" customFormat="false" ht="15" hidden="false" customHeight="false" outlineLevel="0" collapsed="false">
      <c r="A304" s="28" t="n">
        <v>45250</v>
      </c>
      <c r="B304" s="28" t="n">
        <v>45256</v>
      </c>
      <c r="C304" s="21" t="n">
        <v>0</v>
      </c>
      <c r="D304" s="21" t="n">
        <v>0</v>
      </c>
      <c r="E304" s="21" t="n">
        <v>0</v>
      </c>
      <c r="F304" s="21" t="n">
        <v>0</v>
      </c>
      <c r="G304" s="29" t="s">
        <v>2750</v>
      </c>
    </row>
    <row r="305" customFormat="false" ht="15" hidden="false" customHeight="false" outlineLevel="0" collapsed="false">
      <c r="A305" s="28" t="n">
        <v>45257</v>
      </c>
      <c r="B305" s="28" t="n">
        <v>45263</v>
      </c>
      <c r="C305" s="21" t="n">
        <v>0</v>
      </c>
      <c r="D305" s="21" t="n">
        <v>0</v>
      </c>
      <c r="E305" s="21" t="n">
        <v>0</v>
      </c>
      <c r="F305" s="21" t="n">
        <v>0</v>
      </c>
      <c r="G305" s="29" t="s">
        <v>2750</v>
      </c>
    </row>
    <row r="306" customFormat="false" ht="15" hidden="false" customHeight="false" outlineLevel="0" collapsed="false">
      <c r="A306" s="28" t="n">
        <v>45264</v>
      </c>
      <c r="B306" s="28" t="n">
        <v>45270</v>
      </c>
      <c r="C306" s="21" t="n">
        <v>0</v>
      </c>
      <c r="D306" s="21" t="n">
        <v>0</v>
      </c>
      <c r="E306" s="21" t="n">
        <v>0</v>
      </c>
      <c r="F306" s="21" t="n">
        <v>0</v>
      </c>
      <c r="G306" s="29" t="s">
        <v>2750</v>
      </c>
    </row>
    <row r="307" customFormat="false" ht="15" hidden="false" customHeight="false" outlineLevel="0" collapsed="false">
      <c r="A307" s="28" t="n">
        <v>45271</v>
      </c>
      <c r="B307" s="28" t="n">
        <v>45277</v>
      </c>
      <c r="C307" s="21" t="n">
        <v>0</v>
      </c>
      <c r="D307" s="21" t="n">
        <v>0</v>
      </c>
      <c r="E307" s="21" t="n">
        <v>0</v>
      </c>
      <c r="F307" s="21" t="n">
        <v>0</v>
      </c>
      <c r="G307" s="29" t="s">
        <v>2750</v>
      </c>
    </row>
    <row r="308" customFormat="false" ht="15" hidden="false" customHeight="false" outlineLevel="0" collapsed="false">
      <c r="A308" s="28" t="n">
        <v>45278</v>
      </c>
      <c r="B308" s="28" t="n">
        <v>45284</v>
      </c>
      <c r="C308" s="21" t="n">
        <v>0</v>
      </c>
      <c r="D308" s="21" t="n">
        <v>0</v>
      </c>
      <c r="E308" s="21" t="n">
        <v>0</v>
      </c>
      <c r="F308" s="21" t="n">
        <v>0</v>
      </c>
      <c r="G308" s="29" t="s">
        <v>2750</v>
      </c>
    </row>
    <row r="309" customFormat="false" ht="15" hidden="false" customHeight="false" outlineLevel="0" collapsed="false">
      <c r="A309" s="28" t="n">
        <v>45285</v>
      </c>
      <c r="B309" s="28" t="n">
        <v>45291</v>
      </c>
      <c r="C309" s="21" t="n">
        <v>2</v>
      </c>
      <c r="D309" s="21" t="n">
        <v>0</v>
      </c>
      <c r="E309" s="21" t="n">
        <v>0</v>
      </c>
      <c r="F309" s="21" t="n">
        <v>4</v>
      </c>
      <c r="G309" s="30" t="s">
        <v>184</v>
      </c>
    </row>
    <row r="310" customFormat="false" ht="15" hidden="false" customHeight="false" outlineLevel="0" collapsed="false">
      <c r="A310" s="28" t="n">
        <v>45292</v>
      </c>
      <c r="B310" s="28" t="n">
        <v>45298</v>
      </c>
      <c r="C310" s="21" t="n">
        <v>1</v>
      </c>
      <c r="D310" s="21" t="n">
        <v>0</v>
      </c>
      <c r="E310" s="21" t="n">
        <v>1</v>
      </c>
      <c r="F310" s="21" t="n">
        <v>4</v>
      </c>
      <c r="G310" s="31" t="s">
        <v>89</v>
      </c>
    </row>
    <row r="311" customFormat="false" ht="15" hidden="false" customHeight="false" outlineLevel="0" collapsed="false">
      <c r="A311" s="28" t="n">
        <v>45299</v>
      </c>
      <c r="B311" s="28" t="n">
        <v>45305</v>
      </c>
      <c r="C311" s="21" t="n">
        <v>0</v>
      </c>
      <c r="D311" s="21" t="n">
        <v>0</v>
      </c>
      <c r="E311" s="21" t="n">
        <v>0</v>
      </c>
      <c r="F311" s="21" t="n">
        <v>0</v>
      </c>
      <c r="G311" s="30" t="s">
        <v>184</v>
      </c>
    </row>
    <row r="312" customFormat="false" ht="15" hidden="false" customHeight="false" outlineLevel="0" collapsed="false">
      <c r="A312" s="28" t="n">
        <v>45306</v>
      </c>
      <c r="B312" s="28" t="n">
        <v>45312</v>
      </c>
      <c r="C312" s="21" t="n">
        <v>0</v>
      </c>
      <c r="D312" s="21" t="n">
        <v>0</v>
      </c>
      <c r="E312" s="21" t="n">
        <v>0</v>
      </c>
      <c r="F312" s="21" t="n">
        <v>0</v>
      </c>
      <c r="G312" s="29" t="s">
        <v>2750</v>
      </c>
    </row>
    <row r="313" customFormat="false" ht="15" hidden="false" customHeight="false" outlineLevel="0" collapsed="false">
      <c r="A313" s="28" t="n">
        <v>45313</v>
      </c>
      <c r="B313" s="28" t="n">
        <v>45319</v>
      </c>
      <c r="C313" s="21" t="n">
        <v>1</v>
      </c>
      <c r="D313" s="21" t="n">
        <v>0</v>
      </c>
      <c r="E313" s="21" t="n">
        <v>1</v>
      </c>
      <c r="F313" s="21" t="n">
        <v>4</v>
      </c>
      <c r="G313" s="30" t="s">
        <v>184</v>
      </c>
    </row>
    <row r="314" customFormat="false" ht="15" hidden="false" customHeight="false" outlineLevel="0" collapsed="false">
      <c r="A314" s="28" t="n">
        <v>45320</v>
      </c>
      <c r="B314" s="28" t="n">
        <v>45326</v>
      </c>
      <c r="C314" s="21" t="n">
        <v>2</v>
      </c>
      <c r="D314" s="21" t="n">
        <v>0</v>
      </c>
      <c r="E314" s="21" t="n">
        <v>2</v>
      </c>
      <c r="F314" s="21" t="n">
        <v>8</v>
      </c>
      <c r="G314" s="32" t="s">
        <v>56</v>
      </c>
    </row>
    <row r="315" customFormat="false" ht="15" hidden="false" customHeight="false" outlineLevel="0" collapsed="false">
      <c r="A315" s="28" t="n">
        <v>45327</v>
      </c>
      <c r="B315" s="28" t="n">
        <v>45333</v>
      </c>
      <c r="C315" s="21" t="n">
        <v>1</v>
      </c>
      <c r="D315" s="21" t="n">
        <v>0</v>
      </c>
      <c r="E315" s="21" t="n">
        <v>1</v>
      </c>
      <c r="F315" s="21" t="n">
        <v>4</v>
      </c>
      <c r="G315" s="32" t="s">
        <v>56</v>
      </c>
    </row>
    <row r="316" customFormat="false" ht="15" hidden="false" customHeight="false" outlineLevel="0" collapsed="false">
      <c r="A316" s="28" t="n">
        <v>45334</v>
      </c>
      <c r="B316" s="28" t="n">
        <v>45340</v>
      </c>
      <c r="C316" s="21" t="n">
        <v>0</v>
      </c>
      <c r="D316" s="21" t="n">
        <v>0</v>
      </c>
      <c r="E316" s="21" t="n">
        <v>0</v>
      </c>
      <c r="F316" s="21" t="n">
        <v>0</v>
      </c>
      <c r="G316" s="30" t="s">
        <v>184</v>
      </c>
    </row>
    <row r="317" customFormat="false" ht="15" hidden="false" customHeight="false" outlineLevel="0" collapsed="false">
      <c r="A317" s="28" t="n">
        <v>45341</v>
      </c>
      <c r="B317" s="28" t="n">
        <v>45347</v>
      </c>
      <c r="C317" s="21" t="n">
        <v>0</v>
      </c>
      <c r="D317" s="21" t="n">
        <v>0</v>
      </c>
      <c r="E317" s="21" t="n">
        <v>0</v>
      </c>
      <c r="F317" s="21" t="n">
        <v>0</v>
      </c>
      <c r="G317" s="29" t="s">
        <v>2750</v>
      </c>
    </row>
    <row r="318" customFormat="false" ht="15" hidden="false" customHeight="false" outlineLevel="0" collapsed="false">
      <c r="A318" s="28" t="n">
        <v>45348</v>
      </c>
      <c r="B318" s="28" t="n">
        <v>45354</v>
      </c>
      <c r="C318" s="21" t="n">
        <v>0</v>
      </c>
      <c r="D318" s="21" t="n">
        <v>0</v>
      </c>
      <c r="E318" s="21" t="n">
        <v>0</v>
      </c>
      <c r="F318" s="21" t="n">
        <v>0</v>
      </c>
      <c r="G318" s="29" t="s">
        <v>2750</v>
      </c>
    </row>
    <row r="319" customFormat="false" ht="15" hidden="false" customHeight="false" outlineLevel="0" collapsed="false">
      <c r="A319" s="28" t="n">
        <v>45355</v>
      </c>
      <c r="B319" s="28" t="n">
        <v>45361</v>
      </c>
      <c r="C319" s="21" t="n">
        <v>0</v>
      </c>
      <c r="D319" s="21" t="n">
        <v>0</v>
      </c>
      <c r="E319" s="21" t="n">
        <v>0</v>
      </c>
      <c r="F319" s="21" t="n">
        <v>0</v>
      </c>
      <c r="G319" s="29" t="s">
        <v>2750</v>
      </c>
    </row>
    <row r="320" customFormat="false" ht="15" hidden="false" customHeight="false" outlineLevel="0" collapsed="false">
      <c r="A320" s="28" t="n">
        <v>45362</v>
      </c>
      <c r="B320" s="28" t="n">
        <v>45368</v>
      </c>
      <c r="C320" s="21" t="n">
        <v>0</v>
      </c>
      <c r="D320" s="21" t="n">
        <v>0</v>
      </c>
      <c r="E320" s="21" t="n">
        <v>0</v>
      </c>
      <c r="F320" s="21" t="n">
        <v>0</v>
      </c>
      <c r="G320" s="29" t="s">
        <v>2750</v>
      </c>
    </row>
    <row r="321" customFormat="false" ht="15" hidden="false" customHeight="false" outlineLevel="0" collapsed="false">
      <c r="A321" s="28" t="n">
        <v>45369</v>
      </c>
      <c r="B321" s="28" t="n">
        <v>45375</v>
      </c>
      <c r="C321" s="21" t="n">
        <v>0</v>
      </c>
      <c r="D321" s="21" t="n">
        <v>0</v>
      </c>
      <c r="E321" s="21" t="n">
        <v>0</v>
      </c>
      <c r="F321" s="21" t="n">
        <v>0</v>
      </c>
      <c r="G321" s="29" t="s">
        <v>2750</v>
      </c>
    </row>
    <row r="322" customFormat="false" ht="15" hidden="false" customHeight="false" outlineLevel="0" collapsed="false">
      <c r="A322" s="28" t="n">
        <v>45376</v>
      </c>
      <c r="B322" s="28" t="n">
        <v>45382</v>
      </c>
      <c r="C322" s="21" t="n">
        <v>0</v>
      </c>
      <c r="D322" s="21" t="n">
        <v>0</v>
      </c>
      <c r="E322" s="21" t="n">
        <v>0</v>
      </c>
      <c r="F322" s="21" t="n">
        <v>0</v>
      </c>
      <c r="G322" s="29" t="s">
        <v>2750</v>
      </c>
    </row>
    <row r="323" customFormat="false" ht="15" hidden="false" customHeight="false" outlineLevel="0" collapsed="false">
      <c r="A323" s="28" t="n">
        <v>45383</v>
      </c>
      <c r="B323" s="28" t="n">
        <v>45389</v>
      </c>
      <c r="C323" s="21" t="n">
        <v>0</v>
      </c>
      <c r="D323" s="21" t="n">
        <v>0</v>
      </c>
      <c r="E323" s="21" t="n">
        <v>0</v>
      </c>
      <c r="F323" s="21" t="n">
        <v>0</v>
      </c>
      <c r="G323" s="29" t="s">
        <v>2750</v>
      </c>
    </row>
    <row r="324" customFormat="false" ht="15" hidden="false" customHeight="false" outlineLevel="0" collapsed="false">
      <c r="A324" s="28" t="n">
        <v>45390</v>
      </c>
      <c r="B324" s="28" t="n">
        <v>45396</v>
      </c>
      <c r="C324" s="21" t="n">
        <v>1</v>
      </c>
      <c r="D324" s="21" t="n">
        <v>0</v>
      </c>
      <c r="E324" s="21" t="n">
        <v>0</v>
      </c>
      <c r="F324" s="21" t="n">
        <v>2</v>
      </c>
      <c r="G324" s="30" t="s">
        <v>184</v>
      </c>
    </row>
    <row r="325" customFormat="false" ht="15" hidden="false" customHeight="false" outlineLevel="0" collapsed="false">
      <c r="A325" s="28" t="n">
        <v>45397</v>
      </c>
      <c r="B325" s="28" t="n">
        <v>45403</v>
      </c>
      <c r="C325" s="21" t="n">
        <v>0</v>
      </c>
      <c r="D325" s="21" t="n">
        <v>0</v>
      </c>
      <c r="E325" s="21" t="n">
        <v>0</v>
      </c>
      <c r="F325" s="21" t="n">
        <v>0</v>
      </c>
      <c r="G325" s="30" t="s">
        <v>184</v>
      </c>
    </row>
    <row r="326" customFormat="false" ht="15" hidden="false" customHeight="false" outlineLevel="0" collapsed="false">
      <c r="A326" s="28" t="n">
        <v>45404</v>
      </c>
      <c r="B326" s="28" t="n">
        <v>45410</v>
      </c>
      <c r="C326" s="21" t="n">
        <v>0</v>
      </c>
      <c r="D326" s="21" t="n">
        <v>0</v>
      </c>
      <c r="E326" s="21" t="n">
        <v>0</v>
      </c>
      <c r="F326" s="21" t="n">
        <v>0</v>
      </c>
      <c r="G326" s="29" t="s">
        <v>2750</v>
      </c>
    </row>
    <row r="327" customFormat="false" ht="15" hidden="false" customHeight="false" outlineLevel="0" collapsed="false">
      <c r="A327" s="28" t="n">
        <v>45411</v>
      </c>
      <c r="B327" s="28" t="n">
        <v>45417</v>
      </c>
      <c r="C327" s="21" t="n">
        <v>0</v>
      </c>
      <c r="D327" s="21" t="n">
        <v>0</v>
      </c>
      <c r="E327" s="21" t="n">
        <v>0</v>
      </c>
      <c r="F327" s="21" t="n">
        <v>0</v>
      </c>
      <c r="G327" s="29" t="s">
        <v>2750</v>
      </c>
    </row>
    <row r="328" customFormat="false" ht="15" hidden="false" customHeight="false" outlineLevel="0" collapsed="false">
      <c r="A328" s="28" t="n">
        <v>45418</v>
      </c>
      <c r="B328" s="28" t="n">
        <v>45424</v>
      </c>
      <c r="C328" s="21" t="n">
        <v>0</v>
      </c>
      <c r="D328" s="21" t="n">
        <v>0</v>
      </c>
      <c r="E328" s="21" t="n">
        <v>0</v>
      </c>
      <c r="F328" s="21" t="n">
        <v>0</v>
      </c>
      <c r="G328" s="29" t="s">
        <v>2750</v>
      </c>
    </row>
    <row r="329" customFormat="false" ht="15" hidden="false" customHeight="false" outlineLevel="0" collapsed="false">
      <c r="A329" s="28" t="n">
        <v>45425</v>
      </c>
      <c r="B329" s="28" t="n">
        <v>45431</v>
      </c>
      <c r="C329" s="21" t="n">
        <v>0</v>
      </c>
      <c r="D329" s="21" t="n">
        <v>0</v>
      </c>
      <c r="E329" s="21" t="n">
        <v>0</v>
      </c>
      <c r="F329" s="21" t="n">
        <v>0</v>
      </c>
      <c r="G329" s="29" t="s">
        <v>2750</v>
      </c>
    </row>
    <row r="330" customFormat="false" ht="15" hidden="false" customHeight="false" outlineLevel="0" collapsed="false">
      <c r="A330" s="28" t="n">
        <v>45432</v>
      </c>
      <c r="B330" s="28" t="n">
        <v>45438</v>
      </c>
      <c r="C330" s="21" t="n">
        <v>0</v>
      </c>
      <c r="D330" s="21" t="n">
        <v>0</v>
      </c>
      <c r="E330" s="21" t="n">
        <v>0</v>
      </c>
      <c r="F330" s="21" t="n">
        <v>0</v>
      </c>
      <c r="G330" s="29" t="s">
        <v>2750</v>
      </c>
    </row>
    <row r="331" customFormat="false" ht="15" hidden="false" customHeight="false" outlineLevel="0" collapsed="false">
      <c r="A331" s="28" t="n">
        <v>45439</v>
      </c>
      <c r="B331" s="28" t="n">
        <v>45445</v>
      </c>
      <c r="C331" s="21" t="n">
        <v>0</v>
      </c>
      <c r="D331" s="21" t="n">
        <v>0</v>
      </c>
      <c r="E331" s="21" t="n">
        <v>0</v>
      </c>
      <c r="F331" s="21" t="n">
        <v>0</v>
      </c>
      <c r="G331" s="29" t="s">
        <v>2750</v>
      </c>
    </row>
    <row r="332" customFormat="false" ht="15" hidden="false" customHeight="false" outlineLevel="0" collapsed="false">
      <c r="A332" s="28" t="n">
        <v>45446</v>
      </c>
      <c r="B332" s="28" t="n">
        <v>45452</v>
      </c>
      <c r="C332" s="21" t="n">
        <v>0</v>
      </c>
      <c r="D332" s="21" t="n">
        <v>0</v>
      </c>
      <c r="E332" s="21" t="n">
        <v>0</v>
      </c>
      <c r="F332" s="21" t="n">
        <v>0</v>
      </c>
      <c r="G332" s="29" t="s">
        <v>2750</v>
      </c>
    </row>
    <row r="333" customFormat="false" ht="15" hidden="false" customHeight="false" outlineLevel="0" collapsed="false">
      <c r="A333" s="28" t="n">
        <v>45453</v>
      </c>
      <c r="B333" s="28" t="n">
        <v>45459</v>
      </c>
      <c r="C333" s="21" t="n">
        <v>0</v>
      </c>
      <c r="D333" s="21" t="n">
        <v>0</v>
      </c>
      <c r="E333" s="21" t="n">
        <v>0</v>
      </c>
      <c r="F333" s="21" t="n">
        <v>0</v>
      </c>
      <c r="G333" s="29" t="s">
        <v>2750</v>
      </c>
    </row>
    <row r="334" customFormat="false" ht="15" hidden="false" customHeight="false" outlineLevel="0" collapsed="false">
      <c r="A334" s="28" t="n">
        <v>45460</v>
      </c>
      <c r="B334" s="28" t="n">
        <v>45466</v>
      </c>
      <c r="C334" s="21" t="n">
        <v>0</v>
      </c>
      <c r="D334" s="21" t="n">
        <v>0</v>
      </c>
      <c r="E334" s="21" t="n">
        <v>0</v>
      </c>
      <c r="F334" s="21" t="n">
        <v>0</v>
      </c>
      <c r="G334" s="29" t="s">
        <v>2750</v>
      </c>
    </row>
    <row r="335" customFormat="false" ht="15" hidden="false" customHeight="false" outlineLevel="0" collapsed="false">
      <c r="A335" s="28" t="n">
        <v>45467</v>
      </c>
      <c r="B335" s="28" t="n">
        <v>45473</v>
      </c>
      <c r="C335" s="21" t="n">
        <v>0</v>
      </c>
      <c r="D335" s="21" t="n">
        <v>0</v>
      </c>
      <c r="E335" s="21" t="n">
        <v>0</v>
      </c>
      <c r="F335" s="21" t="n">
        <v>0</v>
      </c>
      <c r="G335" s="29" t="s">
        <v>2750</v>
      </c>
    </row>
    <row r="336" customFormat="false" ht="15" hidden="false" customHeight="false" outlineLevel="0" collapsed="false">
      <c r="A336" s="28" t="n">
        <v>45474</v>
      </c>
      <c r="B336" s="28" t="n">
        <v>45480</v>
      </c>
      <c r="C336" s="21" t="n">
        <v>0</v>
      </c>
      <c r="D336" s="21" t="n">
        <v>0</v>
      </c>
      <c r="E336" s="21" t="n">
        <v>0</v>
      </c>
      <c r="F336" s="21" t="n">
        <v>0</v>
      </c>
      <c r="G336" s="29" t="s">
        <v>2750</v>
      </c>
    </row>
    <row r="337" customFormat="false" ht="15" hidden="false" customHeight="false" outlineLevel="0" collapsed="false">
      <c r="A337" s="28" t="n">
        <v>45481</v>
      </c>
      <c r="B337" s="28" t="n">
        <v>45487</v>
      </c>
      <c r="C337" s="21" t="n">
        <v>0</v>
      </c>
      <c r="D337" s="21" t="n">
        <v>0</v>
      </c>
      <c r="E337" s="21" t="n">
        <v>0</v>
      </c>
      <c r="F337" s="21" t="n">
        <v>0</v>
      </c>
      <c r="G337" s="29" t="s">
        <v>2750</v>
      </c>
    </row>
    <row r="338" customFormat="false" ht="15" hidden="false" customHeight="false" outlineLevel="0" collapsed="false">
      <c r="A338" s="28" t="n">
        <v>45488</v>
      </c>
      <c r="B338" s="28" t="n">
        <v>45494</v>
      </c>
      <c r="C338" s="21" t="n">
        <v>0</v>
      </c>
      <c r="D338" s="21" t="n">
        <v>0</v>
      </c>
      <c r="E338" s="21" t="n">
        <v>0</v>
      </c>
      <c r="F338" s="21" t="n">
        <v>0</v>
      </c>
      <c r="G338" s="29" t="s">
        <v>2750</v>
      </c>
    </row>
    <row r="339" customFormat="false" ht="15" hidden="false" customHeight="false" outlineLevel="0" collapsed="false">
      <c r="A339" s="28" t="n">
        <v>45495</v>
      </c>
      <c r="B339" s="28" t="n">
        <v>45501</v>
      </c>
      <c r="C339" s="21" t="n">
        <v>0</v>
      </c>
      <c r="D339" s="21" t="n">
        <v>0</v>
      </c>
      <c r="E339" s="21" t="n">
        <v>0</v>
      </c>
      <c r="F339" s="21" t="n">
        <v>0</v>
      </c>
      <c r="G339" s="29" t="s">
        <v>2750</v>
      </c>
    </row>
    <row r="340" customFormat="false" ht="15" hidden="false" customHeight="false" outlineLevel="0" collapsed="false">
      <c r="A340" s="28" t="n">
        <v>45502</v>
      </c>
      <c r="B340" s="28" t="n">
        <v>45508</v>
      </c>
      <c r="C340" s="21" t="n">
        <v>0</v>
      </c>
      <c r="D340" s="21" t="n">
        <v>0</v>
      </c>
      <c r="E340" s="21" t="n">
        <v>0</v>
      </c>
      <c r="F340" s="21" t="n">
        <v>0</v>
      </c>
      <c r="G340" s="29" t="s">
        <v>2750</v>
      </c>
    </row>
    <row r="341" customFormat="false" ht="15" hidden="false" customHeight="false" outlineLevel="0" collapsed="false">
      <c r="A341" s="28" t="n">
        <v>45509</v>
      </c>
      <c r="B341" s="28" t="n">
        <v>45515</v>
      </c>
      <c r="C341" s="21" t="n">
        <v>0</v>
      </c>
      <c r="D341" s="21" t="n">
        <v>0</v>
      </c>
      <c r="E341" s="21" t="n">
        <v>0</v>
      </c>
      <c r="F341" s="21" t="n">
        <v>0</v>
      </c>
      <c r="G341" s="29" t="s">
        <v>2750</v>
      </c>
    </row>
    <row r="342" customFormat="false" ht="15" hidden="false" customHeight="false" outlineLevel="0" collapsed="false">
      <c r="A342" s="28" t="n">
        <v>45516</v>
      </c>
      <c r="B342" s="28" t="n">
        <v>45522</v>
      </c>
      <c r="C342" s="21" t="n">
        <v>0</v>
      </c>
      <c r="D342" s="21" t="n">
        <v>0</v>
      </c>
      <c r="E342" s="21" t="n">
        <v>0</v>
      </c>
      <c r="F342" s="21" t="n">
        <v>0</v>
      </c>
      <c r="G342" s="29" t="s">
        <v>2750</v>
      </c>
    </row>
    <row r="343" customFormat="false" ht="15" hidden="false" customHeight="false" outlineLevel="0" collapsed="false">
      <c r="A343" s="28" t="n">
        <v>45523</v>
      </c>
      <c r="B343" s="28" t="n">
        <v>45529</v>
      </c>
      <c r="C343" s="21" t="n">
        <v>0</v>
      </c>
      <c r="D343" s="21" t="n">
        <v>0</v>
      </c>
      <c r="E343" s="21" t="n">
        <v>0</v>
      </c>
      <c r="F343" s="21" t="n">
        <v>0</v>
      </c>
      <c r="G343" s="29" t="s">
        <v>2750</v>
      </c>
    </row>
    <row r="344" customFormat="false" ht="15" hidden="false" customHeight="false" outlineLevel="0" collapsed="false">
      <c r="A344" s="28" t="n">
        <v>45530</v>
      </c>
      <c r="B344" s="28" t="n">
        <v>45536</v>
      </c>
      <c r="C344" s="21" t="n">
        <v>0</v>
      </c>
      <c r="D344" s="21" t="n">
        <v>0</v>
      </c>
      <c r="E344" s="21" t="n">
        <v>0</v>
      </c>
      <c r="F344" s="21" t="n">
        <v>0</v>
      </c>
      <c r="G344" s="29" t="s">
        <v>2750</v>
      </c>
    </row>
    <row r="345" customFormat="false" ht="15" hidden="false" customHeight="false" outlineLevel="0" collapsed="false">
      <c r="A345" s="28" t="n">
        <v>45537</v>
      </c>
      <c r="B345" s="28" t="n">
        <v>45543</v>
      </c>
      <c r="C345" s="21" t="n">
        <v>0</v>
      </c>
      <c r="D345" s="21" t="n">
        <v>0</v>
      </c>
      <c r="E345" s="21" t="n">
        <v>0</v>
      </c>
      <c r="F345" s="21" t="n">
        <v>0</v>
      </c>
      <c r="G345" s="29" t="s">
        <v>2750</v>
      </c>
    </row>
    <row r="346" customFormat="false" ht="15" hidden="false" customHeight="false" outlineLevel="0" collapsed="false">
      <c r="A346" s="28" t="n">
        <v>45544</v>
      </c>
      <c r="B346" s="28" t="n">
        <v>45550</v>
      </c>
      <c r="C346" s="21" t="n">
        <v>0</v>
      </c>
      <c r="D346" s="21" t="n">
        <v>0</v>
      </c>
      <c r="E346" s="21" t="n">
        <v>0</v>
      </c>
      <c r="F346" s="21" t="n">
        <v>0</v>
      </c>
      <c r="G346" s="29" t="s">
        <v>2750</v>
      </c>
    </row>
    <row r="347" customFormat="false" ht="15" hidden="false" customHeight="false" outlineLevel="0" collapsed="false">
      <c r="A347" s="28" t="n">
        <v>45551</v>
      </c>
      <c r="B347" s="28" t="n">
        <v>45557</v>
      </c>
      <c r="C347" s="21" t="n">
        <v>0</v>
      </c>
      <c r="D347" s="21" t="n">
        <v>0</v>
      </c>
      <c r="E347" s="21" t="n">
        <v>0</v>
      </c>
      <c r="F347" s="21" t="n">
        <v>0</v>
      </c>
      <c r="G347" s="29" t="s">
        <v>2750</v>
      </c>
    </row>
    <row r="348" customFormat="false" ht="15" hidden="false" customHeight="false" outlineLevel="0" collapsed="false">
      <c r="A348" s="28" t="n">
        <v>45558</v>
      </c>
      <c r="B348" s="28" t="n">
        <v>45564</v>
      </c>
      <c r="C348" s="21" t="n">
        <v>0</v>
      </c>
      <c r="D348" s="21" t="n">
        <v>0</v>
      </c>
      <c r="E348" s="21" t="n">
        <v>0</v>
      </c>
      <c r="F348" s="21" t="n">
        <v>0</v>
      </c>
      <c r="G348" s="29" t="s">
        <v>2750</v>
      </c>
    </row>
    <row r="349" customFormat="false" ht="15" hidden="false" customHeight="false" outlineLevel="0" collapsed="false">
      <c r="A349" s="28" t="n">
        <v>45565</v>
      </c>
      <c r="B349" s="28" t="n">
        <v>45571</v>
      </c>
      <c r="C349" s="21" t="n">
        <v>1</v>
      </c>
      <c r="D349" s="21" t="n">
        <v>0</v>
      </c>
      <c r="E349" s="21" t="n">
        <v>0</v>
      </c>
      <c r="F349" s="21" t="n">
        <v>2</v>
      </c>
      <c r="G349" s="30" t="s">
        <v>184</v>
      </c>
    </row>
    <row r="350" customFormat="false" ht="15" hidden="false" customHeight="false" outlineLevel="0" collapsed="false">
      <c r="A350" s="28" t="n">
        <v>45572</v>
      </c>
      <c r="B350" s="28" t="n">
        <v>45578</v>
      </c>
      <c r="C350" s="21" t="n">
        <v>0</v>
      </c>
      <c r="D350" s="21" t="n">
        <v>0</v>
      </c>
      <c r="E350" s="21" t="n">
        <v>0</v>
      </c>
      <c r="F350" s="21" t="n">
        <v>0</v>
      </c>
      <c r="G350" s="30" t="s">
        <v>184</v>
      </c>
    </row>
    <row r="351" customFormat="false" ht="15" hidden="false" customHeight="false" outlineLevel="0" collapsed="false">
      <c r="A351" s="28" t="n">
        <v>45579</v>
      </c>
      <c r="B351" s="28" t="n">
        <v>45585</v>
      </c>
      <c r="C351" s="21" t="n">
        <v>0</v>
      </c>
      <c r="D351" s="21" t="n">
        <v>0</v>
      </c>
      <c r="E351" s="21" t="n">
        <v>0</v>
      </c>
      <c r="F351" s="21" t="n">
        <v>0</v>
      </c>
      <c r="G351" s="29" t="s">
        <v>2750</v>
      </c>
    </row>
    <row r="352" customFormat="false" ht="15" hidden="false" customHeight="false" outlineLevel="0" collapsed="false">
      <c r="A352" s="28" t="n">
        <v>45586</v>
      </c>
      <c r="B352" s="28" t="n">
        <v>45592</v>
      </c>
      <c r="C352" s="21" t="n">
        <v>0</v>
      </c>
      <c r="D352" s="21" t="n">
        <v>0</v>
      </c>
      <c r="E352" s="21" t="n">
        <v>0</v>
      </c>
      <c r="F352" s="21" t="n">
        <v>0</v>
      </c>
      <c r="G352" s="29" t="s">
        <v>2750</v>
      </c>
    </row>
    <row r="353" customFormat="false" ht="15" hidden="false" customHeight="false" outlineLevel="0" collapsed="false">
      <c r="A353" s="28" t="n">
        <v>45593</v>
      </c>
      <c r="B353" s="28" t="n">
        <v>45599</v>
      </c>
      <c r="C353" s="21" t="n">
        <v>0</v>
      </c>
      <c r="D353" s="21" t="n">
        <v>0</v>
      </c>
      <c r="E353" s="21" t="n">
        <v>0</v>
      </c>
      <c r="F353" s="21" t="n">
        <v>0</v>
      </c>
      <c r="G353" s="29" t="s">
        <v>2750</v>
      </c>
    </row>
    <row r="354" customFormat="false" ht="15" hidden="false" customHeight="false" outlineLevel="0" collapsed="false">
      <c r="A354" s="28" t="n">
        <v>45600</v>
      </c>
      <c r="B354" s="28" t="n">
        <v>45606</v>
      </c>
      <c r="C354" s="21" t="n">
        <v>0</v>
      </c>
      <c r="D354" s="21" t="n">
        <v>0</v>
      </c>
      <c r="E354" s="21" t="n">
        <v>0</v>
      </c>
      <c r="F354" s="21" t="n">
        <v>0</v>
      </c>
      <c r="G354" s="29" t="s">
        <v>2750</v>
      </c>
    </row>
    <row r="355" customFormat="false" ht="15" hidden="false" customHeight="false" outlineLevel="0" collapsed="false">
      <c r="A355" s="28" t="n">
        <v>45607</v>
      </c>
      <c r="B355" s="28" t="n">
        <v>45613</v>
      </c>
      <c r="C355" s="21" t="n">
        <v>0</v>
      </c>
      <c r="D355" s="21" t="n">
        <v>0</v>
      </c>
      <c r="E355" s="21" t="n">
        <v>0</v>
      </c>
      <c r="F355" s="21" t="n">
        <v>0</v>
      </c>
      <c r="G355" s="29" t="s">
        <v>2750</v>
      </c>
    </row>
    <row r="356" customFormat="false" ht="15" hidden="false" customHeight="false" outlineLevel="0" collapsed="false">
      <c r="A356" s="28" t="n">
        <v>45614</v>
      </c>
      <c r="B356" s="28" t="n">
        <v>45620</v>
      </c>
      <c r="C356" s="21" t="n">
        <v>0</v>
      </c>
      <c r="D356" s="21" t="n">
        <v>0</v>
      </c>
      <c r="E356" s="21" t="n">
        <v>0</v>
      </c>
      <c r="F356" s="21" t="n">
        <v>0</v>
      </c>
      <c r="G356" s="29" t="s">
        <v>2750</v>
      </c>
    </row>
    <row r="357" customFormat="false" ht="15" hidden="false" customHeight="false" outlineLevel="0" collapsed="false">
      <c r="A357" s="28" t="n">
        <v>45621</v>
      </c>
      <c r="B357" s="28" t="n">
        <v>45627</v>
      </c>
      <c r="C357" s="21" t="n">
        <v>0</v>
      </c>
      <c r="D357" s="21" t="n">
        <v>0</v>
      </c>
      <c r="E357" s="21" t="n">
        <v>0</v>
      </c>
      <c r="F357" s="21" t="n">
        <v>0</v>
      </c>
      <c r="G357" s="29" t="s">
        <v>2750</v>
      </c>
    </row>
    <row r="358" customFormat="false" ht="15" hidden="false" customHeight="false" outlineLevel="0" collapsed="false">
      <c r="A358" s="28" t="n">
        <v>45628</v>
      </c>
      <c r="B358" s="28" t="n">
        <v>45634</v>
      </c>
      <c r="C358" s="21" t="n">
        <v>0</v>
      </c>
      <c r="D358" s="21" t="n">
        <v>0</v>
      </c>
      <c r="E358" s="21" t="n">
        <v>0</v>
      </c>
      <c r="F358" s="21" t="n">
        <v>0</v>
      </c>
      <c r="G358" s="29" t="s">
        <v>2750</v>
      </c>
    </row>
    <row r="359" customFormat="false" ht="15" hidden="false" customHeight="false" outlineLevel="0" collapsed="false">
      <c r="A359" s="28" t="n">
        <v>45635</v>
      </c>
      <c r="B359" s="28" t="n">
        <v>45641</v>
      </c>
      <c r="C359" s="21" t="n">
        <v>0</v>
      </c>
      <c r="D359" s="21" t="n">
        <v>0</v>
      </c>
      <c r="E359" s="21" t="n">
        <v>0</v>
      </c>
      <c r="F359" s="21" t="n">
        <v>0</v>
      </c>
      <c r="G359" s="29" t="s">
        <v>2750</v>
      </c>
    </row>
    <row r="360" customFormat="false" ht="15" hidden="false" customHeight="false" outlineLevel="0" collapsed="false">
      <c r="A360" s="28" t="n">
        <v>45642</v>
      </c>
      <c r="B360" s="28" t="n">
        <v>45648</v>
      </c>
      <c r="C360" s="21" t="n">
        <v>0</v>
      </c>
      <c r="D360" s="21" t="n">
        <v>0</v>
      </c>
      <c r="E360" s="21" t="n">
        <v>0</v>
      </c>
      <c r="F360" s="21" t="n">
        <v>0</v>
      </c>
      <c r="G360" s="29" t="s">
        <v>2750</v>
      </c>
    </row>
    <row r="361" customFormat="false" ht="15" hidden="false" customHeight="false" outlineLevel="0" collapsed="false">
      <c r="A361" s="28" t="n">
        <v>45649</v>
      </c>
      <c r="B361" s="28" t="n">
        <v>45655</v>
      </c>
      <c r="C361" s="21" t="n">
        <v>0</v>
      </c>
      <c r="D361" s="21" t="n">
        <v>0</v>
      </c>
      <c r="E361" s="21" t="n">
        <v>0</v>
      </c>
      <c r="F361" s="21" t="n">
        <v>0</v>
      </c>
      <c r="G361" s="29" t="s">
        <v>2750</v>
      </c>
    </row>
    <row r="362" customFormat="false" ht="15" hidden="false" customHeight="false" outlineLevel="0" collapsed="false">
      <c r="A362" s="28" t="n">
        <v>45656</v>
      </c>
      <c r="B362" s="28" t="n">
        <v>45662</v>
      </c>
      <c r="C362" s="21" t="n">
        <v>0</v>
      </c>
      <c r="D362" s="21" t="n">
        <v>0</v>
      </c>
      <c r="E362" s="21" t="n">
        <v>0</v>
      </c>
      <c r="F362" s="21" t="n">
        <v>0</v>
      </c>
      <c r="G362" s="29" t="s">
        <v>2750</v>
      </c>
    </row>
    <row r="363" customFormat="false" ht="15" hidden="false" customHeight="false" outlineLevel="0" collapsed="false">
      <c r="A363" s="28" t="n">
        <v>45663</v>
      </c>
      <c r="B363" s="28" t="n">
        <v>45669</v>
      </c>
      <c r="C363" s="21" t="n">
        <v>0</v>
      </c>
      <c r="D363" s="21" t="n">
        <v>0</v>
      </c>
      <c r="E363" s="21" t="n">
        <v>0</v>
      </c>
      <c r="F363" s="21" t="n">
        <v>0</v>
      </c>
      <c r="G363" s="29" t="s">
        <v>2750</v>
      </c>
    </row>
    <row r="364" customFormat="false" ht="15" hidden="false" customHeight="false" outlineLevel="0" collapsed="false">
      <c r="A364" s="28" t="n">
        <v>45670</v>
      </c>
      <c r="B364" s="28" t="n">
        <v>45676</v>
      </c>
      <c r="C364" s="21" t="n">
        <v>0</v>
      </c>
      <c r="D364" s="21" t="n">
        <v>0</v>
      </c>
      <c r="E364" s="21" t="n">
        <v>0</v>
      </c>
      <c r="F364" s="21" t="n">
        <v>0</v>
      </c>
      <c r="G364" s="29" t="s">
        <v>2750</v>
      </c>
    </row>
    <row r="365" customFormat="false" ht="15" hidden="false" customHeight="false" outlineLevel="0" collapsed="false">
      <c r="A365" s="28" t="n">
        <v>45677</v>
      </c>
      <c r="B365" s="28" t="n">
        <v>45683</v>
      </c>
      <c r="C365" s="21" t="n">
        <v>0</v>
      </c>
      <c r="D365" s="21" t="n">
        <v>0</v>
      </c>
      <c r="E365" s="21" t="n">
        <v>0</v>
      </c>
      <c r="F365" s="21" t="n">
        <v>0</v>
      </c>
      <c r="G365" s="29" t="s">
        <v>2750</v>
      </c>
    </row>
    <row r="366" customFormat="false" ht="15" hidden="false" customHeight="false" outlineLevel="0" collapsed="false">
      <c r="A366" s="28" t="n">
        <v>45684</v>
      </c>
      <c r="B366" s="28" t="n">
        <v>45690</v>
      </c>
      <c r="C366" s="21" t="n">
        <v>0</v>
      </c>
      <c r="D366" s="21" t="n">
        <v>0</v>
      </c>
      <c r="E366" s="21" t="n">
        <v>0</v>
      </c>
      <c r="F366" s="21" t="n">
        <v>0</v>
      </c>
      <c r="G366" s="29" t="s">
        <v>2750</v>
      </c>
    </row>
    <row r="367" customFormat="false" ht="15" hidden="false" customHeight="false" outlineLevel="0" collapsed="false">
      <c r="A367" s="28" t="n">
        <v>45691</v>
      </c>
      <c r="B367" s="28" t="n">
        <v>45697</v>
      </c>
      <c r="C367" s="21" t="n">
        <v>0</v>
      </c>
      <c r="D367" s="21" t="n">
        <v>0</v>
      </c>
      <c r="E367" s="21" t="n">
        <v>0</v>
      </c>
      <c r="F367" s="21" t="n">
        <v>0</v>
      </c>
      <c r="G367" s="29" t="s">
        <v>2750</v>
      </c>
    </row>
    <row r="368" customFormat="false" ht="15" hidden="false" customHeight="false" outlineLevel="0" collapsed="false">
      <c r="A368" s="28" t="n">
        <v>45698</v>
      </c>
      <c r="B368" s="28" t="n">
        <v>45704</v>
      </c>
      <c r="C368" s="21" t="n">
        <v>0</v>
      </c>
      <c r="D368" s="21" t="n">
        <v>0</v>
      </c>
      <c r="E368" s="21" t="n">
        <v>0</v>
      </c>
      <c r="F368" s="21" t="n">
        <v>0</v>
      </c>
      <c r="G368" s="29" t="s">
        <v>2750</v>
      </c>
    </row>
    <row r="369" customFormat="false" ht="15" hidden="false" customHeight="false" outlineLevel="0" collapsed="false">
      <c r="A369" s="28" t="n">
        <v>45705</v>
      </c>
      <c r="B369" s="28" t="n">
        <v>45711</v>
      </c>
      <c r="C369" s="21" t="n">
        <v>0</v>
      </c>
      <c r="D369" s="21" t="n">
        <v>0</v>
      </c>
      <c r="E369" s="21" t="n">
        <v>0</v>
      </c>
      <c r="F369" s="21" t="n">
        <v>0</v>
      </c>
      <c r="G369" s="29" t="s">
        <v>2750</v>
      </c>
    </row>
    <row r="370" customFormat="false" ht="15" hidden="false" customHeight="false" outlineLevel="0" collapsed="false">
      <c r="A370" s="28" t="n">
        <v>45712</v>
      </c>
      <c r="B370" s="28" t="n">
        <v>45718</v>
      </c>
      <c r="C370" s="21" t="n">
        <v>0</v>
      </c>
      <c r="D370" s="21" t="n">
        <v>0</v>
      </c>
      <c r="E370" s="21" t="n">
        <v>0</v>
      </c>
      <c r="F370" s="21" t="n">
        <v>0</v>
      </c>
      <c r="G370" s="29" t="s">
        <v>2750</v>
      </c>
    </row>
    <row r="371" customFormat="false" ht="15" hidden="false" customHeight="false" outlineLevel="0" collapsed="false">
      <c r="A371" s="28" t="n">
        <v>45719</v>
      </c>
      <c r="B371" s="28" t="n">
        <v>45725</v>
      </c>
      <c r="C371" s="21" t="n">
        <v>0</v>
      </c>
      <c r="D371" s="21" t="n">
        <v>0</v>
      </c>
      <c r="E371" s="21" t="n">
        <v>0</v>
      </c>
      <c r="F371" s="21" t="n">
        <v>0</v>
      </c>
      <c r="G371" s="29" t="s">
        <v>2750</v>
      </c>
    </row>
    <row r="372" customFormat="false" ht="15" hidden="false" customHeight="false" outlineLevel="0" collapsed="false">
      <c r="A372" s="28" t="n">
        <v>45726</v>
      </c>
      <c r="B372" s="28" t="n">
        <v>45732</v>
      </c>
      <c r="C372" s="21" t="n">
        <v>0</v>
      </c>
      <c r="D372" s="21" t="n">
        <v>0</v>
      </c>
      <c r="E372" s="21" t="n">
        <v>0</v>
      </c>
      <c r="F372" s="21" t="n">
        <v>0</v>
      </c>
      <c r="G372" s="29" t="s">
        <v>2750</v>
      </c>
    </row>
    <row r="373" customFormat="false" ht="15" hidden="false" customHeight="false" outlineLevel="0" collapsed="false">
      <c r="A373" s="28" t="n">
        <v>45733</v>
      </c>
      <c r="B373" s="28" t="n">
        <v>45739</v>
      </c>
      <c r="C373" s="21" t="n">
        <v>0</v>
      </c>
      <c r="D373" s="21" t="n">
        <v>0</v>
      </c>
      <c r="E373" s="21" t="n">
        <v>0</v>
      </c>
      <c r="F373" s="21" t="n">
        <v>0</v>
      </c>
      <c r="G373" s="29" t="s">
        <v>2750</v>
      </c>
    </row>
    <row r="374" customFormat="false" ht="15" hidden="false" customHeight="false" outlineLevel="0" collapsed="false">
      <c r="A374" s="28" t="n">
        <v>45740</v>
      </c>
      <c r="B374" s="28" t="n">
        <v>45746</v>
      </c>
      <c r="C374" s="21" t="n">
        <v>0</v>
      </c>
      <c r="D374" s="21" t="n">
        <v>0</v>
      </c>
      <c r="E374" s="21" t="n">
        <v>0</v>
      </c>
      <c r="F374" s="21" t="n">
        <v>0</v>
      </c>
      <c r="G374" s="29" t="s">
        <v>2750</v>
      </c>
    </row>
    <row r="375" customFormat="false" ht="15" hidden="false" customHeight="false" outlineLevel="0" collapsed="false">
      <c r="A375" s="28" t="n">
        <v>45747</v>
      </c>
      <c r="B375" s="28" t="n">
        <v>45753</v>
      </c>
      <c r="C375" s="21" t="n">
        <v>0</v>
      </c>
      <c r="D375" s="21" t="n">
        <v>0</v>
      </c>
      <c r="E375" s="21" t="n">
        <v>0</v>
      </c>
      <c r="F375" s="21" t="n">
        <v>0</v>
      </c>
      <c r="G375" s="29" t="s">
        <v>2750</v>
      </c>
    </row>
    <row r="376" customFormat="false" ht="15" hidden="false" customHeight="false" outlineLevel="0" collapsed="false">
      <c r="A376" s="28" t="n">
        <v>45754</v>
      </c>
      <c r="B376" s="28" t="n">
        <v>45760</v>
      </c>
      <c r="C376" s="21" t="n">
        <v>0</v>
      </c>
      <c r="D376" s="21" t="n">
        <v>0</v>
      </c>
      <c r="E376" s="21" t="n">
        <v>0</v>
      </c>
      <c r="F376" s="21" t="n">
        <v>0</v>
      </c>
      <c r="G376" s="29" t="s">
        <v>2750</v>
      </c>
    </row>
    <row r="377" customFormat="false" ht="15" hidden="false" customHeight="false" outlineLevel="0" collapsed="false">
      <c r="A377" s="28" t="n">
        <v>45761</v>
      </c>
      <c r="B377" s="28" t="n">
        <v>45767</v>
      </c>
      <c r="C377" s="21" t="n">
        <v>0</v>
      </c>
      <c r="D377" s="21" t="n">
        <v>0</v>
      </c>
      <c r="E377" s="21" t="n">
        <v>0</v>
      </c>
      <c r="F377" s="21" t="n">
        <v>0</v>
      </c>
      <c r="G377" s="29" t="s">
        <v>2750</v>
      </c>
    </row>
    <row r="378" customFormat="false" ht="15" hidden="false" customHeight="false" outlineLevel="0" collapsed="false">
      <c r="A378" s="28" t="n">
        <v>45768</v>
      </c>
      <c r="B378" s="28" t="n">
        <v>45774</v>
      </c>
      <c r="C378" s="21" t="n">
        <v>0</v>
      </c>
      <c r="D378" s="21" t="n">
        <v>0</v>
      </c>
      <c r="E378" s="21" t="n">
        <v>0</v>
      </c>
      <c r="F378" s="21" t="n">
        <v>0</v>
      </c>
      <c r="G378" s="29" t="s">
        <v>2750</v>
      </c>
    </row>
    <row r="379" customFormat="false" ht="15" hidden="false" customHeight="false" outlineLevel="0" collapsed="false">
      <c r="A379" s="28" t="n">
        <v>45775</v>
      </c>
      <c r="B379" s="28" t="n">
        <v>45781</v>
      </c>
      <c r="C379" s="21" t="n">
        <v>0</v>
      </c>
      <c r="D379" s="21" t="n">
        <v>0</v>
      </c>
      <c r="E379" s="21" t="n">
        <v>0</v>
      </c>
      <c r="F379" s="21" t="n">
        <v>0</v>
      </c>
      <c r="G379" s="29" t="s">
        <v>2750</v>
      </c>
    </row>
    <row r="380" customFormat="false" ht="15" hidden="false" customHeight="false" outlineLevel="0" collapsed="false">
      <c r="A380" s="28" t="n">
        <v>45782</v>
      </c>
      <c r="B380" s="28" t="n">
        <v>45788</v>
      </c>
      <c r="C380" s="21" t="n">
        <v>0</v>
      </c>
      <c r="D380" s="21" t="n">
        <v>0</v>
      </c>
      <c r="E380" s="21" t="n">
        <v>0</v>
      </c>
      <c r="F380" s="21" t="n">
        <v>0</v>
      </c>
      <c r="G380" s="29" t="s">
        <v>2750</v>
      </c>
    </row>
    <row r="381" customFormat="false" ht="15" hidden="false" customHeight="false" outlineLevel="0" collapsed="false">
      <c r="A381" s="28" t="n">
        <v>45789</v>
      </c>
      <c r="B381" s="28" t="n">
        <v>45795</v>
      </c>
      <c r="C381" s="21" t="n">
        <v>0</v>
      </c>
      <c r="D381" s="21" t="n">
        <v>0</v>
      </c>
      <c r="E381" s="21" t="n">
        <v>0</v>
      </c>
      <c r="F381" s="21" t="n">
        <v>0</v>
      </c>
      <c r="G381" s="29" t="s">
        <v>2750</v>
      </c>
    </row>
    <row r="382" customFormat="false" ht="15" hidden="false" customHeight="false" outlineLevel="0" collapsed="false">
      <c r="A382" s="28" t="n">
        <v>45796</v>
      </c>
      <c r="B382" s="28" t="n">
        <v>45802</v>
      </c>
      <c r="C382" s="21" t="n">
        <v>0</v>
      </c>
      <c r="D382" s="21" t="n">
        <v>0</v>
      </c>
      <c r="E382" s="21" t="n">
        <v>0</v>
      </c>
      <c r="F382" s="21" t="n">
        <v>0</v>
      </c>
      <c r="G382" s="29" t="s">
        <v>2750</v>
      </c>
    </row>
    <row r="383" customFormat="false" ht="15" hidden="false" customHeight="false" outlineLevel="0" collapsed="false">
      <c r="A383" s="28" t="n">
        <v>45803</v>
      </c>
      <c r="B383" s="28" t="n">
        <v>45809</v>
      </c>
      <c r="C383" s="21" t="n">
        <v>0</v>
      </c>
      <c r="D383" s="21" t="n">
        <v>0</v>
      </c>
      <c r="E383" s="21" t="n">
        <v>0</v>
      </c>
      <c r="F383" s="21" t="n">
        <v>0</v>
      </c>
      <c r="G383" s="29" t="s">
        <v>2750</v>
      </c>
    </row>
    <row r="384" customFormat="false" ht="15" hidden="false" customHeight="false" outlineLevel="0" collapsed="false">
      <c r="A384" s="28" t="n">
        <v>45810</v>
      </c>
      <c r="B384" s="28" t="n">
        <v>45816</v>
      </c>
      <c r="C384" s="21" t="n">
        <v>0</v>
      </c>
      <c r="D384" s="21" t="n">
        <v>0</v>
      </c>
      <c r="E384" s="21" t="n">
        <v>0</v>
      </c>
      <c r="F384" s="21" t="n">
        <v>0</v>
      </c>
      <c r="G384" s="29" t="s">
        <v>2750</v>
      </c>
    </row>
    <row r="385" customFormat="false" ht="15" hidden="false" customHeight="false" outlineLevel="0" collapsed="false">
      <c r="A385" s="28" t="n">
        <v>45817</v>
      </c>
      <c r="B385" s="28" t="n">
        <v>45823</v>
      </c>
      <c r="C385" s="21" t="n">
        <v>2</v>
      </c>
      <c r="D385" s="21" t="n">
        <v>0</v>
      </c>
      <c r="E385" s="21" t="n">
        <v>1</v>
      </c>
      <c r="F385" s="21" t="n">
        <v>6</v>
      </c>
      <c r="G385" s="31" t="s">
        <v>89</v>
      </c>
    </row>
    <row r="386" customFormat="false" ht="15" hidden="false" customHeight="false" outlineLevel="0" collapsed="false">
      <c r="A386" s="28" t="n">
        <v>45824</v>
      </c>
      <c r="B386" s="28" t="n">
        <v>45830</v>
      </c>
      <c r="C386" s="21" t="n">
        <v>1</v>
      </c>
      <c r="D386" s="21" t="n">
        <v>0</v>
      </c>
      <c r="E386" s="21" t="n">
        <v>0</v>
      </c>
      <c r="F386" s="21" t="n">
        <v>2</v>
      </c>
      <c r="G386" s="31" t="s">
        <v>89</v>
      </c>
    </row>
    <row r="387" customFormat="false" ht="15" hidden="false" customHeight="false" outlineLevel="0" collapsed="false">
      <c r="A387" s="28" t="n">
        <v>45831</v>
      </c>
      <c r="B387" s="28" t="n">
        <v>45837</v>
      </c>
      <c r="C387" s="21" t="n">
        <v>1</v>
      </c>
      <c r="D387" s="21" t="n">
        <v>0</v>
      </c>
      <c r="E387" s="21" t="n">
        <v>0</v>
      </c>
      <c r="F387" s="21" t="n">
        <v>2</v>
      </c>
      <c r="G387" s="30" t="s">
        <v>184</v>
      </c>
    </row>
    <row r="388" customFormat="false" ht="15" hidden="false" customHeight="false" outlineLevel="0" collapsed="false">
      <c r="A388" s="28" t="n">
        <v>45838</v>
      </c>
      <c r="B388" s="28" t="n">
        <v>45844</v>
      </c>
      <c r="C388" s="21" t="n">
        <v>0</v>
      </c>
      <c r="D388" s="21" t="n">
        <v>0</v>
      </c>
      <c r="E388" s="21" t="n">
        <v>0</v>
      </c>
      <c r="F388" s="21" t="n">
        <v>0</v>
      </c>
      <c r="G388" s="30" t="s">
        <v>184</v>
      </c>
    </row>
    <row r="389" customFormat="false" ht="15" hidden="false" customHeight="false" outlineLevel="0" collapsed="false">
      <c r="A389" s="28" t="n">
        <v>45845</v>
      </c>
      <c r="B389" s="28" t="n">
        <v>45851</v>
      </c>
      <c r="C389" s="21" t="n">
        <v>0</v>
      </c>
      <c r="D389" s="21" t="n">
        <v>0</v>
      </c>
      <c r="E389" s="21" t="n">
        <v>0</v>
      </c>
      <c r="F389" s="21" t="n">
        <v>0</v>
      </c>
      <c r="G389" s="29" t="s">
        <v>2750</v>
      </c>
    </row>
    <row r="390" customFormat="false" ht="15" hidden="false" customHeight="false" outlineLevel="0" collapsed="false">
      <c r="A390" s="28" t="n">
        <v>45852</v>
      </c>
      <c r="B390" s="28" t="n">
        <v>45858</v>
      </c>
      <c r="C390" s="21" t="n">
        <v>0</v>
      </c>
      <c r="D390" s="21" t="n">
        <v>0</v>
      </c>
      <c r="E390" s="21" t="n">
        <v>0</v>
      </c>
      <c r="F390" s="21" t="n">
        <v>0</v>
      </c>
      <c r="G390" s="29" t="s">
        <v>2750</v>
      </c>
    </row>
    <row r="391" customFormat="false" ht="15" hidden="false" customHeight="false" outlineLevel="0" collapsed="false">
      <c r="A391" s="28" t="n">
        <v>45859</v>
      </c>
      <c r="B391" s="28" t="n">
        <v>45865</v>
      </c>
      <c r="C391" s="21" t="n">
        <v>0</v>
      </c>
      <c r="D391" s="21" t="n">
        <v>0</v>
      </c>
      <c r="E391" s="21" t="n">
        <v>0</v>
      </c>
      <c r="F391" s="21" t="n">
        <v>0</v>
      </c>
      <c r="G391" s="29" t="s">
        <v>2750</v>
      </c>
    </row>
    <row r="392" customFormat="false" ht="15" hidden="false" customHeight="false" outlineLevel="0" collapsed="false">
      <c r="A392" s="28" t="n">
        <v>45866</v>
      </c>
      <c r="B392" s="28" t="n">
        <v>45872</v>
      </c>
      <c r="C392" s="21" t="n">
        <v>0</v>
      </c>
      <c r="D392" s="21" t="n">
        <v>0</v>
      </c>
      <c r="E392" s="21" t="n">
        <v>0</v>
      </c>
      <c r="F392" s="21" t="n">
        <v>0</v>
      </c>
      <c r="G392" s="29" t="s">
        <v>2750</v>
      </c>
    </row>
    <row r="393" customFormat="false" ht="15" hidden="false" customHeight="false" outlineLevel="0" collapsed="false">
      <c r="A393" s="28" t="n">
        <v>45873</v>
      </c>
      <c r="B393" s="28" t="n">
        <v>45879</v>
      </c>
      <c r="C393" s="21" t="n">
        <v>0</v>
      </c>
      <c r="D393" s="21" t="n">
        <v>0</v>
      </c>
      <c r="E393" s="21" t="n">
        <v>0</v>
      </c>
      <c r="F393" s="21" t="n">
        <v>0</v>
      </c>
      <c r="G393" s="29" t="s">
        <v>2750</v>
      </c>
    </row>
    <row r="394" customFormat="false" ht="15" hidden="false" customHeight="false" outlineLevel="0" collapsed="false">
      <c r="A394" s="28" t="n">
        <v>45880</v>
      </c>
      <c r="B394" s="28" t="n">
        <v>45886</v>
      </c>
      <c r="C394" s="21" t="n">
        <v>0</v>
      </c>
      <c r="D394" s="21" t="n">
        <v>0</v>
      </c>
      <c r="E394" s="21" t="n">
        <v>0</v>
      </c>
      <c r="F394" s="21" t="n">
        <v>0</v>
      </c>
      <c r="G394" s="29" t="s">
        <v>2750</v>
      </c>
    </row>
    <row r="395" customFormat="false" ht="15" hidden="false" customHeight="false" outlineLevel="0" collapsed="false">
      <c r="A395" s="28" t="n">
        <v>45887</v>
      </c>
      <c r="B395" s="28" t="n">
        <v>45893</v>
      </c>
      <c r="C395" s="21" t="n">
        <v>0</v>
      </c>
      <c r="D395" s="21" t="n">
        <v>0</v>
      </c>
      <c r="E395" s="21" t="n">
        <v>0</v>
      </c>
      <c r="F395" s="21" t="n">
        <v>0</v>
      </c>
      <c r="G395" s="29" t="s">
        <v>2750</v>
      </c>
    </row>
    <row r="396" customFormat="false" ht="15" hidden="false" customHeight="false" outlineLevel="0" collapsed="false">
      <c r="A396" s="28" t="n">
        <v>45894</v>
      </c>
      <c r="B396" s="28" t="n">
        <v>45900</v>
      </c>
      <c r="C396" s="21" t="n">
        <v>0</v>
      </c>
      <c r="D396" s="21" t="n">
        <v>0</v>
      </c>
      <c r="E396" s="21" t="n">
        <v>0</v>
      </c>
      <c r="F396" s="21" t="n">
        <v>0</v>
      </c>
      <c r="G396" s="29" t="s">
        <v>2750</v>
      </c>
    </row>
    <row r="397" customFormat="false" ht="15" hidden="false" customHeight="false" outlineLevel="0" collapsed="false">
      <c r="A397" s="28" t="n">
        <v>45901</v>
      </c>
      <c r="B397" s="28" t="n">
        <v>45907</v>
      </c>
      <c r="C397" s="21" t="n">
        <v>0</v>
      </c>
      <c r="D397" s="21" t="n">
        <v>0</v>
      </c>
      <c r="E397" s="21" t="n">
        <v>0</v>
      </c>
      <c r="F397" s="21" t="n">
        <v>0</v>
      </c>
      <c r="G397" s="29" t="s">
        <v>2750</v>
      </c>
    </row>
    <row r="398" customFormat="false" ht="15" hidden="false" customHeight="false" outlineLevel="0" collapsed="false">
      <c r="A398" s="28" t="n">
        <v>45908</v>
      </c>
      <c r="B398" s="28" t="n">
        <v>45914</v>
      </c>
      <c r="C398" s="21" t="n">
        <v>0</v>
      </c>
      <c r="D398" s="21" t="n">
        <v>0</v>
      </c>
      <c r="E398" s="21" t="n">
        <v>0</v>
      </c>
      <c r="F398" s="21" t="n">
        <v>0</v>
      </c>
      <c r="G398" s="29" t="s">
        <v>2750</v>
      </c>
    </row>
    <row r="399" customFormat="false" ht="15" hidden="false" customHeight="false" outlineLevel="0" collapsed="false">
      <c r="A399" s="28" t="n">
        <v>45915</v>
      </c>
      <c r="B399" s="28" t="n">
        <v>45921</v>
      </c>
      <c r="C399" s="21" t="n">
        <v>0</v>
      </c>
      <c r="D399" s="21" t="n">
        <v>0</v>
      </c>
      <c r="E399" s="21" t="n">
        <v>0</v>
      </c>
      <c r="F399" s="21" t="n">
        <v>0</v>
      </c>
      <c r="G399" s="29" t="s">
        <v>2750</v>
      </c>
    </row>
    <row r="400" customFormat="false" ht="15" hidden="false" customHeight="false" outlineLevel="0" collapsed="false">
      <c r="A400" s="28" t="n">
        <v>45922</v>
      </c>
      <c r="B400" s="28" t="n">
        <v>45928</v>
      </c>
      <c r="C400" s="21" t="n">
        <v>0</v>
      </c>
      <c r="D400" s="21" t="n">
        <v>0</v>
      </c>
      <c r="E400" s="21" t="n">
        <v>0</v>
      </c>
      <c r="F400" s="21" t="n">
        <v>0</v>
      </c>
      <c r="G400" s="29" t="s">
        <v>2750</v>
      </c>
    </row>
    <row r="401" customFormat="false" ht="15" hidden="false" customHeight="false" outlineLevel="0" collapsed="false">
      <c r="A401" s="28" t="n">
        <v>45929</v>
      </c>
      <c r="B401" s="28" t="n">
        <v>45935</v>
      </c>
      <c r="C401" s="21" t="n">
        <v>0</v>
      </c>
      <c r="D401" s="21" t="n">
        <v>0</v>
      </c>
      <c r="E401" s="21" t="n">
        <v>0</v>
      </c>
      <c r="F401" s="21" t="n">
        <v>0</v>
      </c>
      <c r="G401" s="29" t="s">
        <v>2750</v>
      </c>
    </row>
    <row r="402" customFormat="false" ht="15" hidden="false" customHeight="false" outlineLevel="0" collapsed="false">
      <c r="A402" s="28" t="n">
        <v>45936</v>
      </c>
      <c r="B402" s="28" t="n">
        <v>45942</v>
      </c>
      <c r="C402" s="21" t="n">
        <v>0</v>
      </c>
      <c r="D402" s="21" t="n">
        <v>0</v>
      </c>
      <c r="E402" s="21" t="n">
        <v>0</v>
      </c>
      <c r="F402" s="21" t="n">
        <v>0</v>
      </c>
      <c r="G402" s="29" t="s">
        <v>2750</v>
      </c>
    </row>
    <row r="403" customFormat="false" ht="15" hidden="false" customHeight="false" outlineLevel="0" collapsed="false">
      <c r="A403" s="28" t="n">
        <v>45943</v>
      </c>
      <c r="B403" s="28" t="n">
        <v>45949</v>
      </c>
      <c r="C403" s="21" t="n">
        <v>0</v>
      </c>
      <c r="D403" s="21" t="n">
        <v>0</v>
      </c>
      <c r="E403" s="21" t="n">
        <v>0</v>
      </c>
      <c r="F403" s="21" t="n">
        <v>0</v>
      </c>
      <c r="G403" s="29" t="s">
        <v>2750</v>
      </c>
    </row>
    <row r="404" customFormat="false" ht="15" hidden="false" customHeight="false" outlineLevel="0" collapsed="false">
      <c r="A404" s="28" t="n">
        <v>45950</v>
      </c>
      <c r="B404" s="28" t="n">
        <v>45956</v>
      </c>
      <c r="C404" s="21" t="n">
        <v>0</v>
      </c>
      <c r="D404" s="21" t="n">
        <v>0</v>
      </c>
      <c r="E404" s="21" t="n">
        <v>0</v>
      </c>
      <c r="F404" s="21" t="n">
        <v>0</v>
      </c>
      <c r="G404" s="29" t="s">
        <v>2750</v>
      </c>
    </row>
    <row r="405" customFormat="false" ht="15" hidden="false" customHeight="false" outlineLevel="0" collapsed="false">
      <c r="A405" s="28" t="n">
        <v>45957</v>
      </c>
      <c r="B405" s="28" t="n">
        <v>45963</v>
      </c>
      <c r="C405" s="21" t="n">
        <v>0</v>
      </c>
      <c r="D405" s="21" t="n">
        <v>0</v>
      </c>
      <c r="E405" s="21" t="n">
        <v>0</v>
      </c>
      <c r="F405" s="21" t="n">
        <v>0</v>
      </c>
      <c r="G405" s="29" t="s">
        <v>2750</v>
      </c>
    </row>
    <row r="406" customFormat="false" ht="15" hidden="false" customHeight="false" outlineLevel="0" collapsed="false">
      <c r="A406" s="28" t="n">
        <v>45964</v>
      </c>
      <c r="B406" s="28" t="n">
        <v>45970</v>
      </c>
      <c r="C406" s="21" t="n">
        <v>0</v>
      </c>
      <c r="D406" s="21" t="n">
        <v>0</v>
      </c>
      <c r="E406" s="21" t="n">
        <v>0</v>
      </c>
      <c r="F406" s="21" t="n">
        <v>0</v>
      </c>
      <c r="G406" s="29" t="s">
        <v>2750</v>
      </c>
    </row>
    <row r="407" customFormat="false" ht="15" hidden="false" customHeight="false" outlineLevel="0" collapsed="false">
      <c r="A407" s="28" t="n">
        <v>45971</v>
      </c>
      <c r="B407" s="28" t="n">
        <v>45977</v>
      </c>
      <c r="C407" s="21" t="n">
        <v>0</v>
      </c>
      <c r="D407" s="21" t="n">
        <v>0</v>
      </c>
      <c r="E407" s="21" t="n">
        <v>0</v>
      </c>
      <c r="F407" s="21" t="n">
        <v>0</v>
      </c>
      <c r="G407" s="29" t="s">
        <v>2750</v>
      </c>
    </row>
    <row r="408" customFormat="false" ht="15" hidden="false" customHeight="false" outlineLevel="0" collapsed="false">
      <c r="A408" s="28" t="n">
        <v>45978</v>
      </c>
      <c r="B408" s="28" t="n">
        <v>45984</v>
      </c>
      <c r="C408" s="21" t="n">
        <v>0</v>
      </c>
      <c r="D408" s="21" t="n">
        <v>0</v>
      </c>
      <c r="E408" s="21" t="n">
        <v>0</v>
      </c>
      <c r="F408" s="21" t="n">
        <v>0</v>
      </c>
      <c r="G408" s="29" t="s">
        <v>2750</v>
      </c>
    </row>
    <row r="409" customFormat="false" ht="15" hidden="false" customHeight="false" outlineLevel="0" collapsed="false">
      <c r="A409" s="28" t="n">
        <v>45985</v>
      </c>
      <c r="B409" s="28" t="n">
        <v>45991</v>
      </c>
      <c r="C409" s="21" t="n">
        <v>0</v>
      </c>
      <c r="D409" s="21" t="n">
        <v>0</v>
      </c>
      <c r="E409" s="21" t="n">
        <v>0</v>
      </c>
      <c r="F409" s="21" t="n">
        <v>0</v>
      </c>
      <c r="G409" s="29" t="s">
        <v>2750</v>
      </c>
    </row>
    <row r="410" customFormat="false" ht="15" hidden="false" customHeight="false" outlineLevel="0" collapsed="false">
      <c r="A410" s="28" t="n">
        <v>45992</v>
      </c>
      <c r="B410" s="28" t="n">
        <v>45998</v>
      </c>
      <c r="C410" s="21" t="n">
        <v>0</v>
      </c>
      <c r="D410" s="21" t="n">
        <v>0</v>
      </c>
      <c r="E410" s="21" t="n">
        <v>0</v>
      </c>
      <c r="F410" s="21" t="n">
        <v>0</v>
      </c>
      <c r="G410" s="29" t="s">
        <v>2750</v>
      </c>
    </row>
    <row r="411" customFormat="false" ht="15" hidden="false" customHeight="false" outlineLevel="0" collapsed="false">
      <c r="A411" s="28" t="n">
        <v>45999</v>
      </c>
      <c r="B411" s="28" t="n">
        <v>46005</v>
      </c>
      <c r="C411" s="21" t="n">
        <v>0</v>
      </c>
      <c r="D411" s="21" t="n">
        <v>0</v>
      </c>
      <c r="E411" s="21" t="n">
        <v>0</v>
      </c>
      <c r="F411" s="21" t="n">
        <v>0</v>
      </c>
      <c r="G411" s="29" t="s">
        <v>2750</v>
      </c>
    </row>
    <row r="412" customFormat="false" ht="15" hidden="false" customHeight="false" outlineLevel="0" collapsed="false">
      <c r="A412" s="28" t="n">
        <v>46006</v>
      </c>
      <c r="B412" s="28" t="n">
        <v>46012</v>
      </c>
      <c r="C412" s="21" t="n">
        <v>0</v>
      </c>
      <c r="D412" s="21" t="n">
        <v>0</v>
      </c>
      <c r="E412" s="21" t="n">
        <v>0</v>
      </c>
      <c r="F412" s="21" t="n">
        <v>0</v>
      </c>
      <c r="G412" s="29" t="s">
        <v>2750</v>
      </c>
    </row>
    <row r="413" customFormat="false" ht="15" hidden="false" customHeight="false" outlineLevel="0" collapsed="false">
      <c r="A413" s="28" t="n">
        <v>46013</v>
      </c>
      <c r="B413" s="28" t="n">
        <v>46019</v>
      </c>
      <c r="C413" s="21" t="n">
        <v>0</v>
      </c>
      <c r="D413" s="21" t="n">
        <v>0</v>
      </c>
      <c r="E413" s="21" t="n">
        <v>0</v>
      </c>
      <c r="F413" s="21" t="n">
        <v>0</v>
      </c>
      <c r="G413" s="29" t="s">
        <v>2750</v>
      </c>
    </row>
    <row r="414" customFormat="false" ht="15" hidden="false" customHeight="false" outlineLevel="0" collapsed="false">
      <c r="A414" s="28" t="n">
        <v>46020</v>
      </c>
      <c r="B414" s="28" t="n">
        <v>46026</v>
      </c>
      <c r="C414" s="21" t="n">
        <v>0</v>
      </c>
      <c r="D414" s="21" t="n">
        <v>0</v>
      </c>
      <c r="E414" s="21" t="n">
        <v>0</v>
      </c>
      <c r="F414" s="21" t="n">
        <v>0</v>
      </c>
      <c r="G414" s="29" t="s">
        <v>2750</v>
      </c>
    </row>
    <row r="415" customFormat="false" ht="15" hidden="false" customHeight="false" outlineLevel="0" collapsed="false">
      <c r="A415" s="28" t="n">
        <v>46027</v>
      </c>
      <c r="B415" s="28" t="n">
        <v>46033</v>
      </c>
      <c r="C415" s="21" t="n">
        <v>0</v>
      </c>
      <c r="D415" s="21" t="n">
        <v>0</v>
      </c>
      <c r="E415" s="21" t="n">
        <v>0</v>
      </c>
      <c r="F415" s="21" t="n">
        <v>0</v>
      </c>
      <c r="G415" s="29" t="s">
        <v>2750</v>
      </c>
    </row>
    <row r="416" customFormat="false" ht="15" hidden="false" customHeight="false" outlineLevel="0" collapsed="false">
      <c r="A416" s="28" t="n">
        <v>46034</v>
      </c>
      <c r="B416" s="28" t="n">
        <v>46040</v>
      </c>
      <c r="C416" s="21" t="n">
        <v>0</v>
      </c>
      <c r="D416" s="21" t="n">
        <v>0</v>
      </c>
      <c r="E416" s="21" t="n">
        <v>0</v>
      </c>
      <c r="F416" s="21" t="n">
        <v>0</v>
      </c>
      <c r="G416" s="29" t="s">
        <v>2750</v>
      </c>
    </row>
    <row r="417" customFormat="false" ht="15" hidden="false" customHeight="false" outlineLevel="0" collapsed="false">
      <c r="A417" s="28" t="n">
        <v>46041</v>
      </c>
      <c r="B417" s="28" t="n">
        <v>46047</v>
      </c>
      <c r="C417" s="21" t="n">
        <v>0</v>
      </c>
      <c r="D417" s="21" t="n">
        <v>0</v>
      </c>
      <c r="E417" s="21" t="n">
        <v>0</v>
      </c>
      <c r="F417" s="21" t="n">
        <v>0</v>
      </c>
      <c r="G417" s="29" t="s">
        <v>2750</v>
      </c>
    </row>
    <row r="418" customFormat="false" ht="15" hidden="false" customHeight="false" outlineLevel="0" collapsed="false">
      <c r="A418" s="28" t="n">
        <v>46048</v>
      </c>
      <c r="B418" s="28" t="n">
        <v>46054</v>
      </c>
      <c r="C418" s="21" t="n">
        <v>0</v>
      </c>
      <c r="D418" s="21" t="n">
        <v>0</v>
      </c>
      <c r="E418" s="21" t="n">
        <v>0</v>
      </c>
      <c r="F418" s="21" t="n">
        <v>0</v>
      </c>
      <c r="G418" s="29" t="s">
        <v>2750</v>
      </c>
    </row>
    <row r="419" customFormat="false" ht="15" hidden="false" customHeight="false" outlineLevel="0" collapsed="false">
      <c r="A419" s="28" t="n">
        <v>46055</v>
      </c>
      <c r="B419" s="28" t="n">
        <v>46061</v>
      </c>
      <c r="C419" s="21" t="n">
        <v>0</v>
      </c>
      <c r="D419" s="21" t="n">
        <v>0</v>
      </c>
      <c r="E419" s="21" t="n">
        <v>0</v>
      </c>
      <c r="F419" s="21" t="n">
        <v>0</v>
      </c>
      <c r="G419" s="29" t="s">
        <v>2750</v>
      </c>
    </row>
    <row r="420" customFormat="false" ht="15" hidden="false" customHeight="false" outlineLevel="0" collapsed="false">
      <c r="A420" s="28" t="n">
        <v>46062</v>
      </c>
      <c r="B420" s="28" t="n">
        <v>46068</v>
      </c>
      <c r="C420" s="21" t="n">
        <v>0</v>
      </c>
      <c r="D420" s="21" t="n">
        <v>0</v>
      </c>
      <c r="E420" s="21" t="n">
        <v>0</v>
      </c>
      <c r="F420" s="21" t="n">
        <v>0</v>
      </c>
      <c r="G420" s="29" t="s">
        <v>2750</v>
      </c>
    </row>
    <row r="421" customFormat="false" ht="15" hidden="false" customHeight="false" outlineLevel="0" collapsed="false">
      <c r="A421" s="28" t="n">
        <v>46069</v>
      </c>
      <c r="B421" s="28" t="n">
        <v>46075</v>
      </c>
      <c r="C421" s="21" t="n">
        <v>0</v>
      </c>
      <c r="D421" s="21" t="n">
        <v>0</v>
      </c>
      <c r="E421" s="21" t="n">
        <v>0</v>
      </c>
      <c r="F421" s="21" t="n">
        <v>0</v>
      </c>
      <c r="G421" s="29" t="s">
        <v>2750</v>
      </c>
    </row>
    <row r="422" customFormat="false" ht="15" hidden="false" customHeight="false" outlineLevel="0" collapsed="false">
      <c r="A422" s="28" t="n">
        <v>46076</v>
      </c>
      <c r="B422" s="28" t="n">
        <v>46082</v>
      </c>
      <c r="C422" s="21" t="n">
        <v>6</v>
      </c>
      <c r="D422" s="21" t="n">
        <v>1</v>
      </c>
      <c r="E422" s="21" t="n">
        <v>3</v>
      </c>
      <c r="F422" s="21" t="n">
        <v>19</v>
      </c>
      <c r="G422" s="32" t="s">
        <v>56</v>
      </c>
    </row>
    <row r="423" customFormat="false" ht="15" hidden="false" customHeight="false" outlineLevel="0" collapsed="false">
      <c r="A423" s="28" t="n">
        <v>46083</v>
      </c>
      <c r="B423" s="28" t="n">
        <v>46089</v>
      </c>
      <c r="C423" s="21" t="n">
        <v>5</v>
      </c>
      <c r="D423" s="21" t="n">
        <v>0</v>
      </c>
      <c r="E423" s="21" t="n">
        <v>2</v>
      </c>
      <c r="F423" s="21" t="n">
        <v>14</v>
      </c>
      <c r="G423" s="32" t="s">
        <v>56</v>
      </c>
    </row>
    <row r="424" customFormat="false" ht="15" hidden="false" customHeight="false" outlineLevel="0" collapsed="false">
      <c r="A424" s="28" t="n">
        <v>46090</v>
      </c>
      <c r="B424" s="28" t="n">
        <v>46096</v>
      </c>
      <c r="C424" s="21" t="n">
        <v>0</v>
      </c>
      <c r="D424" s="21" t="n">
        <v>1</v>
      </c>
      <c r="E424" s="21" t="n">
        <v>0</v>
      </c>
      <c r="F424" s="21" t="n">
        <v>1</v>
      </c>
      <c r="G424" s="32" t="s">
        <v>56</v>
      </c>
    </row>
    <row r="425" customFormat="false" ht="15" hidden="false" customHeight="false" outlineLevel="0" collapsed="false">
      <c r="A425" s="28" t="n">
        <v>46097</v>
      </c>
      <c r="B425" s="28" t="n">
        <v>46103</v>
      </c>
      <c r="C425" s="21" t="n">
        <v>3</v>
      </c>
      <c r="D425" s="21" t="n">
        <v>0</v>
      </c>
      <c r="E425" s="21" t="n">
        <v>0</v>
      </c>
      <c r="F425" s="21" t="n">
        <v>6</v>
      </c>
      <c r="G425" s="31" t="s">
        <v>89</v>
      </c>
    </row>
    <row r="426" customFormat="false" ht="15" hidden="false" customHeight="false" outlineLevel="0" collapsed="false">
      <c r="A426" s="28" t="n">
        <v>46104</v>
      </c>
      <c r="B426" s="28" t="n">
        <v>46110</v>
      </c>
      <c r="C426" s="21" t="n">
        <v>2</v>
      </c>
      <c r="D426" s="21" t="n">
        <v>0</v>
      </c>
      <c r="E426" s="21" t="n">
        <v>0</v>
      </c>
      <c r="F426" s="21" t="n">
        <v>4</v>
      </c>
      <c r="G426" s="31" t="s">
        <v>89</v>
      </c>
    </row>
    <row r="427" customFormat="false" ht="15" hidden="false" customHeight="false" outlineLevel="0" collapsed="false">
      <c r="A427" s="28" t="n">
        <v>46111</v>
      </c>
      <c r="B427" s="28" t="n">
        <v>46117</v>
      </c>
      <c r="C427" s="21" t="n">
        <v>3</v>
      </c>
      <c r="D427" s="21" t="n">
        <v>0</v>
      </c>
      <c r="E427" s="21" t="n">
        <v>1</v>
      </c>
      <c r="F427" s="21" t="n">
        <v>8</v>
      </c>
      <c r="G427" s="32" t="s">
        <v>56</v>
      </c>
    </row>
    <row r="428" customFormat="false" ht="15" hidden="false" customHeight="false" outlineLevel="0" collapsed="false">
      <c r="A428" s="28" t="n">
        <v>46118</v>
      </c>
      <c r="B428" s="28" t="n">
        <v>46124</v>
      </c>
      <c r="C428" s="21" t="n">
        <v>2</v>
      </c>
      <c r="D428" s="21" t="n">
        <v>2</v>
      </c>
      <c r="E428" s="21" t="n">
        <v>1</v>
      </c>
      <c r="F428" s="21" t="n">
        <v>8</v>
      </c>
      <c r="G428" s="32" t="s">
        <v>56</v>
      </c>
    </row>
    <row r="429" customFormat="false" ht="15" hidden="false" customHeight="false" outlineLevel="0" collapsed="false">
      <c r="A429" s="28" t="n">
        <v>46125</v>
      </c>
      <c r="B429" s="28" t="n">
        <v>46131</v>
      </c>
      <c r="C429" s="21" t="n">
        <v>0</v>
      </c>
      <c r="D429" s="21" t="n">
        <v>3</v>
      </c>
      <c r="E429" s="21" t="n">
        <v>0</v>
      </c>
      <c r="F429" s="21" t="n">
        <v>3</v>
      </c>
      <c r="G429" s="31" t="s">
        <v>89</v>
      </c>
    </row>
    <row r="430" customFormat="false" ht="15" hidden="false" customHeight="false" outlineLevel="0" collapsed="false">
      <c r="A430" s="28" t="n">
        <v>46132</v>
      </c>
      <c r="B430" s="28" t="n">
        <v>46138</v>
      </c>
      <c r="C430" s="21" t="n">
        <v>0</v>
      </c>
      <c r="D430" s="21" t="n">
        <v>1</v>
      </c>
      <c r="E430" s="21" t="n">
        <v>0</v>
      </c>
      <c r="F430" s="21" t="n">
        <v>1</v>
      </c>
      <c r="G430" s="30" t="s">
        <v>184</v>
      </c>
    </row>
    <row r="431" customFormat="false" ht="15" hidden="false" customHeight="false" outlineLevel="0" collapsed="false">
      <c r="A431" s="28" t="n">
        <v>46139</v>
      </c>
      <c r="B431" s="28" t="n">
        <v>46145</v>
      </c>
      <c r="C431" s="21" t="n">
        <v>1</v>
      </c>
      <c r="D431" s="21" t="n">
        <v>0</v>
      </c>
      <c r="E431" s="21" t="n">
        <v>0</v>
      </c>
      <c r="F431" s="21" t="n">
        <v>2</v>
      </c>
      <c r="G431" s="30" t="s">
        <v>184</v>
      </c>
    </row>
    <row r="432" customFormat="false" ht="15" hidden="false" customHeight="false" outlineLevel="0" collapsed="false">
      <c r="A432" s="28" t="n">
        <v>46146</v>
      </c>
      <c r="B432" s="28" t="n">
        <v>46152</v>
      </c>
      <c r="C432" s="21" t="n">
        <v>3</v>
      </c>
      <c r="D432" s="21" t="n">
        <v>0</v>
      </c>
      <c r="E432" s="21" t="n">
        <v>0</v>
      </c>
      <c r="F432" s="21" t="n">
        <v>6</v>
      </c>
      <c r="G432" s="31" t="s">
        <v>89</v>
      </c>
    </row>
    <row r="433" customFormat="false" ht="15" hidden="false" customHeight="false" outlineLevel="0" collapsed="false">
      <c r="A433" s="28" t="n">
        <v>46153</v>
      </c>
      <c r="B433" s="28" t="n">
        <v>46159</v>
      </c>
      <c r="C433" s="21" t="n">
        <v>0</v>
      </c>
      <c r="D433" s="21" t="n">
        <v>0</v>
      </c>
      <c r="E433" s="21" t="n">
        <v>0</v>
      </c>
      <c r="F433" s="21" t="n">
        <v>0</v>
      </c>
      <c r="G433" s="31" t="s">
        <v>89</v>
      </c>
    </row>
    <row r="434" customFormat="false" ht="15" hidden="false" customHeight="false" outlineLevel="0" collapsed="false">
      <c r="A434" s="28" t="n">
        <v>46160</v>
      </c>
      <c r="B434" s="28" t="n">
        <v>46166</v>
      </c>
      <c r="C434" s="21" t="n">
        <v>0</v>
      </c>
      <c r="D434" s="21" t="n">
        <v>0</v>
      </c>
      <c r="E434" s="21" t="n">
        <v>0</v>
      </c>
      <c r="F434" s="21" t="n">
        <v>0</v>
      </c>
      <c r="G434" s="29" t="s">
        <v>2750</v>
      </c>
    </row>
    <row r="435" customFormat="false" ht="15" hidden="false" customHeight="false" outlineLevel="0" collapsed="false">
      <c r="A435" s="28" t="n">
        <v>46167</v>
      </c>
      <c r="B435" s="28" t="n">
        <v>46173</v>
      </c>
      <c r="C435" s="21" t="n">
        <v>0</v>
      </c>
      <c r="D435" s="21" t="n">
        <v>0</v>
      </c>
      <c r="E435" s="21" t="n">
        <v>0</v>
      </c>
      <c r="F435" s="21" t="n">
        <v>0</v>
      </c>
      <c r="G435" s="29" t="s">
        <v>2750</v>
      </c>
    </row>
    <row r="436" customFormat="false" ht="15" hidden="false" customHeight="false" outlineLevel="0" collapsed="false">
      <c r="A436" s="28" t="n">
        <v>46174</v>
      </c>
      <c r="B436" s="28" t="n">
        <v>46180</v>
      </c>
      <c r="C436" s="21" t="n">
        <v>1</v>
      </c>
      <c r="D436" s="21" t="n">
        <v>0</v>
      </c>
      <c r="E436" s="21" t="n">
        <v>0</v>
      </c>
      <c r="F436" s="21" t="n">
        <v>2</v>
      </c>
      <c r="G436" s="30" t="s">
        <v>184</v>
      </c>
    </row>
    <row r="437" customFormat="false" ht="15" hidden="false" customHeight="false" outlineLevel="0" collapsed="false">
      <c r="A437" s="28" t="n">
        <v>46181</v>
      </c>
      <c r="B437" s="28" t="n">
        <v>46187</v>
      </c>
      <c r="C437" s="21" t="n">
        <v>5</v>
      </c>
      <c r="D437" s="21" t="n">
        <v>0</v>
      </c>
      <c r="E437" s="21" t="n">
        <v>1</v>
      </c>
      <c r="F437" s="21" t="n">
        <v>12</v>
      </c>
      <c r="G437" s="32" t="s">
        <v>56</v>
      </c>
    </row>
    <row r="438" customFormat="false" ht="15" hidden="false" customHeight="false" outlineLevel="0" collapsed="false">
      <c r="A438" s="28" t="n">
        <v>46188</v>
      </c>
      <c r="B438" s="28" t="n">
        <v>46194</v>
      </c>
      <c r="C438" s="21" t="n">
        <v>1</v>
      </c>
      <c r="D438" s="21" t="n">
        <v>2</v>
      </c>
      <c r="E438" s="21" t="n">
        <v>1</v>
      </c>
      <c r="F438" s="21" t="n">
        <v>6</v>
      </c>
      <c r="G438" s="32" t="s">
        <v>56</v>
      </c>
    </row>
    <row r="439" customFormat="false" ht="15" hidden="false" customHeight="false" outlineLevel="0" collapsed="false">
      <c r="A439" s="28" t="n">
        <v>46195</v>
      </c>
      <c r="B439" s="28" t="n">
        <v>46201</v>
      </c>
      <c r="C439" s="21" t="n">
        <v>2</v>
      </c>
      <c r="D439" s="21" t="n">
        <v>1</v>
      </c>
      <c r="E439" s="21" t="n">
        <v>0</v>
      </c>
      <c r="F439" s="21" t="n">
        <v>5</v>
      </c>
      <c r="G439" s="31" t="s">
        <v>89</v>
      </c>
    </row>
    <row r="440" customFormat="false" ht="15" hidden="false" customHeight="false" outlineLevel="0" collapsed="false">
      <c r="A440" s="28" t="n">
        <v>46202</v>
      </c>
      <c r="B440" s="28" t="n">
        <v>46208</v>
      </c>
      <c r="C440" s="21" t="n">
        <v>0</v>
      </c>
      <c r="D440" s="21" t="n">
        <v>0</v>
      </c>
      <c r="E440" s="21" t="n">
        <v>0</v>
      </c>
      <c r="F440" s="21" t="n">
        <v>0</v>
      </c>
      <c r="G440" s="30" t="s">
        <v>184</v>
      </c>
    </row>
    <row r="441" customFormat="false" ht="15" hidden="false" customHeight="false" outlineLevel="0" collapsed="false">
      <c r="A441" s="28" t="n">
        <v>46209</v>
      </c>
      <c r="B441" s="28" t="n">
        <v>46215</v>
      </c>
      <c r="C441" s="21" t="n">
        <v>3</v>
      </c>
      <c r="D441" s="21" t="n">
        <v>2</v>
      </c>
      <c r="E441" s="21" t="n">
        <v>0</v>
      </c>
      <c r="F441" s="21" t="n">
        <v>8</v>
      </c>
      <c r="G441" s="31" t="s">
        <v>89</v>
      </c>
    </row>
    <row r="442" customFormat="false" ht="15" hidden="false" customHeight="false" outlineLevel="0" collapsed="false">
      <c r="A442" s="28" t="n">
        <v>46216</v>
      </c>
      <c r="B442" s="28" t="n">
        <v>46222</v>
      </c>
      <c r="C442" s="21" t="n">
        <v>2</v>
      </c>
      <c r="D442" s="21" t="n">
        <v>0</v>
      </c>
      <c r="E442" s="21" t="n">
        <v>1</v>
      </c>
      <c r="F442" s="21" t="n">
        <v>6</v>
      </c>
      <c r="G442" s="32" t="s">
        <v>56</v>
      </c>
    </row>
    <row r="443" customFormat="false" ht="15" hidden="false" customHeight="false" outlineLevel="0" collapsed="false">
      <c r="A443" s="28" t="n">
        <v>46223</v>
      </c>
      <c r="B443" s="28" t="n">
        <v>46229</v>
      </c>
      <c r="C443" s="21" t="n">
        <v>0</v>
      </c>
      <c r="D443" s="21" t="n">
        <v>0</v>
      </c>
      <c r="E443" s="21" t="n">
        <v>0</v>
      </c>
      <c r="F443" s="21" t="n">
        <v>0</v>
      </c>
      <c r="G443" s="31" t="s">
        <v>89</v>
      </c>
    </row>
    <row r="444" customFormat="false" ht="15" hidden="false" customHeight="false" outlineLevel="0" collapsed="false">
      <c r="A444" s="28" t="n">
        <v>46230</v>
      </c>
      <c r="B444" s="28" t="n">
        <v>46236</v>
      </c>
      <c r="C444" s="21" t="n">
        <v>0</v>
      </c>
      <c r="D444" s="21" t="n">
        <v>0</v>
      </c>
      <c r="E444" s="21" t="n">
        <v>0</v>
      </c>
      <c r="F444" s="21" t="n">
        <v>0</v>
      </c>
      <c r="G444" s="29" t="s">
        <v>2750</v>
      </c>
    </row>
    <row r="445" customFormat="false" ht="15" hidden="false" customHeight="false" outlineLevel="0" collapsed="false">
      <c r="A445" s="28" t="n">
        <v>46237</v>
      </c>
      <c r="B445" s="28" t="n">
        <v>46243</v>
      </c>
      <c r="C445" s="21" t="n">
        <v>0</v>
      </c>
      <c r="D445" s="21" t="n">
        <v>0</v>
      </c>
      <c r="E445" s="21" t="n">
        <v>0</v>
      </c>
      <c r="F445" s="21" t="n">
        <v>0</v>
      </c>
      <c r="G445" s="29" t="s">
        <v>2750</v>
      </c>
    </row>
    <row r="446" customFormat="false" ht="15" hidden="false" customHeight="false" outlineLevel="0" collapsed="false">
      <c r="A446" s="28" t="n">
        <v>46244</v>
      </c>
      <c r="B446" s="28" t="n">
        <v>46250</v>
      </c>
      <c r="C446" s="21" t="n">
        <v>0</v>
      </c>
      <c r="D446" s="21" t="n">
        <v>0</v>
      </c>
      <c r="E446" s="21" t="n">
        <v>0</v>
      </c>
      <c r="F446" s="21" t="n">
        <v>0</v>
      </c>
      <c r="G446" s="29" t="s">
        <v>2750</v>
      </c>
    </row>
    <row r="447" customFormat="false" ht="15" hidden="false" customHeight="false" outlineLevel="0" collapsed="false">
      <c r="A447" s="28" t="n">
        <v>46251</v>
      </c>
      <c r="B447" s="28" t="n">
        <v>46257</v>
      </c>
      <c r="C447" s="21" t="n">
        <v>0</v>
      </c>
      <c r="D447" s="21" t="n">
        <v>0</v>
      </c>
      <c r="E447" s="21" t="n">
        <v>0</v>
      </c>
      <c r="F447" s="21" t="n">
        <v>0</v>
      </c>
      <c r="G447" s="29" t="s">
        <v>2750</v>
      </c>
    </row>
    <row r="448" customFormat="false" ht="15" hidden="false" customHeight="false" outlineLevel="0" collapsed="false">
      <c r="A448" s="28" t="n">
        <v>46258</v>
      </c>
      <c r="B448" s="28" t="n">
        <v>46264</v>
      </c>
      <c r="C448" s="21" t="n">
        <v>1</v>
      </c>
      <c r="D448" s="21" t="n">
        <v>1</v>
      </c>
      <c r="E448" s="21" t="n">
        <v>1</v>
      </c>
      <c r="F448" s="21" t="n">
        <v>5</v>
      </c>
      <c r="G448" s="30" t="s">
        <v>184</v>
      </c>
    </row>
    <row r="449" customFormat="false" ht="15" hidden="false" customHeight="false" outlineLevel="0" collapsed="false">
      <c r="A449" s="28" t="n">
        <v>46265</v>
      </c>
      <c r="B449" s="28" t="n">
        <v>46271</v>
      </c>
      <c r="C449" s="21" t="n">
        <v>5</v>
      </c>
      <c r="D449" s="21" t="n">
        <v>1</v>
      </c>
      <c r="E449" s="21" t="n">
        <v>2</v>
      </c>
      <c r="F449" s="21" t="n">
        <v>15</v>
      </c>
      <c r="G449" s="32" t="s">
        <v>56</v>
      </c>
    </row>
    <row r="450" customFormat="false" ht="15" hidden="false" customHeight="false" outlineLevel="0" collapsed="false">
      <c r="A450" s="28" t="n">
        <v>46272</v>
      </c>
      <c r="B450" s="28" t="n">
        <v>46278</v>
      </c>
      <c r="C450" s="21" t="n">
        <v>3</v>
      </c>
      <c r="D450" s="21" t="n">
        <v>0</v>
      </c>
      <c r="E450" s="21" t="n">
        <v>0</v>
      </c>
      <c r="F450" s="21" t="n">
        <v>6</v>
      </c>
      <c r="G450" s="32" t="s">
        <v>56</v>
      </c>
    </row>
    <row r="451" customFormat="false" ht="15" hidden="false" customHeight="false" outlineLevel="0" collapsed="false">
      <c r="A451" s="28" t="n">
        <v>46279</v>
      </c>
      <c r="B451" s="28" t="n">
        <v>46285</v>
      </c>
      <c r="C451" s="21" t="n">
        <v>0</v>
      </c>
      <c r="D451" s="21" t="n">
        <v>0</v>
      </c>
      <c r="E451" s="21" t="n">
        <v>0</v>
      </c>
      <c r="F451" s="21" t="n">
        <v>0</v>
      </c>
      <c r="G451" s="31" t="s">
        <v>89</v>
      </c>
    </row>
    <row r="452" customFormat="false" ht="15" hidden="false" customHeight="false" outlineLevel="0" collapsed="false">
      <c r="A452" s="28" t="n">
        <v>46286</v>
      </c>
      <c r="B452" s="28" t="n">
        <v>46292</v>
      </c>
      <c r="C452" s="21" t="n">
        <v>0</v>
      </c>
      <c r="D452" s="21" t="n">
        <v>0</v>
      </c>
      <c r="E452" s="21" t="n">
        <v>0</v>
      </c>
      <c r="F452" s="21" t="n">
        <v>0</v>
      </c>
      <c r="G452" s="29" t="s">
        <v>2750</v>
      </c>
    </row>
    <row r="453" customFormat="false" ht="15" hidden="false" customHeight="false" outlineLevel="0" collapsed="false">
      <c r="A453" s="28" t="n">
        <v>46293</v>
      </c>
      <c r="B453" s="28" t="n">
        <v>46299</v>
      </c>
      <c r="C453" s="21" t="n">
        <v>0</v>
      </c>
      <c r="D453" s="21" t="n">
        <v>2</v>
      </c>
      <c r="E453" s="21" t="n">
        <v>0</v>
      </c>
      <c r="F453" s="21" t="n">
        <v>2</v>
      </c>
      <c r="G453" s="30" t="s">
        <v>184</v>
      </c>
    </row>
    <row r="454" customFormat="false" ht="15" hidden="false" customHeight="false" outlineLevel="0" collapsed="false">
      <c r="A454" s="28" t="n">
        <v>46300</v>
      </c>
      <c r="B454" s="28" t="n">
        <v>46306</v>
      </c>
      <c r="C454" s="21" t="n">
        <v>1</v>
      </c>
      <c r="D454" s="21" t="n">
        <v>6</v>
      </c>
      <c r="E454" s="21" t="n">
        <v>0</v>
      </c>
      <c r="F454" s="21" t="n">
        <v>8</v>
      </c>
      <c r="G454" s="31" t="s">
        <v>89</v>
      </c>
    </row>
    <row r="455" customFormat="false" ht="15" hidden="false" customHeight="false" outlineLevel="0" collapsed="false">
      <c r="A455" s="28" t="n">
        <v>46307</v>
      </c>
      <c r="B455" s="28" t="n">
        <v>46313</v>
      </c>
      <c r="C455" s="21" t="n">
        <v>0</v>
      </c>
      <c r="D455" s="21" t="n">
        <v>4</v>
      </c>
      <c r="E455" s="21" t="n">
        <v>0</v>
      </c>
      <c r="F455" s="21" t="n">
        <v>4</v>
      </c>
      <c r="G455" s="32" t="s">
        <v>56</v>
      </c>
    </row>
    <row r="456" customFormat="false" ht="15" hidden="false" customHeight="false" outlineLevel="0" collapsed="false">
      <c r="A456" s="28" t="n">
        <v>46314</v>
      </c>
      <c r="B456" s="28" t="n">
        <v>46320</v>
      </c>
      <c r="C456" s="21" t="n">
        <v>0</v>
      </c>
      <c r="D456" s="21" t="n">
        <v>4</v>
      </c>
      <c r="E456" s="21" t="n">
        <v>0</v>
      </c>
      <c r="F456" s="21" t="n">
        <v>4</v>
      </c>
      <c r="G456" s="31" t="s">
        <v>89</v>
      </c>
    </row>
    <row r="457" customFormat="false" ht="15" hidden="false" customHeight="false" outlineLevel="0" collapsed="false">
      <c r="A457" s="28" t="n">
        <v>46321</v>
      </c>
      <c r="B457" s="28" t="n">
        <v>46327</v>
      </c>
      <c r="C457" s="21" t="n">
        <v>0</v>
      </c>
      <c r="D457" s="21" t="n">
        <v>0</v>
      </c>
      <c r="E457" s="21" t="n">
        <v>0</v>
      </c>
      <c r="F457" s="21" t="n">
        <v>0</v>
      </c>
      <c r="G457" s="30"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2"/>
    <col collapsed="false" customWidth="true" hidden="false" outlineLevel="0" max="4" min="4" style="0" width="40"/>
    <col collapsed="false" customWidth="true" hidden="false" outlineLevel="0" max="5" min="5" style="0" width="50"/>
    <col collapsed="false" customWidth="true" hidden="false" outlineLevel="0" max="7" min="6" style="0" width="11"/>
    <col collapsed="false" customWidth="true" hidden="false" outlineLevel="0" max="8" min="8" style="0" width="50"/>
    <col collapsed="false" customWidth="true" hidden="false" outlineLevel="0" max="9" min="9" style="0" width="7"/>
    <col collapsed="false" customWidth="true" hidden="false" outlineLevel="0" max="10" min="10" style="0" width="9"/>
    <col collapsed="false" customWidth="true" hidden="false" outlineLevel="0" max="11" min="11" style="0" width="11"/>
    <col collapsed="false" customWidth="true" hidden="false" outlineLevel="0" max="12" min="12" style="0" width="9"/>
    <col collapsed="false" customWidth="true" hidden="false" outlineLevel="0" max="13" min="13" style="0" width="40"/>
  </cols>
  <sheetData>
    <row r="1" customFormat="false" ht="16.15" hidden="false" customHeight="false" outlineLevel="0" collapsed="false">
      <c r="A1" s="24" t="s">
        <v>2751</v>
      </c>
    </row>
    <row r="2" customFormat="false" ht="15" hidden="false" customHeight="false" outlineLevel="0" collapsed="false">
      <c r="A2" s="16" t="s">
        <v>2752</v>
      </c>
    </row>
    <row r="3" customFormat="false" ht="15" hidden="false" customHeight="false" outlineLevel="0" collapsed="false">
      <c r="A3" s="14" t="s">
        <v>2753</v>
      </c>
    </row>
    <row r="5" customFormat="false" ht="23.85" hidden="false" customHeight="false" outlineLevel="0" collapsed="false">
      <c r="A5" s="25" t="s">
        <v>31</v>
      </c>
      <c r="B5" s="25" t="s">
        <v>2754</v>
      </c>
      <c r="C5" s="25" t="s">
        <v>2755</v>
      </c>
      <c r="D5" s="25" t="s">
        <v>2756</v>
      </c>
      <c r="E5" s="25" t="s">
        <v>2757</v>
      </c>
      <c r="F5" s="25" t="s">
        <v>2758</v>
      </c>
      <c r="G5" s="25" t="s">
        <v>2759</v>
      </c>
      <c r="H5" s="25" t="s">
        <v>2760</v>
      </c>
      <c r="I5" s="25" t="s">
        <v>1088</v>
      </c>
      <c r="J5" s="25" t="s">
        <v>2761</v>
      </c>
      <c r="K5" s="25" t="s">
        <v>2762</v>
      </c>
      <c r="L5" s="25" t="s">
        <v>2763</v>
      </c>
      <c r="M5" s="25" t="s">
        <v>2764</v>
      </c>
    </row>
    <row r="6" customFormat="false" ht="180.55" hidden="false" customHeight="false" outlineLevel="0" collapsed="false">
      <c r="A6" s="6" t="s">
        <v>2765</v>
      </c>
      <c r="B6" s="6" t="s">
        <v>2026</v>
      </c>
      <c r="C6" s="6" t="s">
        <v>2020</v>
      </c>
      <c r="D6" s="6" t="s">
        <v>2766</v>
      </c>
      <c r="E6" s="6" t="s">
        <v>2767</v>
      </c>
      <c r="F6" s="6" t="s">
        <v>2768</v>
      </c>
      <c r="G6" s="33" t="n">
        <v>0.25</v>
      </c>
      <c r="H6" s="6" t="s">
        <v>2769</v>
      </c>
      <c r="I6" s="6" t="s">
        <v>2770</v>
      </c>
      <c r="J6" s="8" t="s">
        <v>2771</v>
      </c>
      <c r="K6" s="6" t="s">
        <v>2772</v>
      </c>
      <c r="L6" s="6" t="n">
        <v>0.062</v>
      </c>
      <c r="M6" s="6" t="s">
        <v>2773</v>
      </c>
    </row>
    <row r="7" customFormat="false" ht="102.2" hidden="false" customHeight="false" outlineLevel="0" collapsed="false">
      <c r="A7" s="6" t="s">
        <v>2774</v>
      </c>
      <c r="B7" s="6" t="s">
        <v>2026</v>
      </c>
      <c r="C7" s="6" t="s">
        <v>2020</v>
      </c>
      <c r="D7" s="6" t="s">
        <v>2775</v>
      </c>
      <c r="E7" s="6" t="s">
        <v>2776</v>
      </c>
      <c r="F7" s="6" t="s">
        <v>2071</v>
      </c>
      <c r="G7" s="33" t="n">
        <v>0.83</v>
      </c>
      <c r="H7" s="6" t="s">
        <v>2777</v>
      </c>
      <c r="I7" s="6" t="s">
        <v>2778</v>
      </c>
      <c r="J7" s="8" t="s">
        <v>2779</v>
      </c>
      <c r="K7" s="6" t="s">
        <v>2772</v>
      </c>
      <c r="L7" s="6" t="n">
        <v>0.029</v>
      </c>
      <c r="M7" s="6" t="s">
        <v>2780</v>
      </c>
    </row>
    <row r="8" customFormat="false" ht="68.65" hidden="false" customHeight="false" outlineLevel="0" collapsed="false">
      <c r="A8" s="6" t="s">
        <v>2781</v>
      </c>
      <c r="B8" s="6" t="s">
        <v>2772</v>
      </c>
      <c r="C8" s="6" t="s">
        <v>2071</v>
      </c>
      <c r="D8" s="6" t="s">
        <v>2782</v>
      </c>
      <c r="E8" s="6" t="s">
        <v>2783</v>
      </c>
      <c r="F8" s="6" t="s">
        <v>2784</v>
      </c>
      <c r="G8" s="33" t="n">
        <v>0.28</v>
      </c>
      <c r="H8" s="6" t="s">
        <v>2785</v>
      </c>
      <c r="I8" s="6" t="s">
        <v>2786</v>
      </c>
      <c r="J8" s="10" t="s">
        <v>2787</v>
      </c>
      <c r="K8" s="6"/>
      <c r="L8" s="6"/>
      <c r="M8" s="6"/>
    </row>
    <row r="9" customFormat="false" ht="113.4" hidden="false" customHeight="false" outlineLevel="0" collapsed="false">
      <c r="A9" s="6" t="s">
        <v>2788</v>
      </c>
      <c r="B9" s="6" t="s">
        <v>2772</v>
      </c>
      <c r="C9" s="6" t="s">
        <v>2071</v>
      </c>
      <c r="D9" s="6" t="s">
        <v>2789</v>
      </c>
      <c r="E9" s="6" t="s">
        <v>2790</v>
      </c>
      <c r="F9" s="6" t="s">
        <v>2791</v>
      </c>
      <c r="G9" s="33" t="n">
        <v>0.89</v>
      </c>
      <c r="H9" s="6" t="s">
        <v>2792</v>
      </c>
      <c r="I9" s="6" t="s">
        <v>2778</v>
      </c>
      <c r="J9" s="8" t="s">
        <v>2779</v>
      </c>
      <c r="K9" s="6" t="s">
        <v>2114</v>
      </c>
      <c r="L9" s="6" t="n">
        <v>0.012</v>
      </c>
      <c r="M9" s="6" t="s">
        <v>2793</v>
      </c>
    </row>
    <row r="10" customFormat="false" ht="79.85" hidden="false" customHeight="false" outlineLevel="0" collapsed="false">
      <c r="A10" s="6" t="s">
        <v>2794</v>
      </c>
      <c r="B10" s="6" t="s">
        <v>2772</v>
      </c>
      <c r="C10" s="6" t="s">
        <v>2071</v>
      </c>
      <c r="D10" s="6" t="s">
        <v>2795</v>
      </c>
      <c r="E10" s="6" t="s">
        <v>2796</v>
      </c>
      <c r="F10" s="6" t="s">
        <v>2784</v>
      </c>
      <c r="G10" s="33" t="n">
        <v>0.3</v>
      </c>
      <c r="H10" s="6" t="s">
        <v>2797</v>
      </c>
      <c r="I10" s="6" t="s">
        <v>2778</v>
      </c>
      <c r="J10" s="10" t="s">
        <v>2787</v>
      </c>
      <c r="K10" s="6"/>
      <c r="L10" s="6"/>
      <c r="M10" s="6"/>
    </row>
    <row r="11" customFormat="false" ht="79.85" hidden="false" customHeight="false" outlineLevel="0" collapsed="false">
      <c r="A11" s="6" t="s">
        <v>2798</v>
      </c>
      <c r="B11" s="6" t="s">
        <v>2114</v>
      </c>
      <c r="C11" s="6" t="s">
        <v>2114</v>
      </c>
      <c r="D11" s="6" t="s">
        <v>2799</v>
      </c>
      <c r="E11" s="6" t="s">
        <v>2800</v>
      </c>
      <c r="F11" s="6" t="s">
        <v>2801</v>
      </c>
      <c r="G11" s="33" t="n">
        <v>0.91</v>
      </c>
      <c r="H11" s="6" t="s">
        <v>2802</v>
      </c>
      <c r="I11" s="6" t="s">
        <v>2778</v>
      </c>
      <c r="J11" s="10" t="s">
        <v>2787</v>
      </c>
      <c r="K11" s="6"/>
      <c r="L11" s="6"/>
      <c r="M11"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12"/>
    <col collapsed="false" customWidth="true" hidden="false" outlineLevel="0" max="4" min="4" style="0" width="50"/>
    <col collapsed="false" customWidth="true" hidden="false" outlineLevel="0" max="5" min="5" style="0" width="9"/>
    <col collapsed="false" customWidth="true" hidden="false" outlineLevel="0" max="6" min="6" style="0" width="12"/>
    <col collapsed="false" customWidth="true" hidden="false" outlineLevel="0" max="7" min="7" style="0" width="50"/>
    <col collapsed="false" customWidth="true" hidden="false" outlineLevel="0" max="8" min="8" style="0" width="40"/>
  </cols>
  <sheetData>
    <row r="1" customFormat="false" ht="15" hidden="false" customHeight="false" outlineLevel="0" collapsed="false">
      <c r="A1" s="27" t="s">
        <v>2803</v>
      </c>
    </row>
    <row r="2" customFormat="false" ht="15" hidden="false" customHeight="false" outlineLevel="0" collapsed="false">
      <c r="A2" s="16" t="s">
        <v>2804</v>
      </c>
    </row>
    <row r="4" customFormat="false" ht="15" hidden="false" customHeight="false" outlineLevel="0" collapsed="false">
      <c r="A4" s="13" t="s">
        <v>2805</v>
      </c>
      <c r="B4" s="13" t="s">
        <v>2806</v>
      </c>
      <c r="C4" s="13" t="s">
        <v>2807</v>
      </c>
      <c r="D4" s="13" t="s">
        <v>2808</v>
      </c>
      <c r="E4" s="13" t="s">
        <v>2809</v>
      </c>
      <c r="F4" s="13" t="s">
        <v>2810</v>
      </c>
      <c r="G4" s="13" t="s">
        <v>2811</v>
      </c>
      <c r="H4" s="13" t="s">
        <v>2812</v>
      </c>
    </row>
    <row r="5" customFormat="false" ht="35.05" hidden="false" customHeight="false" outlineLevel="0" collapsed="false">
      <c r="A5" s="6" t="n">
        <v>0.894</v>
      </c>
      <c r="B5" s="6" t="n">
        <v>43</v>
      </c>
      <c r="C5" s="6" t="s">
        <v>1650</v>
      </c>
      <c r="D5" s="6" t="s">
        <v>293</v>
      </c>
      <c r="E5" s="6" t="n">
        <v>116</v>
      </c>
      <c r="F5" s="6" t="s">
        <v>2813</v>
      </c>
      <c r="G5" s="6" t="s">
        <v>596</v>
      </c>
      <c r="H5" s="6" t="s">
        <v>2814</v>
      </c>
    </row>
    <row r="6" customFormat="false" ht="23.85" hidden="false" customHeight="false" outlineLevel="0" collapsed="false">
      <c r="A6" s="6" t="n">
        <v>0.751</v>
      </c>
      <c r="B6" s="6" t="n">
        <v>212</v>
      </c>
      <c r="C6" s="6" t="s">
        <v>2815</v>
      </c>
      <c r="D6" s="6" t="s">
        <v>682</v>
      </c>
      <c r="E6" s="6" t="n">
        <v>213</v>
      </c>
      <c r="F6" s="6" t="s">
        <v>2219</v>
      </c>
      <c r="G6" s="6" t="s">
        <v>688</v>
      </c>
      <c r="H6" s="6" t="s">
        <v>2814</v>
      </c>
    </row>
    <row r="7" customFormat="false" ht="23.85" hidden="false" customHeight="false" outlineLevel="0" collapsed="false">
      <c r="A7" s="6" t="n">
        <v>0.668</v>
      </c>
      <c r="B7" s="6" t="n">
        <v>210</v>
      </c>
      <c r="C7" s="6" t="s">
        <v>2209</v>
      </c>
      <c r="D7" s="6" t="s">
        <v>674</v>
      </c>
      <c r="E7" s="6" t="n">
        <v>211</v>
      </c>
      <c r="F7" s="6" t="s">
        <v>2209</v>
      </c>
      <c r="G7" s="6" t="s">
        <v>677</v>
      </c>
      <c r="H7" s="6" t="s">
        <v>2814</v>
      </c>
    </row>
    <row r="8" customFormat="false" ht="35.05" hidden="false" customHeight="false" outlineLevel="0" collapsed="false">
      <c r="A8" s="6" t="n">
        <v>0.651</v>
      </c>
      <c r="B8" s="6" t="n">
        <v>98</v>
      </c>
      <c r="C8" s="6" t="s">
        <v>1996</v>
      </c>
      <c r="D8" s="6" t="s">
        <v>530</v>
      </c>
      <c r="E8" s="6" t="n">
        <v>102</v>
      </c>
      <c r="F8" s="6" t="s">
        <v>2012</v>
      </c>
      <c r="G8" s="6" t="s">
        <v>548</v>
      </c>
      <c r="H8" s="6" t="s">
        <v>2816</v>
      </c>
    </row>
    <row r="9" customFormat="false" ht="68.65" hidden="false" customHeight="false" outlineLevel="0" collapsed="false">
      <c r="A9" s="6" t="n">
        <v>0.642</v>
      </c>
      <c r="B9" s="6" t="n">
        <v>118</v>
      </c>
      <c r="C9" s="6" t="s">
        <v>2091</v>
      </c>
      <c r="D9" s="6" t="s">
        <v>602</v>
      </c>
      <c r="E9" s="6" t="n">
        <v>121</v>
      </c>
      <c r="F9" s="6" t="s">
        <v>2118</v>
      </c>
      <c r="G9" s="6" t="s">
        <v>611</v>
      </c>
      <c r="H9" s="6" t="s">
        <v>2814</v>
      </c>
    </row>
    <row r="10" customFormat="false" ht="35.05" hidden="false" customHeight="false" outlineLevel="0" collapsed="false">
      <c r="A10" s="6" t="n">
        <v>0.637</v>
      </c>
      <c r="B10" s="6" t="n">
        <v>101</v>
      </c>
      <c r="C10" s="6" t="s">
        <v>1965</v>
      </c>
      <c r="D10" s="6" t="s">
        <v>544</v>
      </c>
      <c r="E10" s="6" t="n">
        <v>103</v>
      </c>
      <c r="F10" s="6" t="s">
        <v>2012</v>
      </c>
      <c r="G10" s="6" t="s">
        <v>553</v>
      </c>
      <c r="H10" s="6" t="s">
        <v>2817</v>
      </c>
    </row>
    <row r="11" customFormat="false" ht="23.85" hidden="false" customHeight="false" outlineLevel="0" collapsed="false">
      <c r="A11" s="6" t="n">
        <v>0.633</v>
      </c>
      <c r="B11" s="6" t="n">
        <v>235</v>
      </c>
      <c r="C11" s="6" t="s">
        <v>2338</v>
      </c>
      <c r="D11" s="6" t="s">
        <v>781</v>
      </c>
      <c r="E11" s="6" t="n">
        <v>236</v>
      </c>
      <c r="F11" s="6" t="s">
        <v>2343</v>
      </c>
      <c r="G11" s="6" t="s">
        <v>785</v>
      </c>
      <c r="H11" s="6" t="s">
        <v>2814</v>
      </c>
    </row>
    <row r="12" customFormat="false" ht="35.05" hidden="false" customHeight="false" outlineLevel="0" collapsed="false">
      <c r="A12" s="6" t="n">
        <v>0.623</v>
      </c>
      <c r="B12" s="6" t="n">
        <v>66</v>
      </c>
      <c r="C12" s="6" t="s">
        <v>1814</v>
      </c>
      <c r="D12" s="6" t="s">
        <v>393</v>
      </c>
      <c r="E12" s="6" t="n">
        <v>67</v>
      </c>
      <c r="F12" s="6" t="s">
        <v>1806</v>
      </c>
      <c r="G12" s="6" t="s">
        <v>397</v>
      </c>
      <c r="H12" s="6" t="s">
        <v>2818</v>
      </c>
    </row>
    <row r="13" customFormat="false" ht="46.25" hidden="false" customHeight="false" outlineLevel="0" collapsed="false">
      <c r="A13" s="6" t="n">
        <v>0.61</v>
      </c>
      <c r="B13" s="6" t="n">
        <v>3</v>
      </c>
      <c r="C13" s="6" t="s">
        <v>1315</v>
      </c>
      <c r="D13" s="6" t="s">
        <v>74</v>
      </c>
      <c r="E13" s="6" t="n">
        <v>8</v>
      </c>
      <c r="F13" s="6" t="s">
        <v>1315</v>
      </c>
      <c r="G13" s="6" t="s">
        <v>104</v>
      </c>
      <c r="H13" s="6" t="s">
        <v>2819</v>
      </c>
    </row>
    <row r="14" customFormat="false" ht="35.05" hidden="false" customHeight="false" outlineLevel="0" collapsed="false">
      <c r="A14" s="6" t="n">
        <v>0.601</v>
      </c>
      <c r="B14" s="6" t="n">
        <v>73</v>
      </c>
      <c r="C14" s="6" t="s">
        <v>1846</v>
      </c>
      <c r="D14" s="6" t="s">
        <v>427</v>
      </c>
      <c r="E14" s="6" t="n">
        <v>74</v>
      </c>
      <c r="F14" s="6" t="s">
        <v>1846</v>
      </c>
      <c r="G14" s="6" t="s">
        <v>431</v>
      </c>
      <c r="H14" s="6" t="s">
        <v>2820</v>
      </c>
    </row>
    <row r="15" customFormat="false" ht="15" hidden="false" customHeight="false" outlineLevel="0" collapsed="false">
      <c r="A15" s="16" t="s">
        <v>2821</v>
      </c>
    </row>
    <row r="17" customFormat="false" ht="15" hidden="false" customHeight="false" outlineLevel="0" collapsed="false">
      <c r="A17" s="14" t="s">
        <v>2822</v>
      </c>
    </row>
    <row r="18" customFormat="false" ht="15" hidden="false" customHeight="false" outlineLevel="0" collapsed="false">
      <c r="A18" s="13" t="s">
        <v>1265</v>
      </c>
      <c r="B18" s="13" t="s">
        <v>1270</v>
      </c>
      <c r="C18" s="13" t="s">
        <v>1267</v>
      </c>
      <c r="D18" s="13" t="s">
        <v>1269</v>
      </c>
      <c r="E18" s="13" t="s">
        <v>2823</v>
      </c>
      <c r="F18" s="13" t="s">
        <v>2824</v>
      </c>
      <c r="G18" s="13" t="s">
        <v>973</v>
      </c>
    </row>
    <row r="19" customFormat="false" ht="46.25" hidden="false" customHeight="false" outlineLevel="0" collapsed="false">
      <c r="A19" s="6" t="s">
        <v>2024</v>
      </c>
      <c r="B19" s="6" t="s">
        <v>2026</v>
      </c>
      <c r="C19" s="6" t="s">
        <v>2029</v>
      </c>
      <c r="D19" s="6" t="s">
        <v>2030</v>
      </c>
      <c r="E19" s="6" t="s">
        <v>2825</v>
      </c>
      <c r="F19" s="6" t="n">
        <v>106</v>
      </c>
      <c r="G19" s="6" t="s">
        <v>2826</v>
      </c>
    </row>
    <row r="20" customFormat="false" ht="23.85" hidden="false" customHeight="false" outlineLevel="0" collapsed="false">
      <c r="A20" s="6" t="s">
        <v>2028</v>
      </c>
      <c r="B20" s="6" t="s">
        <v>1996</v>
      </c>
      <c r="C20" s="6" t="s">
        <v>2827</v>
      </c>
      <c r="D20" s="6" t="s">
        <v>2034</v>
      </c>
      <c r="E20" s="6" t="s">
        <v>2825</v>
      </c>
      <c r="F20" s="6" t="n">
        <v>106</v>
      </c>
      <c r="G20" s="6" t="s">
        <v>2828</v>
      </c>
    </row>
    <row r="21" customFormat="false" ht="57.45" hidden="false" customHeight="false" outlineLevel="0" collapsed="false">
      <c r="A21" s="6" t="s">
        <v>2032</v>
      </c>
      <c r="B21" s="6" t="s">
        <v>2020</v>
      </c>
      <c r="C21" s="6" t="s">
        <v>2029</v>
      </c>
      <c r="D21" s="6" t="s">
        <v>2037</v>
      </c>
      <c r="E21" s="6" t="s">
        <v>2829</v>
      </c>
      <c r="F21" s="6" t="n">
        <v>103</v>
      </c>
      <c r="G21" s="6" t="s">
        <v>2830</v>
      </c>
    </row>
    <row r="22" customFormat="false" ht="57.45" hidden="false" customHeight="false" outlineLevel="0" collapsed="false">
      <c r="A22" s="6" t="s">
        <v>2036</v>
      </c>
      <c r="B22" s="6" t="s">
        <v>2042</v>
      </c>
      <c r="C22" s="6" t="s">
        <v>1323</v>
      </c>
      <c r="D22" s="6" t="s">
        <v>2831</v>
      </c>
      <c r="E22" s="6" t="s">
        <v>2829</v>
      </c>
      <c r="F22" s="6" t="n">
        <v>103</v>
      </c>
      <c r="G22" s="6" t="s">
        <v>2832</v>
      </c>
    </row>
    <row r="23" customFormat="false" ht="23.85" hidden="false" customHeight="false" outlineLevel="0" collapsed="false">
      <c r="A23" s="6" t="s">
        <v>2039</v>
      </c>
      <c r="B23" s="6" t="s">
        <v>2026</v>
      </c>
      <c r="C23" s="6" t="s">
        <v>2046</v>
      </c>
      <c r="D23" s="6" t="s">
        <v>2047</v>
      </c>
      <c r="E23" s="6" t="s">
        <v>2825</v>
      </c>
      <c r="F23" s="6" t="n">
        <v>106</v>
      </c>
      <c r="G23" s="6" t="s">
        <v>2833</v>
      </c>
    </row>
    <row r="24" customFormat="false" ht="23.85" hidden="false" customHeight="false" outlineLevel="0" collapsed="false">
      <c r="A24" s="6" t="s">
        <v>2044</v>
      </c>
      <c r="B24" s="6" t="s">
        <v>2051</v>
      </c>
      <c r="C24" s="6" t="s">
        <v>2827</v>
      </c>
      <c r="D24" s="6" t="s">
        <v>2059</v>
      </c>
      <c r="E24" s="6" t="s">
        <v>2825</v>
      </c>
      <c r="F24" s="6" t="n">
        <v>106</v>
      </c>
      <c r="G24" s="6" t="s">
        <v>2834</v>
      </c>
    </row>
    <row r="25" customFormat="false" ht="23.85" hidden="false" customHeight="false" outlineLevel="0" collapsed="false">
      <c r="A25" s="6" t="s">
        <v>2045</v>
      </c>
      <c r="B25" s="6" t="s">
        <v>2768</v>
      </c>
      <c r="C25" s="6" t="s">
        <v>1657</v>
      </c>
      <c r="D25" s="6" t="s">
        <v>2074</v>
      </c>
      <c r="E25" s="6" t="s">
        <v>2825</v>
      </c>
      <c r="F25" s="6" t="n">
        <v>106</v>
      </c>
      <c r="G25" s="6" t="s">
        <v>2835</v>
      </c>
    </row>
    <row r="26" customFormat="false" ht="23.85" hidden="false" customHeight="false" outlineLevel="0" collapsed="false">
      <c r="A26" s="6" t="s">
        <v>2049</v>
      </c>
      <c r="B26" s="6" t="s">
        <v>2055</v>
      </c>
      <c r="C26" s="6" t="s">
        <v>1323</v>
      </c>
      <c r="D26" s="6" t="s">
        <v>2054</v>
      </c>
      <c r="E26" s="6" t="s">
        <v>2825</v>
      </c>
      <c r="F26" s="6" t="n">
        <v>106</v>
      </c>
      <c r="G26" s="6" t="s">
        <v>2836</v>
      </c>
    </row>
    <row r="27" customFormat="false" ht="23.85" hidden="false" customHeight="false" outlineLevel="0" collapsed="false">
      <c r="A27" s="6" t="s">
        <v>2053</v>
      </c>
      <c r="B27" s="6" t="s">
        <v>2071</v>
      </c>
      <c r="C27" s="6" t="s">
        <v>1323</v>
      </c>
      <c r="D27" s="6" t="s">
        <v>2070</v>
      </c>
      <c r="E27" s="6" t="s">
        <v>2825</v>
      </c>
      <c r="F27" s="6" t="n">
        <v>106</v>
      </c>
      <c r="G27" s="6" t="s">
        <v>2837</v>
      </c>
    </row>
    <row r="28" customFormat="false" ht="23.85" hidden="false" customHeight="false" outlineLevel="0" collapsed="false">
      <c r="A28" s="6" t="s">
        <v>2057</v>
      </c>
      <c r="B28" s="6" t="s">
        <v>2071</v>
      </c>
      <c r="C28" s="6" t="s">
        <v>1657</v>
      </c>
      <c r="D28" s="6" t="s">
        <v>2074</v>
      </c>
      <c r="E28" s="6" t="s">
        <v>2825</v>
      </c>
      <c r="F28" s="6" t="n">
        <v>106</v>
      </c>
      <c r="G28" s="6" t="s">
        <v>2838</v>
      </c>
    </row>
    <row r="29" customFormat="false" ht="23.85" hidden="false" customHeight="false" outlineLevel="0" collapsed="false">
      <c r="A29" s="6" t="s">
        <v>2061</v>
      </c>
      <c r="B29" s="6" t="s">
        <v>2071</v>
      </c>
      <c r="C29" s="6" t="s">
        <v>1657</v>
      </c>
      <c r="D29" s="6" t="s">
        <v>2074</v>
      </c>
      <c r="E29" s="6" t="s">
        <v>2825</v>
      </c>
      <c r="F29" s="6" t="n">
        <v>106</v>
      </c>
      <c r="G29" s="6" t="s">
        <v>2839</v>
      </c>
    </row>
    <row r="30" customFormat="false" ht="35.05" hidden="false" customHeight="false" outlineLevel="0" collapsed="false">
      <c r="A30" s="6" t="s">
        <v>2125</v>
      </c>
      <c r="B30" s="6" t="s">
        <v>2071</v>
      </c>
      <c r="C30" s="6" t="s">
        <v>2069</v>
      </c>
      <c r="D30" s="6" t="s">
        <v>2070</v>
      </c>
      <c r="E30" s="6" t="s">
        <v>2840</v>
      </c>
      <c r="F30" s="6" t="n">
        <v>113</v>
      </c>
      <c r="G30" s="6" t="s">
        <v>2841</v>
      </c>
    </row>
    <row r="31" customFormat="false" ht="35.05" hidden="false" customHeight="false" outlineLevel="0" collapsed="false">
      <c r="A31" s="6" t="s">
        <v>2457</v>
      </c>
      <c r="B31" s="6" t="s">
        <v>2091</v>
      </c>
      <c r="C31" s="6" t="s">
        <v>2089</v>
      </c>
      <c r="D31" s="6" t="s">
        <v>2090</v>
      </c>
      <c r="E31" s="6" t="s">
        <v>2825</v>
      </c>
      <c r="F31" s="6" t="n">
        <v>266</v>
      </c>
      <c r="G31" s="6" t="s">
        <v>2842</v>
      </c>
    </row>
    <row r="32" customFormat="false" ht="23.85" hidden="false" customHeight="false" outlineLevel="0" collapsed="false">
      <c r="A32" s="6" t="s">
        <v>2462</v>
      </c>
      <c r="B32" s="6" t="s">
        <v>2091</v>
      </c>
      <c r="C32" s="6" t="s">
        <v>2094</v>
      </c>
      <c r="D32" s="6" t="s">
        <v>2095</v>
      </c>
      <c r="E32" s="6" t="s">
        <v>2825</v>
      </c>
      <c r="F32" s="6" t="n">
        <v>266</v>
      </c>
      <c r="G32" s="6" t="s">
        <v>2843</v>
      </c>
    </row>
    <row r="33" customFormat="false" ht="35.05" hidden="false" customHeight="false" outlineLevel="0" collapsed="false">
      <c r="A33" s="6" t="s">
        <v>2466</v>
      </c>
      <c r="B33" s="6" t="s">
        <v>2091</v>
      </c>
      <c r="C33" s="6" t="s">
        <v>2102</v>
      </c>
      <c r="D33" s="6" t="s">
        <v>2103</v>
      </c>
      <c r="E33" s="6" t="s">
        <v>2825</v>
      </c>
      <c r="F33" s="6" t="n">
        <v>266</v>
      </c>
      <c r="G33" s="6" t="s">
        <v>2844</v>
      </c>
    </row>
    <row r="34" customFormat="false" ht="35.05" hidden="false" customHeight="false" outlineLevel="0" collapsed="false">
      <c r="A34" s="6" t="s">
        <v>2470</v>
      </c>
      <c r="B34" s="6" t="s">
        <v>2091</v>
      </c>
      <c r="C34" s="6" t="s">
        <v>2109</v>
      </c>
      <c r="D34" s="6" t="s">
        <v>2110</v>
      </c>
      <c r="E34" s="6" t="s">
        <v>2825</v>
      </c>
      <c r="F34" s="6" t="n">
        <v>266</v>
      </c>
      <c r="G34" s="6" t="s">
        <v>2845</v>
      </c>
    </row>
    <row r="35" customFormat="false" ht="23.85" hidden="false" customHeight="false" outlineLevel="0" collapsed="false">
      <c r="A35" s="6" t="s">
        <v>2474</v>
      </c>
      <c r="B35" s="6" t="s">
        <v>2118</v>
      </c>
      <c r="C35" s="6" t="s">
        <v>1323</v>
      </c>
      <c r="D35" s="6" t="s">
        <v>2117</v>
      </c>
      <c r="E35" s="6" t="s">
        <v>2825</v>
      </c>
      <c r="F35" s="6" t="n">
        <v>266</v>
      </c>
      <c r="G35" s="6" t="s">
        <v>2846</v>
      </c>
    </row>
    <row r="36" customFormat="false" ht="23.85" hidden="false" customHeight="false" outlineLevel="0" collapsed="false">
      <c r="A36" s="6" t="s">
        <v>2477</v>
      </c>
      <c r="B36" s="6" t="s">
        <v>2123</v>
      </c>
      <c r="C36" s="6" t="s">
        <v>1323</v>
      </c>
      <c r="D36" s="6" t="s">
        <v>2122</v>
      </c>
      <c r="E36" s="6" t="s">
        <v>2825</v>
      </c>
      <c r="F36" s="6" t="n">
        <v>266</v>
      </c>
      <c r="G36" s="6" t="s">
        <v>2847</v>
      </c>
    </row>
    <row r="37" customFormat="false" ht="23.85" hidden="false" customHeight="false" outlineLevel="0" collapsed="false">
      <c r="A37" s="6" t="s">
        <v>2482</v>
      </c>
      <c r="B37" s="6" t="s">
        <v>2123</v>
      </c>
      <c r="C37" s="6" t="s">
        <v>1323</v>
      </c>
      <c r="D37" s="6" t="s">
        <v>2126</v>
      </c>
      <c r="E37" s="6" t="s">
        <v>2825</v>
      </c>
      <c r="F37" s="6" t="n">
        <v>266</v>
      </c>
      <c r="G37" s="6" t="s">
        <v>2848</v>
      </c>
    </row>
    <row r="38" customFormat="false" ht="23.85" hidden="false" customHeight="false" outlineLevel="0" collapsed="false">
      <c r="A38" s="6" t="s">
        <v>2849</v>
      </c>
      <c r="B38" s="6" t="s">
        <v>2114</v>
      </c>
      <c r="C38" s="6" t="s">
        <v>1657</v>
      </c>
      <c r="D38" s="6" t="s">
        <v>2850</v>
      </c>
      <c r="E38" s="6" t="s">
        <v>2825</v>
      </c>
      <c r="F38" s="6" t="n">
        <v>266</v>
      </c>
      <c r="G38" s="6" t="s">
        <v>2851</v>
      </c>
    </row>
    <row r="39" customFormat="false" ht="23.85" hidden="false" customHeight="false" outlineLevel="0" collapsed="false">
      <c r="A39" s="6" t="s">
        <v>2852</v>
      </c>
      <c r="B39" s="6" t="s">
        <v>2114</v>
      </c>
      <c r="C39" s="6" t="s">
        <v>1323</v>
      </c>
      <c r="D39" s="6" t="s">
        <v>2141</v>
      </c>
      <c r="E39" s="6" t="s">
        <v>2825</v>
      </c>
      <c r="F39" s="6" t="n">
        <v>266</v>
      </c>
      <c r="G39" s="6" t="s">
        <v>2853</v>
      </c>
    </row>
    <row r="40" customFormat="false" ht="57.45" hidden="false" customHeight="false" outlineLevel="0" collapsed="false">
      <c r="A40" s="6" t="s">
        <v>2854</v>
      </c>
      <c r="B40" s="6" t="s">
        <v>2118</v>
      </c>
      <c r="C40" s="6" t="s">
        <v>1323</v>
      </c>
      <c r="D40" s="6" t="s">
        <v>2117</v>
      </c>
      <c r="E40" s="6" t="s">
        <v>2855</v>
      </c>
      <c r="F40" s="6" t="n">
        <v>118</v>
      </c>
      <c r="G40" s="6" t="s">
        <v>2856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2026-10-29T03:55:01Z</dcterms:created>
  <dc:creator>openpyxl</dc:creator>
  <dc:description/>
  <dc:language>en-US</dc:language>
  <cp:lastModifiedBy/>
  <dcterms:modified xsi:type="dcterms:W3CDTF">2026-10-29T03:55:02Z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